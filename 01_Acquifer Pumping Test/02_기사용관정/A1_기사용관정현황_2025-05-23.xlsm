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32D02B4-3583-4F6E-B61A-B26595CD6D27}" xr6:coauthVersionLast="47" xr6:coauthVersionMax="47" xr10:uidLastSave="{00000000-0000-0000-0000-000000000000}"/>
  <bookViews>
    <workbookView xWindow="7950" yWindow="495" windowWidth="29775" windowHeight="2028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10" l="1"/>
  <c r="M28" i="10"/>
  <c r="M22" i="10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33" i="10" l="1"/>
  <c r="C33" i="10"/>
  <c r="D32" i="10"/>
  <c r="C32" i="10"/>
  <c r="H69" i="8" l="1"/>
  <c r="D34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<sst xmlns="http://schemas.openxmlformats.org/spreadsheetml/2006/main" count="6147" uniqueCount="924">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</sst>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b/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8" fillId="34" borderId="25" xfId="0" applyFont="1" applyFill="1" applyBorder="1" applyAlignment="1">
      <alignment horizontal="center" vertical="center"/>
    </xf>
    <xf numFmtId="0" fontId="28" fillId="34" borderId="25" xfId="0" applyFont="1" applyFill="1" applyBorder="1" applyAlignment="1">
      <alignment horizontal="center" vertical="center" wrapText="1"/>
    </xf>
    <xf numFmtId="49" fontId="28" fillId="34" borderId="25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34" borderId="14" xfId="0" applyFont="1" applyFill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33" borderId="11" xfId="0" applyFont="1" applyFill="1" applyBorder="1" applyAlignment="1">
      <alignment horizontal="center" vertical="center"/>
    </xf>
    <xf numFmtId="0" fontId="33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tabSelected="1" workbookViewId="0">
      <selection activeCell="M21" sqref="M21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0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1" t="s">
        <v>3</v>
      </c>
      <c r="B1" s="32" t="s">
        <v>0</v>
      </c>
      <c r="C1" s="32" t="s">
        <v>7</v>
      </c>
      <c r="D1" s="32" t="s">
        <v>6</v>
      </c>
      <c r="E1" s="32" t="s">
        <v>6</v>
      </c>
      <c r="F1" s="32" t="s">
        <v>250</v>
      </c>
      <c r="G1" s="32" t="s">
        <v>249</v>
      </c>
      <c r="H1" s="32" t="s">
        <v>251</v>
      </c>
      <c r="I1" s="32" t="s">
        <v>8</v>
      </c>
      <c r="J1" s="32" t="s">
        <v>192</v>
      </c>
      <c r="K1" s="31" t="s">
        <v>16</v>
      </c>
      <c r="L1" s="32" t="s">
        <v>5</v>
      </c>
      <c r="M1" s="33"/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0">
        <v>25</v>
      </c>
      <c r="J17" s="40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38" t="s">
        <v>702</v>
      </c>
      <c r="F18" s="39">
        <v>20</v>
      </c>
      <c r="G18" s="39">
        <v>50</v>
      </c>
      <c r="H18" s="39">
        <v>0.3</v>
      </c>
      <c r="I18" s="39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39">
        <v>20</v>
      </c>
      <c r="O18" s="39">
        <v>50</v>
      </c>
      <c r="P18" s="39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0">
        <v>25</v>
      </c>
      <c r="J19" s="40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2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0.68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0.68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0.68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0.68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0.68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0.68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0">
        <v>25</v>
      </c>
      <c r="J41" s="40">
        <v>16</v>
      </c>
      <c r="K41" s="2" t="s">
        <v>146</v>
      </c>
      <c r="L41" s="6">
        <v>0.68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38" t="s">
        <v>702</v>
      </c>
      <c r="F42" s="39">
        <v>20</v>
      </c>
      <c r="G42" s="39">
        <v>50</v>
      </c>
      <c r="H42" s="39">
        <v>0.3</v>
      </c>
      <c r="I42" s="39">
        <v>30</v>
      </c>
      <c r="J42" s="2">
        <v>16</v>
      </c>
      <c r="K42" s="2" t="s">
        <v>146</v>
      </c>
      <c r="L42" s="6">
        <v>0.68</v>
      </c>
      <c r="M42" s="2" t="str">
        <f t="shared" si="3"/>
        <v>합곡리 311-5</v>
      </c>
      <c r="N42" s="39">
        <v>20</v>
      </c>
      <c r="O42" s="39">
        <v>50</v>
      </c>
      <c r="P42" s="39">
        <v>0.3</v>
      </c>
      <c r="Q42" s="2">
        <v>8.68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0">
        <v>25</v>
      </c>
      <c r="J43" s="40">
        <v>16</v>
      </c>
      <c r="K43" s="2" t="s">
        <v>146</v>
      </c>
      <c r="L43" s="6">
        <v>0.68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0.68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0.68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0.68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0.68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0.68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0.68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0.68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0.68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0.68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0.68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0.68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0.68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0.68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0.68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0.68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0.68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0.68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0.68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2:12" ht="21.75" customHeight="1">
      <c r="B65" s="1"/>
      <c r="I65" s="2"/>
      <c r="J65" s="2"/>
      <c r="L65" s="6"/>
    </row>
    <row r="66" spans="2:12" ht="21.75" customHeight="1">
      <c r="B66" s="1"/>
      <c r="I66" s="2"/>
      <c r="J66" s="2"/>
      <c r="L66" s="6"/>
    </row>
    <row r="67" spans="2:12" ht="21.75" customHeight="1" thickBot="1">
      <c r="B67" s="1"/>
      <c r="I67" s="2"/>
      <c r="J67" s="2"/>
      <c r="L67" s="6"/>
    </row>
    <row r="68" spans="2:12" ht="21.75" customHeight="1">
      <c r="B68" s="7" t="s">
        <v>252</v>
      </c>
      <c r="C68" s="50" t="s">
        <v>253</v>
      </c>
      <c r="D68" s="51"/>
      <c r="E68" s="50" t="s">
        <v>256</v>
      </c>
      <c r="F68" s="51"/>
      <c r="G68" s="50" t="s">
        <v>257</v>
      </c>
      <c r="H68" s="51"/>
      <c r="I68" s="50" t="s">
        <v>258</v>
      </c>
      <c r="J68" s="52"/>
      <c r="K68" s="2" t="s">
        <v>33</v>
      </c>
      <c r="L68" s="46">
        <f ca="1">SUM_SS_IN</f>
        <v>38.759999999999991</v>
      </c>
    </row>
    <row r="69" spans="2:12" ht="21.75" customHeight="1">
      <c r="B69" s="12" t="s">
        <v>254</v>
      </c>
      <c r="C69" s="9">
        <f ca="1">E69+G69+I69</f>
        <v>78</v>
      </c>
      <c r="D69" s="9">
        <f ca="1">F69+H69+J69</f>
        <v>148.77999999999997</v>
      </c>
      <c r="E69" s="9">
        <f ca="1">IF(F69=0,0,COUNTIF(SS_INSIDE_AREA,"O"))</f>
        <v>57</v>
      </c>
      <c r="F69" s="9">
        <f ca="1">SUMIF(SS_INSIDE_AREA,"O",$L$2:$L$2)</f>
        <v>38.759999999999991</v>
      </c>
      <c r="G69" s="9">
        <f ca="1">IF(H69=0,0,COUNTIF(AA_INSIDE_AREA,"O"))</f>
        <v>21</v>
      </c>
      <c r="H69" s="9">
        <f ca="1">aa!$D$32</f>
        <v>110.02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47">
        <f ca="1">L68+aa!D32+ii!L5</f>
        <v>148.77999999999997</v>
      </c>
    </row>
    <row r="70" spans="2:12" ht="21.75" customHeight="1" thickBot="1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aa!$D$33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>
      <c r="B71" s="41"/>
      <c r="C71" s="41"/>
      <c r="D71" s="41"/>
      <c r="E71" s="41"/>
      <c r="F71" s="41"/>
      <c r="G71" s="41"/>
      <c r="H71" s="41"/>
      <c r="I71" s="41"/>
      <c r="K71" s="7" t="s">
        <v>31</v>
      </c>
      <c r="L71" s="48">
        <f ca="1">D69</f>
        <v>148.77999999999997</v>
      </c>
    </row>
    <row r="72" spans="2:12" ht="21.75" customHeight="1" thickBot="1">
      <c r="B72" s="41"/>
      <c r="C72" s="41"/>
      <c r="D72" s="41"/>
      <c r="E72" s="41"/>
      <c r="F72" s="41"/>
      <c r="G72" s="41"/>
      <c r="H72" s="41"/>
      <c r="I72" s="41"/>
      <c r="K72" s="8" t="s">
        <v>32</v>
      </c>
      <c r="L72" s="49">
        <f ca="1">C69</f>
        <v>78</v>
      </c>
    </row>
    <row r="73" spans="2:12" ht="21.75" customHeight="1">
      <c r="B73" s="41"/>
      <c r="C73" s="41"/>
      <c r="D73" s="41"/>
      <c r="E73" s="41"/>
      <c r="F73" s="41"/>
      <c r="G73" s="41"/>
      <c r="H73" s="41"/>
      <c r="I73" s="41"/>
    </row>
    <row r="74" spans="2:12" ht="21.75" customHeight="1">
      <c r="B74" s="41"/>
      <c r="C74" s="41"/>
      <c r="D74" s="41"/>
      <c r="E74" s="41"/>
      <c r="F74" s="41"/>
      <c r="G74" s="41"/>
      <c r="H74" s="41"/>
      <c r="I74" s="41"/>
    </row>
    <row r="75" spans="2:12" ht="21.75" customHeight="1">
      <c r="B75" s="41"/>
      <c r="C75" s="41"/>
      <c r="D75" s="41"/>
      <c r="E75" s="41"/>
      <c r="F75" s="41"/>
      <c r="G75" s="41"/>
      <c r="H75" s="41"/>
      <c r="I75" s="41"/>
    </row>
    <row r="76" spans="2:12" ht="21.75" customHeight="1">
      <c r="B76" s="41"/>
      <c r="C76" s="41"/>
      <c r="D76" s="41"/>
      <c r="E76" s="41"/>
      <c r="F76" s="41"/>
      <c r="G76" s="41"/>
      <c r="H76" s="41"/>
      <c r="I76" s="41"/>
    </row>
    <row r="77" spans="2:12" ht="21.75" customHeight="1">
      <c r="B77" s="41"/>
      <c r="C77" s="41"/>
      <c r="D77" s="41"/>
      <c r="E77" s="41"/>
      <c r="F77" s="41"/>
      <c r="G77" s="41"/>
      <c r="H77" s="41"/>
      <c r="I77" s="41"/>
    </row>
    <row r="78" spans="2:12" ht="21.75" customHeight="1">
      <c r="B78" s="41"/>
      <c r="C78" s="41"/>
      <c r="D78" s="41"/>
      <c r="E78" s="41"/>
      <c r="F78" s="41"/>
      <c r="G78" s="41"/>
      <c r="H78" s="41"/>
      <c r="I78" s="41"/>
    </row>
    <row r="79" spans="2:12" ht="21.75" customHeight="1">
      <c r="B79" s="41"/>
      <c r="C79" s="41"/>
      <c r="D79" s="41"/>
      <c r="E79" s="41"/>
      <c r="F79" s="41"/>
      <c r="G79" s="41"/>
      <c r="H79" s="41"/>
      <c r="I79" s="41"/>
    </row>
    <row r="80" spans="2:12" ht="21.75" customHeight="1">
      <c r="B80" s="41"/>
      <c r="C80" s="41"/>
      <c r="D80" s="41"/>
      <c r="E80" s="41"/>
      <c r="F80" s="41"/>
      <c r="G80" s="41"/>
      <c r="H80" s="41"/>
      <c r="I80" s="41"/>
    </row>
    <row r="81" spans="2:17" ht="21.75" customHeight="1">
      <c r="B81" s="41"/>
      <c r="C81" s="41"/>
      <c r="D81" s="41"/>
      <c r="E81" s="41"/>
      <c r="F81" s="41"/>
      <c r="G81" s="41"/>
      <c r="H81" s="41"/>
      <c r="I81" s="41"/>
    </row>
    <row r="86" spans="2:17" ht="21.75" customHeight="1">
      <c r="K86" s="41"/>
      <c r="L86" s="41"/>
      <c r="M86" s="41"/>
      <c r="N86" s="41"/>
      <c r="O86" s="41"/>
      <c r="P86" s="41"/>
      <c r="Q86" s="41"/>
    </row>
    <row r="87" spans="2:17" ht="21.75" customHeight="1">
      <c r="K87" s="41"/>
      <c r="L87" s="41"/>
      <c r="M87" s="41"/>
      <c r="N87" s="41"/>
      <c r="O87" s="41"/>
      <c r="P87" s="41"/>
      <c r="Q87" s="41"/>
    </row>
    <row r="88" spans="2:17" ht="21.75" customHeight="1">
      <c r="K88" s="41"/>
      <c r="L88" s="41"/>
      <c r="M88" s="41"/>
      <c r="N88" s="41"/>
      <c r="O88" s="41"/>
      <c r="P88" s="41"/>
      <c r="Q88" s="41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/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4" t="s">
        <v>3</v>
      </c>
      <c r="B1" s="34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 t="s">
        <v>16</v>
      </c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15</v>
      </c>
      <c r="R1" s="34" t="s">
        <v>16</v>
      </c>
      <c r="S1" s="34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38" t="s">
        <v>677</v>
      </c>
      <c r="F3" s="39">
        <v>20</v>
      </c>
      <c r="G3" s="39">
        <v>50</v>
      </c>
      <c r="H3" s="39">
        <v>0.5</v>
      </c>
      <c r="I3" s="39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39">
        <v>20</v>
      </c>
      <c r="O3" s="39">
        <v>50</v>
      </c>
      <c r="P3" s="39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38" t="s">
        <v>678</v>
      </c>
      <c r="F4" s="39">
        <v>20</v>
      </c>
      <c r="G4" s="39">
        <v>50</v>
      </c>
      <c r="H4" s="39">
        <v>0.5</v>
      </c>
      <c r="I4" s="39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39">
        <v>20</v>
      </c>
      <c r="O4" s="39">
        <v>50</v>
      </c>
      <c r="P4" s="39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38" t="s">
        <v>712</v>
      </c>
      <c r="F6" s="39">
        <v>20</v>
      </c>
      <c r="G6" s="39">
        <v>50</v>
      </c>
      <c r="H6" s="39">
        <v>0.5</v>
      </c>
      <c r="I6" s="39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39">
        <v>20</v>
      </c>
      <c r="O6" s="39">
        <v>50</v>
      </c>
      <c r="P6" s="39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38" t="s">
        <v>713</v>
      </c>
      <c r="F7" s="39">
        <v>90</v>
      </c>
      <c r="G7" s="39">
        <v>150</v>
      </c>
      <c r="H7" s="39">
        <v>0.5</v>
      </c>
      <c r="I7" s="39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39">
        <v>90</v>
      </c>
      <c r="O7" s="39">
        <v>150</v>
      </c>
      <c r="P7" s="39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38" t="s">
        <v>714</v>
      </c>
      <c r="F8" s="39">
        <v>20</v>
      </c>
      <c r="G8" s="39">
        <v>50</v>
      </c>
      <c r="H8" s="39">
        <v>0.5</v>
      </c>
      <c r="I8" s="39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39">
        <v>20</v>
      </c>
      <c r="O8" s="39">
        <v>50</v>
      </c>
      <c r="P8" s="39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38" t="s">
        <v>720</v>
      </c>
      <c r="F9" s="39">
        <v>40</v>
      </c>
      <c r="G9" s="39">
        <v>100</v>
      </c>
      <c r="H9" s="39">
        <v>0.5</v>
      </c>
      <c r="I9" s="39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39">
        <v>40</v>
      </c>
      <c r="O9" s="39">
        <v>100</v>
      </c>
      <c r="P9" s="39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38" t="s">
        <v>721</v>
      </c>
      <c r="F10" s="39">
        <v>290</v>
      </c>
      <c r="G10" s="39">
        <v>150</v>
      </c>
      <c r="H10" s="39">
        <v>3</v>
      </c>
      <c r="I10" s="39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39">
        <v>290</v>
      </c>
      <c r="O10" s="39">
        <v>150</v>
      </c>
      <c r="P10" s="39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38" t="s">
        <v>722</v>
      </c>
      <c r="F11" s="39">
        <v>50</v>
      </c>
      <c r="G11" s="39">
        <v>125</v>
      </c>
      <c r="H11" s="39">
        <v>1</v>
      </c>
      <c r="I11" s="39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39">
        <v>50</v>
      </c>
      <c r="O11" s="39">
        <v>125</v>
      </c>
      <c r="P11" s="39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38" t="s">
        <v>724</v>
      </c>
      <c r="F12" s="39">
        <v>100</v>
      </c>
      <c r="G12" s="39">
        <v>150</v>
      </c>
      <c r="H12" s="39">
        <v>1</v>
      </c>
      <c r="I12" s="39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39">
        <v>100</v>
      </c>
      <c r="O12" s="39">
        <v>150</v>
      </c>
      <c r="P12" s="39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38" t="s">
        <v>725</v>
      </c>
      <c r="F13" s="39">
        <v>18</v>
      </c>
      <c r="G13" s="39">
        <v>50</v>
      </c>
      <c r="H13" s="39">
        <v>0.5</v>
      </c>
      <c r="I13" s="39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39">
        <v>18</v>
      </c>
      <c r="O13" s="39">
        <v>50</v>
      </c>
      <c r="P13" s="39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38" t="s">
        <v>726</v>
      </c>
      <c r="F14" s="39">
        <v>70</v>
      </c>
      <c r="G14" s="39">
        <v>150</v>
      </c>
      <c r="H14" s="39">
        <v>1</v>
      </c>
      <c r="I14" s="39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39">
        <v>70</v>
      </c>
      <c r="O14" s="39">
        <v>150</v>
      </c>
      <c r="P14" s="39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38" t="s">
        <v>727</v>
      </c>
      <c r="F15" s="39">
        <v>20</v>
      </c>
      <c r="G15" s="39">
        <v>50</v>
      </c>
      <c r="H15" s="39">
        <v>1</v>
      </c>
      <c r="I15" s="39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39">
        <v>20</v>
      </c>
      <c r="O15" s="39">
        <v>50</v>
      </c>
      <c r="P15" s="39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38" t="s">
        <v>728</v>
      </c>
      <c r="F16" s="39">
        <v>100</v>
      </c>
      <c r="G16" s="39">
        <v>150</v>
      </c>
      <c r="H16" s="39">
        <v>2</v>
      </c>
      <c r="I16" s="39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39">
        <v>100</v>
      </c>
      <c r="O16" s="39">
        <v>150</v>
      </c>
      <c r="P16" s="39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38" t="s">
        <v>729</v>
      </c>
      <c r="F17" s="39">
        <v>140</v>
      </c>
      <c r="G17" s="39">
        <v>150</v>
      </c>
      <c r="H17" s="39">
        <v>2</v>
      </c>
      <c r="I17" s="39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39">
        <v>140</v>
      </c>
      <c r="O17" s="39">
        <v>150</v>
      </c>
      <c r="P17" s="39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38" t="s">
        <v>730</v>
      </c>
      <c r="F18" s="39">
        <v>90</v>
      </c>
      <c r="G18" s="39">
        <v>200</v>
      </c>
      <c r="H18" s="39">
        <v>2</v>
      </c>
      <c r="I18" s="39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39">
        <v>90</v>
      </c>
      <c r="O18" s="39">
        <v>200</v>
      </c>
      <c r="P18" s="39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38" t="s">
        <v>731</v>
      </c>
      <c r="F19" s="39">
        <v>100</v>
      </c>
      <c r="G19" s="39">
        <v>200</v>
      </c>
      <c r="H19" s="39">
        <v>2</v>
      </c>
      <c r="I19" s="39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39">
        <v>100</v>
      </c>
      <c r="O19" s="39">
        <v>200</v>
      </c>
      <c r="P19" s="39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38" t="s">
        <v>732</v>
      </c>
      <c r="F20" s="39">
        <v>100</v>
      </c>
      <c r="G20" s="39">
        <v>200</v>
      </c>
      <c r="H20" s="39">
        <v>2</v>
      </c>
      <c r="I20" s="39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39">
        <v>100</v>
      </c>
      <c r="O20" s="39">
        <v>200</v>
      </c>
      <c r="P20" s="39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38" t="s">
        <v>734</v>
      </c>
      <c r="F21" s="39">
        <v>20</v>
      </c>
      <c r="G21" s="39">
        <v>50</v>
      </c>
      <c r="H21" s="39">
        <v>0.5</v>
      </c>
      <c r="I21" s="39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39">
        <v>20</v>
      </c>
      <c r="O21" s="39">
        <v>50</v>
      </c>
      <c r="P21" s="39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38" t="s">
        <v>729</v>
      </c>
      <c r="F22" s="39">
        <v>140</v>
      </c>
      <c r="G22" s="39">
        <v>150</v>
      </c>
      <c r="H22" s="39">
        <v>2</v>
      </c>
      <c r="I22" s="39">
        <v>90</v>
      </c>
      <c r="J22" s="2">
        <v>32</v>
      </c>
      <c r="K22" s="2" t="s">
        <v>657</v>
      </c>
      <c r="L22" s="2">
        <v>5.94</v>
      </c>
      <c r="M22" s="2" t="str">
        <f t="shared" ref="M22:M26" si="1">D22&amp;" "&amp;E22</f>
        <v>합곡리 895-4</v>
      </c>
      <c r="N22" s="39">
        <v>140</v>
      </c>
      <c r="O22" s="39">
        <v>150</v>
      </c>
      <c r="P22" s="39">
        <v>2</v>
      </c>
      <c r="Q22" s="2">
        <v>4.74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38" t="s">
        <v>730</v>
      </c>
      <c r="F23" s="39">
        <v>90</v>
      </c>
      <c r="G23" s="39">
        <v>200</v>
      </c>
      <c r="H23" s="39">
        <v>2</v>
      </c>
      <c r="I23" s="39">
        <v>120</v>
      </c>
      <c r="J23" s="2">
        <v>32</v>
      </c>
      <c r="K23" s="2" t="s">
        <v>657</v>
      </c>
      <c r="L23" s="2">
        <v>7.26</v>
      </c>
      <c r="M23" s="2" t="str">
        <f t="shared" si="1"/>
        <v>합곡리 1023-3</v>
      </c>
      <c r="N23" s="39">
        <v>90</v>
      </c>
      <c r="O23" s="39">
        <v>200</v>
      </c>
      <c r="P23" s="39">
        <v>2</v>
      </c>
      <c r="Q23" s="2">
        <v>5.74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38" t="s">
        <v>731</v>
      </c>
      <c r="F24" s="39">
        <v>100</v>
      </c>
      <c r="G24" s="39">
        <v>200</v>
      </c>
      <c r="H24" s="39">
        <v>2</v>
      </c>
      <c r="I24" s="39">
        <v>90</v>
      </c>
      <c r="J24" s="2">
        <v>32</v>
      </c>
      <c r="K24" s="2" t="s">
        <v>657</v>
      </c>
      <c r="L24" s="2">
        <v>5.94</v>
      </c>
      <c r="M24" s="2" t="str">
        <f t="shared" si="1"/>
        <v>합곡리 1025-4</v>
      </c>
      <c r="N24" s="39">
        <v>100</v>
      </c>
      <c r="O24" s="39">
        <v>200</v>
      </c>
      <c r="P24" s="39">
        <v>2</v>
      </c>
      <c r="Q24" s="2">
        <v>6.74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38" t="s">
        <v>732</v>
      </c>
      <c r="F25" s="39">
        <v>100</v>
      </c>
      <c r="G25" s="39">
        <v>200</v>
      </c>
      <c r="H25" s="39">
        <v>2</v>
      </c>
      <c r="I25" s="39">
        <v>120</v>
      </c>
      <c r="J25" s="2">
        <v>32</v>
      </c>
      <c r="K25" s="2" t="s">
        <v>657</v>
      </c>
      <c r="L25" s="2">
        <v>7.26</v>
      </c>
      <c r="M25" s="2" t="str">
        <f t="shared" si="1"/>
        <v>합곡리 1022-2</v>
      </c>
      <c r="N25" s="39">
        <v>100</v>
      </c>
      <c r="O25" s="39">
        <v>200</v>
      </c>
      <c r="P25" s="39">
        <v>2</v>
      </c>
      <c r="Q25" s="2">
        <v>7.74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38" t="s">
        <v>734</v>
      </c>
      <c r="F26" s="39">
        <v>20</v>
      </c>
      <c r="G26" s="39">
        <v>50</v>
      </c>
      <c r="H26" s="39">
        <v>0.5</v>
      </c>
      <c r="I26" s="39">
        <v>40</v>
      </c>
      <c r="J26" s="2">
        <v>20</v>
      </c>
      <c r="K26" s="2" t="s">
        <v>657</v>
      </c>
      <c r="L26" s="2">
        <v>3.74</v>
      </c>
      <c r="M26" s="2" t="str">
        <f t="shared" si="1"/>
        <v>합곡리 1018-1</v>
      </c>
      <c r="N26" s="39">
        <v>20</v>
      </c>
      <c r="O26" s="39">
        <v>50</v>
      </c>
      <c r="P26" s="39">
        <v>0.5</v>
      </c>
      <c r="Q26" s="2">
        <v>8.74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38" t="s">
        <v>728</v>
      </c>
      <c r="F27" s="39">
        <v>100</v>
      </c>
      <c r="G27" s="39">
        <v>150</v>
      </c>
      <c r="H27" s="39">
        <v>2</v>
      </c>
      <c r="I27" s="39">
        <v>80</v>
      </c>
      <c r="J27" s="2">
        <v>32</v>
      </c>
      <c r="K27" s="2" t="s">
        <v>657</v>
      </c>
      <c r="L27" s="2">
        <v>5.5</v>
      </c>
      <c r="M27" s="2" t="str">
        <f t="shared" ref="M27:M28" si="2">D27&amp;" "&amp;E27</f>
        <v>합곡리 462</v>
      </c>
      <c r="N27" s="39">
        <v>100</v>
      </c>
      <c r="O27" s="39">
        <v>150</v>
      </c>
      <c r="P27" s="39">
        <v>2</v>
      </c>
      <c r="Q27" s="2">
        <v>9.74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38" t="s">
        <v>729</v>
      </c>
      <c r="F28" s="39">
        <v>140</v>
      </c>
      <c r="G28" s="39">
        <v>150</v>
      </c>
      <c r="H28" s="39">
        <v>2</v>
      </c>
      <c r="I28" s="39">
        <v>90</v>
      </c>
      <c r="J28" s="2">
        <v>32</v>
      </c>
      <c r="K28" s="2" t="s">
        <v>657</v>
      </c>
      <c r="L28" s="2">
        <v>5.94</v>
      </c>
      <c r="M28" s="2" t="str">
        <f t="shared" si="2"/>
        <v>합곡리 895-4</v>
      </c>
      <c r="N28" s="39">
        <v>140</v>
      </c>
      <c r="O28" s="39">
        <v>150</v>
      </c>
      <c r="P28" s="39">
        <v>2</v>
      </c>
      <c r="Q28" s="2">
        <v>10.74</v>
      </c>
      <c r="R28" s="2" t="s">
        <v>657</v>
      </c>
      <c r="S28" s="2" t="s">
        <v>11</v>
      </c>
    </row>
    <row r="29" spans="1:19" ht="21.75" customHeight="1">
      <c r="A29" s="1"/>
      <c r="B29" s="1"/>
      <c r="E29" s="5"/>
    </row>
    <row r="30" spans="1:19" ht="21.75" customHeight="1" thickBot="1">
      <c r="A30" s="1"/>
      <c r="B30" s="1"/>
      <c r="E30" s="5"/>
    </row>
    <row r="31" spans="1:19" ht="21.75" customHeight="1">
      <c r="A31" s="1"/>
      <c r="B31" s="7" t="s">
        <v>21</v>
      </c>
      <c r="C31" s="10" t="s">
        <v>20</v>
      </c>
      <c r="D31" s="11" t="s">
        <v>5</v>
      </c>
      <c r="E31" s="5"/>
    </row>
    <row r="32" spans="1:19" ht="21.75" customHeight="1">
      <c r="A32" s="1"/>
      <c r="B32" s="12" t="s">
        <v>18</v>
      </c>
      <c r="C32" s="9">
        <f ca="1">COUNTIF(AA_INSIDE_AREA,"O")</f>
        <v>21</v>
      </c>
      <c r="D32" s="13">
        <f ca="1">SUMIF(AA_INSIDE_AREA,"O",$L$2:$L$2)</f>
        <v>110.02</v>
      </c>
    </row>
    <row r="33" spans="2:12" ht="21.75" customHeight="1">
      <c r="B33" s="12" t="s">
        <v>19</v>
      </c>
      <c r="C33" s="9">
        <f ca="1">COUNTIF(AA_INSIDE_AREA,"X")</f>
        <v>6</v>
      </c>
      <c r="D33" s="13">
        <f ca="1">SUMIF(AA_INSIDE_AREA,"X",$L$2:$L$2)</f>
        <v>33.979999999999997</v>
      </c>
      <c r="L33" s="37"/>
    </row>
    <row r="34" spans="2:12" ht="21.75" customHeight="1" thickBot="1">
      <c r="B34" s="8"/>
      <c r="C34" s="14"/>
      <c r="D34" s="15">
        <f ca="1">D32+D33</f>
        <v>144</v>
      </c>
      <c r="L34" s="3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J24" sqref="J24"/>
    </sheetView>
  </sheetViews>
  <sheetFormatPr defaultRowHeight="13.5"/>
  <cols>
    <col min="1" max="3" width="9" style="40"/>
    <col min="4" max="4" width="11.25" style="40" customWidth="1"/>
    <col min="5" max="5" width="9" style="42"/>
    <col min="6" max="6" width="11" style="40" customWidth="1"/>
    <col min="7" max="7" width="9" style="40" customWidth="1"/>
    <col min="8" max="8" width="9.375" style="40" customWidth="1"/>
    <col min="9" max="10" width="9" style="40"/>
    <col min="11" max="11" width="14.75" style="40" customWidth="1"/>
    <col min="12" max="12" width="10.875" style="40" customWidth="1"/>
    <col min="13" max="13" width="19.875" style="41" customWidth="1"/>
    <col min="14" max="17" width="9" style="40"/>
    <col min="18" max="18" width="11.125" style="40" customWidth="1"/>
    <col min="19" max="19" width="9" style="40"/>
    <col min="20" max="20" width="9" style="41"/>
    <col min="21" max="21" width="11" style="41" customWidth="1"/>
    <col min="22" max="16384" width="9" style="41"/>
  </cols>
  <sheetData>
    <row r="1" spans="1:19" s="2" customFormat="1" ht="47.25" customHeight="1">
      <c r="A1" s="34" t="s">
        <v>3</v>
      </c>
      <c r="B1" s="35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/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5</v>
      </c>
      <c r="R1" s="34" t="s">
        <v>16</v>
      </c>
      <c r="S1" s="34" t="s">
        <v>10</v>
      </c>
    </row>
    <row r="2" spans="1:19" ht="21.75" customHeight="1">
      <c r="A2" s="40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40" t="s">
        <v>30</v>
      </c>
      <c r="L5" s="43">
        <f>SUM(L2:L4)</f>
        <v>0</v>
      </c>
      <c r="S5" s="37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37"/>
      <c r="S7" s="37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37"/>
      <c r="S8" s="37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4" customFormat="1" ht="30.7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39">
        <v>20</v>
      </c>
      <c r="D18" s="39">
        <v>50</v>
      </c>
      <c r="E18" s="39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K62" sqref="K62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29" customFormat="1" ht="20.100000000000001" customHeight="1">
      <c r="A1" s="29" t="s">
        <v>3</v>
      </c>
      <c r="B1" s="29" t="s">
        <v>191</v>
      </c>
      <c r="C1" s="29" t="s">
        <v>197</v>
      </c>
      <c r="D1" s="29" t="s">
        <v>193</v>
      </c>
      <c r="E1" s="29" t="s">
        <v>194</v>
      </c>
      <c r="F1" s="29" t="s">
        <v>195</v>
      </c>
      <c r="G1" s="29" t="s">
        <v>196</v>
      </c>
      <c r="H1" s="29" t="s">
        <v>203</v>
      </c>
      <c r="I1" s="29" t="s">
        <v>204</v>
      </c>
      <c r="J1" s="29" t="s">
        <v>205</v>
      </c>
      <c r="K1" s="29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28" customFormat="1" ht="20.100000000000001" customHeight="1">
      <c r="A1" s="28" t="s">
        <v>265</v>
      </c>
      <c r="B1" s="28" t="s">
        <v>266</v>
      </c>
      <c r="C1" s="28" t="s">
        <v>267</v>
      </c>
      <c r="D1" s="28" t="s">
        <v>268</v>
      </c>
      <c r="E1" s="28" t="s">
        <v>89</v>
      </c>
      <c r="F1" s="28" t="s">
        <v>269</v>
      </c>
      <c r="G1" s="28" t="s">
        <v>270</v>
      </c>
      <c r="H1" s="28" t="s">
        <v>271</v>
      </c>
      <c r="I1" s="28" t="s">
        <v>272</v>
      </c>
      <c r="J1" s="28" t="s">
        <v>273</v>
      </c>
      <c r="K1" s="28" t="s">
        <v>274</v>
      </c>
      <c r="L1" s="28" t="s">
        <v>275</v>
      </c>
      <c r="M1" s="28" t="s">
        <v>276</v>
      </c>
      <c r="N1" s="28" t="s">
        <v>277</v>
      </c>
      <c r="O1" s="28" t="s">
        <v>278</v>
      </c>
      <c r="P1" s="28" t="s">
        <v>279</v>
      </c>
      <c r="Q1" s="28" t="s">
        <v>280</v>
      </c>
      <c r="R1" s="28" t="s">
        <v>281</v>
      </c>
      <c r="S1" s="28" t="s">
        <v>282</v>
      </c>
      <c r="T1" s="28" t="s">
        <v>283</v>
      </c>
      <c r="U1" s="28" t="s">
        <v>284</v>
      </c>
      <c r="V1" s="28" t="s">
        <v>285</v>
      </c>
      <c r="W1" s="28" t="s">
        <v>286</v>
      </c>
      <c r="X1" s="28" t="s">
        <v>287</v>
      </c>
      <c r="Y1" s="28" t="s">
        <v>288</v>
      </c>
      <c r="Z1" s="28" t="s">
        <v>289</v>
      </c>
      <c r="AA1" s="28" t="s">
        <v>290</v>
      </c>
      <c r="AB1" s="28" t="s">
        <v>291</v>
      </c>
      <c r="AC1" s="28" t="s">
        <v>292</v>
      </c>
      <c r="AD1" s="28" t="s">
        <v>293</v>
      </c>
      <c r="AE1" s="28" t="s">
        <v>294</v>
      </c>
      <c r="AF1" s="28" t="s">
        <v>295</v>
      </c>
      <c r="AG1" s="28" t="s">
        <v>198</v>
      </c>
      <c r="AH1" s="28" t="s">
        <v>296</v>
      </c>
      <c r="AI1" s="28" t="s">
        <v>297</v>
      </c>
      <c r="AJ1" s="28" t="s">
        <v>298</v>
      </c>
      <c r="AK1" s="28" t="s">
        <v>299</v>
      </c>
      <c r="AL1" s="28" t="s">
        <v>300</v>
      </c>
      <c r="AM1" s="28" t="s">
        <v>301</v>
      </c>
      <c r="AN1" s="28" t="s">
        <v>302</v>
      </c>
      <c r="AO1" s="28" t="s">
        <v>303</v>
      </c>
      <c r="AP1" s="28" t="s">
        <v>304</v>
      </c>
      <c r="AQ1" s="28" t="s">
        <v>305</v>
      </c>
      <c r="AR1" s="28" t="s">
        <v>306</v>
      </c>
      <c r="AS1" s="28" t="s">
        <v>307</v>
      </c>
      <c r="AT1" s="28" t="s">
        <v>308</v>
      </c>
      <c r="AU1" s="28" t="s">
        <v>309</v>
      </c>
      <c r="AV1" s="28" t="s">
        <v>310</v>
      </c>
      <c r="AW1" s="28" t="s">
        <v>311</v>
      </c>
      <c r="AX1" s="28" t="s">
        <v>312</v>
      </c>
      <c r="AY1" s="28" t="s">
        <v>313</v>
      </c>
      <c r="AZ1" s="28" t="s">
        <v>314</v>
      </c>
      <c r="BA1" s="28" t="s">
        <v>315</v>
      </c>
      <c r="BB1" s="28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0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0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0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0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0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0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0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0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0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0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0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0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0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0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0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0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0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0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0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0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0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0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0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0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0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0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0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0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0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0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0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0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0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0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0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0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0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0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0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0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0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0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0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2025-05-22T16:33:31Z</dcterms:modified>
</cp:coreProperties>
</file>