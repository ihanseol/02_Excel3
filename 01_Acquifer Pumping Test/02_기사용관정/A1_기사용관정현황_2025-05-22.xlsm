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48088C4-CBA7-4A81-943D-BA852F32EE37}" xr6:coauthVersionLast="47" xr6:coauthVersionMax="47" xr10:uidLastSave="{00000000-0000-0000-0000-000000000000}"/>
  <bookViews>
    <workbookView xWindow="7545" yWindow="375" windowWidth="29775" windowHeight="2028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ss!$G$79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ss!$G$80</definedName>
    <definedName name="all_in_count">ss!$C$79</definedName>
    <definedName name="all_in_sum">ss!$D$79</definedName>
    <definedName name="all_out_count">ss!$C$80</definedName>
    <definedName name="all_out_sum">ss!$D$80</definedName>
    <definedName name="ii_in_count">ss!$I$79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ss!$I$80</definedName>
    <definedName name="ss_in_count">ss!$E$79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ss!$E$80</definedName>
    <definedName name="SUM_AA" localSheetId="7">#REF!</definedName>
    <definedName name="SUM_AA" localSheetId="8">#REF!</definedName>
    <definedName name="SUM_AA" localSheetId="6">#REF!</definedName>
    <definedName name="SUM_AA_IN">ss!$H$79</definedName>
    <definedName name="SUM_AA_OUT">ss!$H$80</definedName>
    <definedName name="SUM_II" localSheetId="7">#REF!</definedName>
    <definedName name="SUM_II" localSheetId="8">#REF!</definedName>
    <definedName name="SUM_II" localSheetId="6">#REF!</definedName>
    <definedName name="SUM_II_IN">ss!$J$79</definedName>
    <definedName name="SUM_II_OUT">ss!$J$80</definedName>
    <definedName name="SUM_SS" localSheetId="7">#REF!</definedName>
    <definedName name="SUM_SS" localSheetId="8">#REF!</definedName>
    <definedName name="SUM_SS" localSheetId="6">#REF!</definedName>
    <definedName name="SUM_SS_IN">ss!$F$79</definedName>
    <definedName name="SUM_SS_OUT">ss!$F$80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5" i="8" l="1"/>
  <c r="M66" i="8"/>
  <c r="M67" i="8"/>
  <c r="M68" i="8"/>
  <c r="M69" i="8"/>
  <c r="M70" i="8"/>
  <c r="M71" i="8"/>
  <c r="M72" i="8"/>
  <c r="M73" i="8"/>
  <c r="M74" i="8"/>
  <c r="M29" i="10"/>
  <c r="M30" i="10"/>
  <c r="M31" i="10"/>
  <c r="M32" i="10"/>
  <c r="M33" i="10"/>
  <c r="M34" i="10"/>
  <c r="M35" i="10"/>
  <c r="M36" i="10"/>
  <c r="M37" i="10"/>
  <c r="M38" i="10"/>
  <c r="M27" i="10"/>
  <c r="M28" i="10"/>
  <c r="M22" i="10"/>
  <c r="M23" i="10"/>
  <c r="M24" i="10"/>
  <c r="M25" i="10"/>
  <c r="M26" i="10"/>
  <c r="M55" i="8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43" i="10" l="1"/>
  <c r="C43" i="10"/>
  <c r="D42" i="10"/>
  <c r="C42" i="10"/>
  <c r="H79" i="8" l="1"/>
  <c r="D44" i="10"/>
  <c r="F80" i="8" l="1"/>
  <c r="E80" i="8" s="1"/>
  <c r="F79" i="8"/>
  <c r="J9" i="12"/>
  <c r="E79" i="8" l="1"/>
  <c r="L78" i="8"/>
  <c r="D9" i="11"/>
  <c r="C9" i="11"/>
  <c r="D8" i="11"/>
  <c r="L5" i="11"/>
  <c r="M2" i="11"/>
  <c r="L79" i="8" l="1"/>
  <c r="C8" i="11"/>
  <c r="J80" i="8"/>
  <c r="I80" i="8" s="1"/>
  <c r="J79" i="8"/>
  <c r="I79" i="8" s="1"/>
  <c r="D10" i="11"/>
  <c r="H80" i="8" l="1"/>
  <c r="D80" i="8" l="1"/>
  <c r="G80" i="8"/>
  <c r="C80" i="8" s="1"/>
  <c r="D79" i="8"/>
  <c r="L81" i="8" s="1"/>
  <c r="G79" i="8"/>
  <c r="C79" i="8" s="1"/>
  <c r="L8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7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7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7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7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7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7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7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7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8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8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8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8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8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8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8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8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<sst xmlns="http://schemas.openxmlformats.org/spreadsheetml/2006/main" count="6267" uniqueCount="944">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</sst>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98"/>
  <sheetViews>
    <sheetView tabSelected="1" workbookViewId="0">
      <selection activeCell="K14" sqref="K14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1.68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2.68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3.68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4.68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5.68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6.68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">
        <v>25</v>
      </c>
      <c r="J41" s="4">
        <v>16</v>
      </c>
      <c r="K41" s="2" t="s">
        <v>146</v>
      </c>
      <c r="L41" s="6">
        <v>7.68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42" t="s">
        <v>702</v>
      </c>
      <c r="F42" s="43">
        <v>20</v>
      </c>
      <c r="G42" s="43">
        <v>50</v>
      </c>
      <c r="H42" s="43">
        <v>0.3</v>
      </c>
      <c r="I42" s="43">
        <v>30</v>
      </c>
      <c r="J42" s="2">
        <v>16</v>
      </c>
      <c r="K42" s="2" t="s">
        <v>146</v>
      </c>
      <c r="L42" s="6">
        <v>8.68</v>
      </c>
      <c r="M42" s="2" t="str">
        <f t="shared" si="3"/>
        <v>합곡리 311-5</v>
      </c>
      <c r="N42" s="43">
        <v>20</v>
      </c>
      <c r="O42" s="43">
        <v>50</v>
      </c>
      <c r="P42" s="43">
        <v>0.3</v>
      </c>
      <c r="Q42" s="2">
        <v>8.68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">
        <v>25</v>
      </c>
      <c r="J43" s="4">
        <v>16</v>
      </c>
      <c r="K43" s="2" t="s">
        <v>146</v>
      </c>
      <c r="L43" s="6">
        <v>9.68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10.68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11.68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12.68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13.68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14.68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15.68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16.68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17.68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18.68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19.68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20.68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21.68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22.68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23.68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24.68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25.68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26.68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27.68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28.68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29.68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30.68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1:19" ht="21.75" customHeight="1">
      <c r="A65" s="2" t="s">
        <v>934</v>
      </c>
      <c r="B65" s="1" t="s">
        <v>22</v>
      </c>
      <c r="C65" s="2" t="s">
        <v>666</v>
      </c>
      <c r="D65" s="2" t="s">
        <v>668</v>
      </c>
      <c r="I65" s="2"/>
      <c r="J65" s="2"/>
      <c r="K65" s="2" t="s">
        <v>146</v>
      </c>
      <c r="L65" s="6">
        <v>31.68</v>
      </c>
      <c r="M65" s="2" t="str">
        <f t="shared" ref="M65:M74" si="6">D65&amp;" "&amp;E65</f>
        <v xml:space="preserve">합곡리 </v>
      </c>
      <c r="S65" s="2" t="s">
        <v>11</v>
      </c>
    </row>
    <row r="66" spans="1:19" ht="21.75" customHeight="1">
      <c r="A66" s="2" t="s">
        <v>935</v>
      </c>
      <c r="B66" s="1" t="s">
        <v>22</v>
      </c>
      <c r="C66" s="2" t="s">
        <v>666</v>
      </c>
      <c r="D66" s="2" t="s">
        <v>668</v>
      </c>
      <c r="I66" s="2"/>
      <c r="J66" s="2"/>
      <c r="K66" s="2" t="s">
        <v>146</v>
      </c>
      <c r="L66" s="6">
        <v>32.68</v>
      </c>
      <c r="M66" s="2" t="str">
        <f t="shared" si="6"/>
        <v xml:space="preserve">합곡리 </v>
      </c>
      <c r="S66" s="2" t="s">
        <v>11</v>
      </c>
    </row>
    <row r="67" spans="1:19" ht="21.75" customHeight="1">
      <c r="A67" s="2" t="s">
        <v>936</v>
      </c>
      <c r="B67" s="1" t="s">
        <v>22</v>
      </c>
      <c r="C67" s="2" t="s">
        <v>666</v>
      </c>
      <c r="D67" s="2" t="s">
        <v>668</v>
      </c>
      <c r="I67" s="2"/>
      <c r="J67" s="2"/>
      <c r="K67" s="2" t="s">
        <v>146</v>
      </c>
      <c r="L67" s="6">
        <v>33.68</v>
      </c>
      <c r="M67" s="2" t="str">
        <f t="shared" si="6"/>
        <v xml:space="preserve">합곡리 </v>
      </c>
      <c r="S67" s="2" t="s">
        <v>11</v>
      </c>
    </row>
    <row r="68" spans="1:19" ht="21.75" customHeight="1">
      <c r="A68" s="2" t="s">
        <v>937</v>
      </c>
      <c r="B68" s="1" t="s">
        <v>22</v>
      </c>
      <c r="C68" s="2" t="s">
        <v>666</v>
      </c>
      <c r="D68" s="2" t="s">
        <v>668</v>
      </c>
      <c r="I68" s="2"/>
      <c r="J68" s="2"/>
      <c r="K68" s="2" t="s">
        <v>146</v>
      </c>
      <c r="L68" s="6">
        <v>34.68</v>
      </c>
      <c r="M68" s="2" t="str">
        <f t="shared" si="6"/>
        <v xml:space="preserve">합곡리 </v>
      </c>
      <c r="S68" s="2" t="s">
        <v>11</v>
      </c>
    </row>
    <row r="69" spans="1:19" ht="21.75" customHeight="1">
      <c r="A69" s="2" t="s">
        <v>938</v>
      </c>
      <c r="B69" s="1" t="s">
        <v>22</v>
      </c>
      <c r="C69" s="2" t="s">
        <v>666</v>
      </c>
      <c r="D69" s="2" t="s">
        <v>668</v>
      </c>
      <c r="I69" s="2"/>
      <c r="J69" s="2"/>
      <c r="K69" s="2" t="s">
        <v>146</v>
      </c>
      <c r="L69" s="6">
        <v>35.68</v>
      </c>
      <c r="M69" s="2" t="str">
        <f t="shared" si="6"/>
        <v xml:space="preserve">합곡리 </v>
      </c>
      <c r="S69" s="2" t="s">
        <v>11</v>
      </c>
    </row>
    <row r="70" spans="1:19" ht="21.75" customHeight="1">
      <c r="A70" s="2" t="s">
        <v>939</v>
      </c>
      <c r="B70" s="1" t="s">
        <v>22</v>
      </c>
      <c r="C70" s="2" t="s">
        <v>666</v>
      </c>
      <c r="D70" s="2" t="s">
        <v>668</v>
      </c>
      <c r="I70" s="2"/>
      <c r="J70" s="2"/>
      <c r="K70" s="2" t="s">
        <v>146</v>
      </c>
      <c r="L70" s="6">
        <v>36.68</v>
      </c>
      <c r="M70" s="2" t="str">
        <f t="shared" si="6"/>
        <v xml:space="preserve">합곡리 </v>
      </c>
      <c r="S70" s="2" t="s">
        <v>11</v>
      </c>
    </row>
    <row r="71" spans="1:19" ht="21.75" customHeight="1">
      <c r="A71" s="2" t="s">
        <v>940</v>
      </c>
      <c r="B71" s="1" t="s">
        <v>22</v>
      </c>
      <c r="C71" s="2" t="s">
        <v>666</v>
      </c>
      <c r="D71" s="2" t="s">
        <v>668</v>
      </c>
      <c r="I71" s="2"/>
      <c r="J71" s="2"/>
      <c r="K71" s="2" t="s">
        <v>146</v>
      </c>
      <c r="L71" s="6">
        <v>37.68</v>
      </c>
      <c r="M71" s="2" t="str">
        <f t="shared" si="6"/>
        <v xml:space="preserve">합곡리 </v>
      </c>
      <c r="S71" s="2" t="s">
        <v>11</v>
      </c>
    </row>
    <row r="72" spans="1:19" ht="21.75" customHeight="1">
      <c r="A72" s="2" t="s">
        <v>941</v>
      </c>
      <c r="B72" s="1" t="s">
        <v>22</v>
      </c>
      <c r="C72" s="2" t="s">
        <v>666</v>
      </c>
      <c r="D72" s="2" t="s">
        <v>668</v>
      </c>
      <c r="I72" s="2"/>
      <c r="J72" s="2"/>
      <c r="K72" s="2" t="s">
        <v>146</v>
      </c>
      <c r="L72" s="6">
        <v>38.68</v>
      </c>
      <c r="M72" s="2" t="str">
        <f t="shared" si="6"/>
        <v xml:space="preserve">합곡리 </v>
      </c>
      <c r="S72" s="2" t="s">
        <v>11</v>
      </c>
    </row>
    <row r="73" spans="1:19" ht="21.75" customHeight="1">
      <c r="A73" s="2" t="s">
        <v>942</v>
      </c>
      <c r="B73" s="1" t="s">
        <v>22</v>
      </c>
      <c r="C73" s="2" t="s">
        <v>666</v>
      </c>
      <c r="D73" s="2" t="s">
        <v>668</v>
      </c>
      <c r="I73" s="2"/>
      <c r="J73" s="2"/>
      <c r="K73" s="2" t="s">
        <v>146</v>
      </c>
      <c r="L73" s="6">
        <v>39.68</v>
      </c>
      <c r="M73" s="2" t="str">
        <f t="shared" si="6"/>
        <v xml:space="preserve">합곡리 </v>
      </c>
      <c r="S73" s="2" t="s">
        <v>11</v>
      </c>
    </row>
    <row r="74" spans="1:19" ht="21.75" customHeight="1">
      <c r="A74" s="2" t="s">
        <v>943</v>
      </c>
      <c r="B74" s="1" t="s">
        <v>22</v>
      </c>
      <c r="C74" s="2" t="s">
        <v>666</v>
      </c>
      <c r="D74" s="2" t="s">
        <v>668</v>
      </c>
      <c r="I74" s="2"/>
      <c r="J74" s="2"/>
      <c r="K74" s="2" t="s">
        <v>146</v>
      </c>
      <c r="L74" s="6">
        <v>40.68</v>
      </c>
      <c r="M74" s="2" t="str">
        <f t="shared" si="6"/>
        <v xml:space="preserve">합곡리 </v>
      </c>
      <c r="S74" s="2" t="s">
        <v>11</v>
      </c>
    </row>
    <row r="75" spans="1:19" ht="21.75" customHeight="1">
      <c r="B75" s="1"/>
      <c r="I75" s="2"/>
      <c r="J75" s="2"/>
      <c r="L75" s="6"/>
    </row>
    <row r="76" spans="1:19" ht="21.75" customHeight="1">
      <c r="B76" s="1"/>
      <c r="I76" s="2"/>
      <c r="J76" s="2"/>
      <c r="L76" s="6"/>
    </row>
    <row r="77" spans="1:19" ht="21.75" customHeight="1" thickBot="1">
      <c r="B77" s="1"/>
      <c r="I77" s="2"/>
      <c r="J77" s="2"/>
      <c r="L77" s="6"/>
    </row>
    <row r="78" spans="1:19" ht="21.75" customHeight="1">
      <c r="B78" s="7" t="s">
        <v>252</v>
      </c>
      <c r="C78" s="51" t="s">
        <v>253</v>
      </c>
      <c r="D78" s="52"/>
      <c r="E78" s="51" t="s">
        <v>256</v>
      </c>
      <c r="F78" s="52"/>
      <c r="G78" s="51" t="s">
        <v>257</v>
      </c>
      <c r="H78" s="52"/>
      <c r="I78" s="51" t="s">
        <v>258</v>
      </c>
      <c r="J78" s="53"/>
      <c r="K78" s="2" t="s">
        <v>33</v>
      </c>
      <c r="L78" s="40">
        <f ca="1">SUM_SS_IN</f>
        <v>865.5599999999996</v>
      </c>
    </row>
    <row r="79" spans="1:19" ht="21.75" customHeight="1">
      <c r="B79" s="12" t="s">
        <v>254</v>
      </c>
      <c r="C79" s="9">
        <f ca="1">E79+G79+I79</f>
        <v>98</v>
      </c>
      <c r="D79" s="9">
        <f ca="1">F79+H79+J79</f>
        <v>1146.8399999999997</v>
      </c>
      <c r="E79" s="9">
        <f ca="1">IF(F79=0,0,COUNTIF(SS_INSIDE_AREA,"O"))</f>
        <v>67</v>
      </c>
      <c r="F79" s="9">
        <f ca="1">SUMIF(SS_INSIDE_AREA,"O",$L$2:$L$2)</f>
        <v>865.5599999999996</v>
      </c>
      <c r="G79" s="9">
        <f ca="1">IF(H79=0,0,COUNTIF(AA_INSIDE_AREA,"O"))</f>
        <v>31</v>
      </c>
      <c r="H79" s="9">
        <f ca="1">aa!$D$42</f>
        <v>281.28000000000003</v>
      </c>
      <c r="I79" s="9">
        <f ca="1">IF(J79=0,0,COUNTIF(II_INSIDE_AREA,"O"))</f>
        <v>0</v>
      </c>
      <c r="J79" s="13">
        <f ca="1">ii!$D$8</f>
        <v>0</v>
      </c>
      <c r="K79" s="2" t="s">
        <v>30</v>
      </c>
      <c r="L79" s="39">
        <f ca="1">L78+aa!D42+ii!L5</f>
        <v>1146.8399999999997</v>
      </c>
    </row>
    <row r="80" spans="1:19" ht="21.75" customHeight="1" thickBot="1">
      <c r="B80" s="8" t="s">
        <v>255</v>
      </c>
      <c r="C80" s="14">
        <f ca="1">E80+G80+I80</f>
        <v>12</v>
      </c>
      <c r="D80" s="14">
        <f ca="1">F80+H80+J80</f>
        <v>38.059999999999995</v>
      </c>
      <c r="E80" s="14">
        <f ca="1">IF(F80=0,0,COUNTIF(SS_INSIDE_AREA,"X"))</f>
        <v>6</v>
      </c>
      <c r="F80" s="14">
        <f ca="1">SUMIF(SS_INSIDE_AREA,"X",$L$2:$L$2)</f>
        <v>4.08</v>
      </c>
      <c r="G80" s="14">
        <f ca="1">IF(H80=0,0,COUNTIF(AA_INSIDE_AREA,"X"))</f>
        <v>6</v>
      </c>
      <c r="H80" s="14">
        <f ca="1">aa!$D$43</f>
        <v>33.979999999999997</v>
      </c>
      <c r="I80" s="14">
        <f ca="1">IF(J80=0,0,COUNTIF(II_INSIDE_AREA,"X"))</f>
        <v>0</v>
      </c>
      <c r="J80" s="15">
        <f ca="1">ii!$D$9</f>
        <v>0</v>
      </c>
    </row>
    <row r="81" spans="2:17" ht="21.75" customHeight="1">
      <c r="B81"/>
      <c r="C81"/>
      <c r="D81"/>
      <c r="E81"/>
      <c r="F81"/>
      <c r="G81"/>
      <c r="H81"/>
      <c r="I81"/>
      <c r="K81" s="7" t="s">
        <v>31</v>
      </c>
      <c r="L81" s="28">
        <f ca="1">D79</f>
        <v>1146.8399999999997</v>
      </c>
    </row>
    <row r="82" spans="2:17" ht="21.75" customHeight="1" thickBot="1">
      <c r="B82"/>
      <c r="C82"/>
      <c r="D82"/>
      <c r="E82"/>
      <c r="F82"/>
      <c r="G82"/>
      <c r="H82"/>
      <c r="I82"/>
      <c r="K82" s="8" t="s">
        <v>32</v>
      </c>
      <c r="L82" s="29">
        <f ca="1">C79</f>
        <v>98</v>
      </c>
    </row>
    <row r="83" spans="2:17" ht="21.75" customHeight="1">
      <c r="B83"/>
      <c r="C83"/>
      <c r="D83"/>
      <c r="E83"/>
      <c r="F83"/>
      <c r="G83"/>
      <c r="H83"/>
      <c r="I83"/>
    </row>
    <row r="84" spans="2:17" ht="21.75" customHeight="1">
      <c r="B84"/>
      <c r="C84"/>
      <c r="D84"/>
      <c r="E84"/>
      <c r="F84"/>
      <c r="G84"/>
      <c r="H84"/>
      <c r="I84"/>
    </row>
    <row r="85" spans="2:17" ht="21.75" customHeight="1">
      <c r="B85"/>
      <c r="C85"/>
      <c r="D85"/>
      <c r="E85"/>
      <c r="F85"/>
      <c r="G85"/>
      <c r="H85"/>
      <c r="I85"/>
    </row>
    <row r="86" spans="2:17" ht="21.75" customHeight="1">
      <c r="B86"/>
      <c r="C86"/>
      <c r="D86"/>
      <c r="E86"/>
      <c r="F86"/>
      <c r="G86"/>
      <c r="H86"/>
      <c r="I86"/>
    </row>
    <row r="87" spans="2:17" ht="21.75" customHeight="1">
      <c r="B87"/>
      <c r="C87"/>
      <c r="D87"/>
      <c r="E87"/>
      <c r="F87"/>
      <c r="G87"/>
      <c r="H87"/>
      <c r="I87"/>
    </row>
    <row r="88" spans="2:17" ht="21.75" customHeight="1">
      <c r="B88"/>
      <c r="C88"/>
      <c r="D88"/>
      <c r="E88"/>
      <c r="F88"/>
      <c r="G88"/>
      <c r="H88"/>
      <c r="I88"/>
    </row>
    <row r="89" spans="2:17" ht="21.75" customHeight="1">
      <c r="B89"/>
      <c r="C89"/>
      <c r="D89"/>
      <c r="E89"/>
      <c r="F89"/>
      <c r="G89"/>
      <c r="H89"/>
      <c r="I89"/>
    </row>
    <row r="90" spans="2:17" ht="21.75" customHeight="1">
      <c r="B90"/>
      <c r="C90"/>
      <c r="D90"/>
      <c r="E90"/>
      <c r="F90"/>
      <c r="G90"/>
      <c r="H90"/>
      <c r="I90"/>
    </row>
    <row r="91" spans="2:17" ht="21.75" customHeight="1">
      <c r="B91"/>
      <c r="C91"/>
      <c r="D91"/>
      <c r="E91"/>
      <c r="F91"/>
      <c r="G91"/>
      <c r="H91"/>
      <c r="I91"/>
    </row>
    <row r="96" spans="2:17" ht="21.75" customHeight="1">
      <c r="K96"/>
      <c r="L96"/>
      <c r="M96"/>
      <c r="N96"/>
      <c r="O96"/>
      <c r="P96"/>
      <c r="Q96"/>
    </row>
    <row r="97" spans="11:17" ht="21.75" customHeight="1">
      <c r="K97"/>
      <c r="L97"/>
      <c r="M97"/>
      <c r="N97"/>
      <c r="O97"/>
      <c r="P97"/>
      <c r="Q97"/>
    </row>
    <row r="98" spans="11:17" ht="21.75" customHeight="1">
      <c r="K98"/>
      <c r="L98"/>
      <c r="M98"/>
      <c r="N98"/>
      <c r="O98"/>
      <c r="P98"/>
      <c r="Q98"/>
    </row>
  </sheetData>
  <dataConsolidate/>
  <mergeCells count="4">
    <mergeCell ref="C78:D78"/>
    <mergeCell ref="E78:F78"/>
    <mergeCell ref="G78:H78"/>
    <mergeCell ref="I78:J7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44"/>
  <sheetViews>
    <sheetView workbookViewId="0">
      <selection activeCell="W15" sqref="W15"/>
    </sheetView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0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42" t="s">
        <v>729</v>
      </c>
      <c r="F22" s="43">
        <v>140</v>
      </c>
      <c r="G22" s="43">
        <v>150</v>
      </c>
      <c r="H22" s="43">
        <v>2</v>
      </c>
      <c r="I22" s="43">
        <v>90</v>
      </c>
      <c r="J22" s="2">
        <v>32</v>
      </c>
      <c r="K22" s="2" t="s">
        <v>657</v>
      </c>
      <c r="L22" s="2">
        <v>4.74</v>
      </c>
      <c r="M22" s="2" t="str">
        <f t="shared" ref="M22:M26" si="1">D22&amp;" "&amp;E22</f>
        <v>합곡리 895-4</v>
      </c>
      <c r="N22" s="43">
        <v>140</v>
      </c>
      <c r="O22" s="43">
        <v>150</v>
      </c>
      <c r="P22" s="43">
        <v>2</v>
      </c>
      <c r="Q22" s="2">
        <v>4.74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42" t="s">
        <v>730</v>
      </c>
      <c r="F23" s="43">
        <v>90</v>
      </c>
      <c r="G23" s="43">
        <v>200</v>
      </c>
      <c r="H23" s="43">
        <v>2</v>
      </c>
      <c r="I23" s="43">
        <v>120</v>
      </c>
      <c r="J23" s="2">
        <v>32</v>
      </c>
      <c r="K23" s="2" t="s">
        <v>657</v>
      </c>
      <c r="L23" s="2">
        <v>5.74</v>
      </c>
      <c r="M23" s="2" t="str">
        <f t="shared" si="1"/>
        <v>합곡리 1023-3</v>
      </c>
      <c r="N23" s="43">
        <v>90</v>
      </c>
      <c r="O23" s="43">
        <v>200</v>
      </c>
      <c r="P23" s="43">
        <v>2</v>
      </c>
      <c r="Q23" s="2">
        <v>5.74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42" t="s">
        <v>731</v>
      </c>
      <c r="F24" s="43">
        <v>100</v>
      </c>
      <c r="G24" s="43">
        <v>200</v>
      </c>
      <c r="H24" s="43">
        <v>2</v>
      </c>
      <c r="I24" s="43">
        <v>90</v>
      </c>
      <c r="J24" s="2">
        <v>32</v>
      </c>
      <c r="K24" s="2" t="s">
        <v>657</v>
      </c>
      <c r="L24" s="2">
        <v>6.74</v>
      </c>
      <c r="M24" s="2" t="str">
        <f t="shared" si="1"/>
        <v>합곡리 1025-4</v>
      </c>
      <c r="N24" s="43">
        <v>100</v>
      </c>
      <c r="O24" s="43">
        <v>200</v>
      </c>
      <c r="P24" s="43">
        <v>2</v>
      </c>
      <c r="Q24" s="2">
        <v>6.74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42" t="s">
        <v>732</v>
      </c>
      <c r="F25" s="43">
        <v>100</v>
      </c>
      <c r="G25" s="43">
        <v>200</v>
      </c>
      <c r="H25" s="43">
        <v>2</v>
      </c>
      <c r="I25" s="43">
        <v>120</v>
      </c>
      <c r="J25" s="2">
        <v>32</v>
      </c>
      <c r="K25" s="2" t="s">
        <v>657</v>
      </c>
      <c r="L25" s="2">
        <v>7.74</v>
      </c>
      <c r="M25" s="2" t="str">
        <f t="shared" si="1"/>
        <v>합곡리 1022-2</v>
      </c>
      <c r="N25" s="43">
        <v>100</v>
      </c>
      <c r="O25" s="43">
        <v>200</v>
      </c>
      <c r="P25" s="43">
        <v>2</v>
      </c>
      <c r="Q25" s="2">
        <v>7.74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42" t="s">
        <v>734</v>
      </c>
      <c r="F26" s="43">
        <v>20</v>
      </c>
      <c r="G26" s="43">
        <v>50</v>
      </c>
      <c r="H26" s="43">
        <v>0.5</v>
      </c>
      <c r="I26" s="43">
        <v>40</v>
      </c>
      <c r="J26" s="2">
        <v>20</v>
      </c>
      <c r="K26" s="2" t="s">
        <v>657</v>
      </c>
      <c r="L26" s="2">
        <v>8.74</v>
      </c>
      <c r="M26" s="2" t="str">
        <f t="shared" si="1"/>
        <v>합곡리 1018-1</v>
      </c>
      <c r="N26" s="43">
        <v>20</v>
      </c>
      <c r="O26" s="43">
        <v>50</v>
      </c>
      <c r="P26" s="43">
        <v>0.5</v>
      </c>
      <c r="Q26" s="2">
        <v>8.74</v>
      </c>
      <c r="R26" s="2" t="s">
        <v>657</v>
      </c>
      <c r="S26" s="2" t="s">
        <v>11</v>
      </c>
    </row>
    <row r="27" spans="1:19" ht="21.75" customHeight="1">
      <c r="A27" s="1" t="s">
        <v>920</v>
      </c>
      <c r="B27" s="1" t="s">
        <v>2</v>
      </c>
      <c r="C27" s="2" t="s">
        <v>666</v>
      </c>
      <c r="D27" s="2" t="s">
        <v>668</v>
      </c>
      <c r="E27" s="42" t="s">
        <v>728</v>
      </c>
      <c r="F27" s="43">
        <v>100</v>
      </c>
      <c r="G27" s="43">
        <v>150</v>
      </c>
      <c r="H27" s="43">
        <v>2</v>
      </c>
      <c r="I27" s="43">
        <v>80</v>
      </c>
      <c r="J27" s="2">
        <v>32</v>
      </c>
      <c r="K27" s="2" t="s">
        <v>657</v>
      </c>
      <c r="L27" s="2">
        <v>9.74</v>
      </c>
      <c r="M27" s="2" t="str">
        <f t="shared" ref="M27:M28" si="2">D27&amp;" "&amp;E27</f>
        <v>합곡리 462</v>
      </c>
      <c r="N27" s="43">
        <v>100</v>
      </c>
      <c r="O27" s="43">
        <v>150</v>
      </c>
      <c r="P27" s="43">
        <v>2</v>
      </c>
      <c r="Q27" s="2">
        <v>9.74</v>
      </c>
      <c r="R27" s="2" t="s">
        <v>657</v>
      </c>
      <c r="S27" s="2" t="s">
        <v>11</v>
      </c>
    </row>
    <row r="28" spans="1:19" ht="21.75" customHeight="1">
      <c r="A28" s="1" t="s">
        <v>921</v>
      </c>
      <c r="B28" s="1" t="s">
        <v>2</v>
      </c>
      <c r="C28" s="2" t="s">
        <v>666</v>
      </c>
      <c r="D28" s="2" t="s">
        <v>668</v>
      </c>
      <c r="E28" s="42" t="s">
        <v>729</v>
      </c>
      <c r="F28" s="43">
        <v>140</v>
      </c>
      <c r="G28" s="43">
        <v>150</v>
      </c>
      <c r="H28" s="43">
        <v>2</v>
      </c>
      <c r="I28" s="43">
        <v>90</v>
      </c>
      <c r="J28" s="2">
        <v>32</v>
      </c>
      <c r="K28" s="2" t="s">
        <v>657</v>
      </c>
      <c r="L28" s="2">
        <v>10.74</v>
      </c>
      <c r="M28" s="2" t="str">
        <f t="shared" si="2"/>
        <v>합곡리 895-4</v>
      </c>
      <c r="N28" s="43">
        <v>140</v>
      </c>
      <c r="O28" s="43">
        <v>150</v>
      </c>
      <c r="P28" s="43">
        <v>2</v>
      </c>
      <c r="Q28" s="2">
        <v>10.74</v>
      </c>
      <c r="R28" s="2" t="s">
        <v>657</v>
      </c>
      <c r="S28" s="2" t="s">
        <v>11</v>
      </c>
    </row>
    <row r="29" spans="1:19" ht="21.75" customHeight="1">
      <c r="A29" s="1" t="s">
        <v>924</v>
      </c>
      <c r="B29" s="1" t="s">
        <v>2</v>
      </c>
      <c r="C29" s="2" t="s">
        <v>666</v>
      </c>
      <c r="D29" s="2" t="s">
        <v>668</v>
      </c>
      <c r="E29" s="42"/>
      <c r="F29" s="43"/>
      <c r="G29" s="43"/>
      <c r="H29" s="43"/>
      <c r="I29" s="43"/>
      <c r="K29" s="2" t="s">
        <v>657</v>
      </c>
      <c r="L29" s="2">
        <v>11.74</v>
      </c>
      <c r="M29" s="2" t="str">
        <f t="shared" ref="M29:M38" si="3">D29&amp;" "&amp;E29</f>
        <v xml:space="preserve">합곡리 </v>
      </c>
      <c r="N29" s="43"/>
      <c r="O29" s="43"/>
      <c r="P29" s="43"/>
      <c r="S29" s="2" t="s">
        <v>11</v>
      </c>
    </row>
    <row r="30" spans="1:19" ht="21.75" customHeight="1">
      <c r="A30" s="1" t="s">
        <v>925</v>
      </c>
      <c r="B30" s="1" t="s">
        <v>2</v>
      </c>
      <c r="C30" s="2" t="s">
        <v>666</v>
      </c>
      <c r="D30" s="2" t="s">
        <v>668</v>
      </c>
      <c r="E30" s="42"/>
      <c r="F30" s="43"/>
      <c r="G30" s="43"/>
      <c r="H30" s="43"/>
      <c r="I30" s="43"/>
      <c r="K30" s="2" t="s">
        <v>657</v>
      </c>
      <c r="L30" s="2">
        <v>12.74</v>
      </c>
      <c r="M30" s="2" t="str">
        <f t="shared" si="3"/>
        <v xml:space="preserve">합곡리 </v>
      </c>
      <c r="N30" s="43"/>
      <c r="O30" s="43"/>
      <c r="P30" s="43"/>
      <c r="S30" s="2" t="s">
        <v>11</v>
      </c>
    </row>
    <row r="31" spans="1:19" ht="21.75" customHeight="1">
      <c r="A31" s="1" t="s">
        <v>926</v>
      </c>
      <c r="B31" s="1" t="s">
        <v>2</v>
      </c>
      <c r="C31" s="2" t="s">
        <v>666</v>
      </c>
      <c r="D31" s="2" t="s">
        <v>668</v>
      </c>
      <c r="E31" s="42"/>
      <c r="F31" s="43"/>
      <c r="G31" s="43"/>
      <c r="H31" s="43"/>
      <c r="I31" s="43"/>
      <c r="K31" s="2" t="s">
        <v>657</v>
      </c>
      <c r="L31" s="2">
        <v>13.74</v>
      </c>
      <c r="M31" s="2" t="str">
        <f t="shared" si="3"/>
        <v xml:space="preserve">합곡리 </v>
      </c>
      <c r="N31" s="43"/>
      <c r="O31" s="43"/>
      <c r="P31" s="43"/>
      <c r="S31" s="2" t="s">
        <v>11</v>
      </c>
    </row>
    <row r="32" spans="1:19" ht="21.75" customHeight="1">
      <c r="A32" s="1" t="s">
        <v>927</v>
      </c>
      <c r="B32" s="1" t="s">
        <v>2</v>
      </c>
      <c r="C32" s="2" t="s">
        <v>666</v>
      </c>
      <c r="D32" s="2" t="s">
        <v>668</v>
      </c>
      <c r="E32" s="42"/>
      <c r="F32" s="43"/>
      <c r="G32" s="43"/>
      <c r="H32" s="43"/>
      <c r="I32" s="43"/>
      <c r="K32" s="2" t="s">
        <v>657</v>
      </c>
      <c r="L32" s="2">
        <v>14.74</v>
      </c>
      <c r="M32" s="2" t="str">
        <f t="shared" si="3"/>
        <v xml:space="preserve">합곡리 </v>
      </c>
      <c r="N32" s="43"/>
      <c r="O32" s="43"/>
      <c r="P32" s="43"/>
      <c r="S32" s="2" t="s">
        <v>11</v>
      </c>
    </row>
    <row r="33" spans="1:19" ht="21.75" customHeight="1">
      <c r="A33" s="1" t="s">
        <v>928</v>
      </c>
      <c r="B33" s="1" t="s">
        <v>2</v>
      </c>
      <c r="C33" s="2" t="s">
        <v>666</v>
      </c>
      <c r="D33" s="2" t="s">
        <v>668</v>
      </c>
      <c r="E33" s="42"/>
      <c r="F33" s="43"/>
      <c r="G33" s="43"/>
      <c r="H33" s="43"/>
      <c r="I33" s="43"/>
      <c r="K33" s="2" t="s">
        <v>657</v>
      </c>
      <c r="L33" s="2">
        <v>15.74</v>
      </c>
      <c r="M33" s="2" t="str">
        <f t="shared" si="3"/>
        <v xml:space="preserve">합곡리 </v>
      </c>
      <c r="N33" s="43"/>
      <c r="O33" s="43"/>
      <c r="P33" s="43"/>
      <c r="S33" s="2" t="s">
        <v>11</v>
      </c>
    </row>
    <row r="34" spans="1:19" ht="21.75" customHeight="1">
      <c r="A34" s="1" t="s">
        <v>929</v>
      </c>
      <c r="B34" s="1" t="s">
        <v>2</v>
      </c>
      <c r="C34" s="2" t="s">
        <v>666</v>
      </c>
      <c r="D34" s="2" t="s">
        <v>668</v>
      </c>
      <c r="E34" s="42"/>
      <c r="F34" s="43"/>
      <c r="G34" s="43"/>
      <c r="H34" s="43"/>
      <c r="I34" s="43"/>
      <c r="K34" s="2" t="s">
        <v>657</v>
      </c>
      <c r="L34" s="2">
        <v>16.739999999999998</v>
      </c>
      <c r="M34" s="2" t="str">
        <f t="shared" si="3"/>
        <v xml:space="preserve">합곡리 </v>
      </c>
      <c r="N34" s="43"/>
      <c r="O34" s="43"/>
      <c r="P34" s="43"/>
      <c r="S34" s="2" t="s">
        <v>11</v>
      </c>
    </row>
    <row r="35" spans="1:19" ht="21.75" customHeight="1">
      <c r="A35" s="1" t="s">
        <v>930</v>
      </c>
      <c r="B35" s="1" t="s">
        <v>2</v>
      </c>
      <c r="C35" s="2" t="s">
        <v>666</v>
      </c>
      <c r="D35" s="2" t="s">
        <v>668</v>
      </c>
      <c r="E35" s="42"/>
      <c r="F35" s="43"/>
      <c r="G35" s="43"/>
      <c r="H35" s="43"/>
      <c r="I35" s="43"/>
      <c r="K35" s="2" t="s">
        <v>657</v>
      </c>
      <c r="L35" s="2">
        <v>17.739999999999998</v>
      </c>
      <c r="M35" s="2" t="str">
        <f t="shared" si="3"/>
        <v xml:space="preserve">합곡리 </v>
      </c>
      <c r="N35" s="43"/>
      <c r="O35" s="43"/>
      <c r="P35" s="43"/>
      <c r="S35" s="2" t="s">
        <v>11</v>
      </c>
    </row>
    <row r="36" spans="1:19" ht="21.75" customHeight="1">
      <c r="A36" s="1" t="s">
        <v>931</v>
      </c>
      <c r="B36" s="1" t="s">
        <v>2</v>
      </c>
      <c r="C36" s="2" t="s">
        <v>666</v>
      </c>
      <c r="D36" s="2" t="s">
        <v>668</v>
      </c>
      <c r="E36" s="42"/>
      <c r="F36" s="43"/>
      <c r="G36" s="43"/>
      <c r="H36" s="43"/>
      <c r="I36" s="43"/>
      <c r="K36" s="2" t="s">
        <v>657</v>
      </c>
      <c r="L36" s="2">
        <v>18.739999999999998</v>
      </c>
      <c r="M36" s="2" t="str">
        <f t="shared" si="3"/>
        <v xml:space="preserve">합곡리 </v>
      </c>
      <c r="N36" s="43"/>
      <c r="O36" s="43"/>
      <c r="P36" s="43"/>
      <c r="S36" s="2" t="s">
        <v>11</v>
      </c>
    </row>
    <row r="37" spans="1:19" ht="21.75" customHeight="1">
      <c r="A37" s="1" t="s">
        <v>932</v>
      </c>
      <c r="B37" s="1" t="s">
        <v>2</v>
      </c>
      <c r="C37" s="2" t="s">
        <v>666</v>
      </c>
      <c r="D37" s="2" t="s">
        <v>668</v>
      </c>
      <c r="E37" s="42"/>
      <c r="F37" s="43"/>
      <c r="G37" s="43"/>
      <c r="H37" s="43"/>
      <c r="I37" s="43"/>
      <c r="K37" s="2" t="s">
        <v>657</v>
      </c>
      <c r="L37" s="2">
        <v>19.739999999999998</v>
      </c>
      <c r="M37" s="2" t="str">
        <f t="shared" si="3"/>
        <v xml:space="preserve">합곡리 </v>
      </c>
      <c r="N37" s="43"/>
      <c r="O37" s="43"/>
      <c r="P37" s="43"/>
      <c r="S37" s="2" t="s">
        <v>11</v>
      </c>
    </row>
    <row r="38" spans="1:19" ht="21.75" customHeight="1">
      <c r="A38" s="1" t="s">
        <v>933</v>
      </c>
      <c r="B38" s="1" t="s">
        <v>2</v>
      </c>
      <c r="C38" s="2" t="s">
        <v>666</v>
      </c>
      <c r="D38" s="2" t="s">
        <v>668</v>
      </c>
      <c r="E38" s="42"/>
      <c r="F38" s="43"/>
      <c r="G38" s="43"/>
      <c r="H38" s="43"/>
      <c r="I38" s="43"/>
      <c r="K38" s="2" t="s">
        <v>657</v>
      </c>
      <c r="L38" s="2">
        <v>20.74</v>
      </c>
      <c r="M38" s="2" t="str">
        <f t="shared" si="3"/>
        <v xml:space="preserve">합곡리 </v>
      </c>
      <c r="N38" s="43"/>
      <c r="O38" s="43"/>
      <c r="P38" s="43"/>
      <c r="S38" s="2" t="s">
        <v>11</v>
      </c>
    </row>
    <row r="39" spans="1:19" ht="21.75" customHeight="1">
      <c r="A39" s="1"/>
      <c r="B39" s="1"/>
      <c r="E39" s="5"/>
    </row>
    <row r="40" spans="1:19" ht="21.75" customHeight="1" thickBot="1">
      <c r="A40" s="1"/>
      <c r="B40" s="1"/>
      <c r="E40" s="5"/>
    </row>
    <row r="41" spans="1:19" ht="21.75" customHeight="1">
      <c r="A41" s="1"/>
      <c r="B41" s="7" t="s">
        <v>21</v>
      </c>
      <c r="C41" s="10" t="s">
        <v>20</v>
      </c>
      <c r="D41" s="11" t="s">
        <v>5</v>
      </c>
      <c r="E41" s="5"/>
    </row>
    <row r="42" spans="1:19" ht="21.75" customHeight="1">
      <c r="A42" s="1"/>
      <c r="B42" s="12" t="s">
        <v>18</v>
      </c>
      <c r="C42" s="9">
        <f ca="1">COUNTIF(AA_INSIDE_AREA,"O")</f>
        <v>31</v>
      </c>
      <c r="D42" s="13">
        <f ca="1">SUMIF(AA_INSIDE_AREA,"O",$L$2:$L$2)</f>
        <v>281.28000000000003</v>
      </c>
    </row>
    <row r="43" spans="1:19" ht="21.75" customHeight="1">
      <c r="B43" s="12" t="s">
        <v>19</v>
      </c>
      <c r="C43" s="9">
        <f ca="1">COUNTIF(AA_INSIDE_AREA,"X")</f>
        <v>6</v>
      </c>
      <c r="D43" s="13">
        <f ca="1">SUMIF(AA_INSIDE_AREA,"X",$L$2:$L$2)</f>
        <v>33.979999999999997</v>
      </c>
      <c r="L43" s="41"/>
    </row>
    <row r="44" spans="1:19" ht="21.75" customHeight="1" thickBot="1">
      <c r="B44" s="8"/>
      <c r="C44" s="14"/>
      <c r="D44" s="15">
        <f ca="1">D42+D43</f>
        <v>315.26000000000005</v>
      </c>
      <c r="L44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J24" sqref="J24"/>
    </sheetView>
  </sheetViews>
  <sheetFormatPr defaultRowHeight="13.5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44" t="s">
        <v>30</v>
      </c>
      <c r="L5" s="47">
        <f>SUM(L2:L4)</f>
        <v>0</v>
      </c>
      <c r="S5" s="41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opLeftCell="A43" workbookViewId="0">
      <selection activeCell="M17" sqref="M1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2025-05-22T12:23:28Z</dcterms:modified>
</cp:coreProperties>
</file>