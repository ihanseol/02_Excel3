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C2005EEA-B7F4-4E10-A4DD-8BB7C37CCB97}" xr6:coauthVersionLast="47" xr6:coauthVersionMax="47" xr10:uidLastSave="{00000000-0000-0000-0000-000000000000}"/>
  <bookViews>
    <workbookView xWindow="38280" yWindow="-120" windowWidth="38640" windowHeight="21120" firstSheet="2" activeTab="9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5" i="8" l="1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26" i="10" l="1"/>
  <c r="C26" i="10"/>
  <c r="D25" i="10"/>
  <c r="C25" i="10"/>
  <c r="H69" i="8" l="1"/>
  <c r="D27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<sst xmlns="http://schemas.openxmlformats.org/spreadsheetml/2006/main" count="6063" uniqueCount="910">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</sst>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 x14ac:dyDescent="0.3">
      <c r="B1" s="27" t="s">
        <v>217</v>
      </c>
    </row>
    <row r="2" spans="1:16" ht="34.5" customHeight="1" x14ac:dyDescent="0.3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 x14ac:dyDescent="0.3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 x14ac:dyDescent="0.3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 x14ac:dyDescent="0.3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 x14ac:dyDescent="0.3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 x14ac:dyDescent="0.3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 x14ac:dyDescent="0.3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 x14ac:dyDescent="0.3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 x14ac:dyDescent="0.3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 x14ac:dyDescent="0.3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 x14ac:dyDescent="0.3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 x14ac:dyDescent="0.3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 x14ac:dyDescent="0.3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 x14ac:dyDescent="0.3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 x14ac:dyDescent="0.3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 x14ac:dyDescent="0.3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 x14ac:dyDescent="0.3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 x14ac:dyDescent="0.3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 x14ac:dyDescent="0.3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 x14ac:dyDescent="0.3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 x14ac:dyDescent="0.3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 x14ac:dyDescent="0.3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 x14ac:dyDescent="0.3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 x14ac:dyDescent="0.3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 x14ac:dyDescent="0.3">
      <c r="B1" s="27" t="s">
        <v>216</v>
      </c>
      <c r="C1" s="27"/>
    </row>
    <row r="2" spans="2:14" ht="34.5" customHeight="1" x14ac:dyDescent="0.3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 x14ac:dyDescent="0.3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 x14ac:dyDescent="0.3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 x14ac:dyDescent="0.3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 x14ac:dyDescent="0.3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 x14ac:dyDescent="0.3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 x14ac:dyDescent="0.3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 x14ac:dyDescent="0.3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 x14ac:dyDescent="0.3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 x14ac:dyDescent="0.3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 x14ac:dyDescent="0.3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 x14ac:dyDescent="0.3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 x14ac:dyDescent="0.3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 x14ac:dyDescent="0.3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 x14ac:dyDescent="0.3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 x14ac:dyDescent="0.3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 x14ac:dyDescent="0.3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 x14ac:dyDescent="0.3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 x14ac:dyDescent="0.3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 x14ac:dyDescent="0.3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 x14ac:dyDescent="0.3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 x14ac:dyDescent="0.3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 x14ac:dyDescent="0.3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 x14ac:dyDescent="0.3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workbookViewId="0">
      <selection activeCell="L8" sqref="L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 x14ac:dyDescent="0.3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 x14ac:dyDescent="0.3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 x14ac:dyDescent="0.3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 x14ac:dyDescent="0.3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 x14ac:dyDescent="0.3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 x14ac:dyDescent="0.3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 x14ac:dyDescent="0.3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 x14ac:dyDescent="0.3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 x14ac:dyDescent="0.3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 x14ac:dyDescent="0.3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 x14ac:dyDescent="0.3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 x14ac:dyDescent="0.3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 x14ac:dyDescent="0.3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 x14ac:dyDescent="0.3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 x14ac:dyDescent="0.3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 x14ac:dyDescent="0.3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1.68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 x14ac:dyDescent="0.3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2.68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 x14ac:dyDescent="0.3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3.68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 x14ac:dyDescent="0.3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4.68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 x14ac:dyDescent="0.3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5.68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 x14ac:dyDescent="0.3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6.68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 x14ac:dyDescent="0.3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">
        <v>25</v>
      </c>
      <c r="J41" s="4">
        <v>16</v>
      </c>
      <c r="K41" s="2" t="s">
        <v>146</v>
      </c>
      <c r="L41" s="6">
        <v>7.68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 x14ac:dyDescent="0.3">
      <c r="A42" s="2" t="s">
        <v>857</v>
      </c>
      <c r="B42" s="1" t="s">
        <v>22</v>
      </c>
      <c r="C42" s="2" t="s">
        <v>666</v>
      </c>
      <c r="D42" s="2" t="s">
        <v>668</v>
      </c>
      <c r="E42" s="42" t="s">
        <v>702</v>
      </c>
      <c r="F42" s="43">
        <v>20</v>
      </c>
      <c r="G42" s="43">
        <v>50</v>
      </c>
      <c r="H42" s="43">
        <v>0.3</v>
      </c>
      <c r="I42" s="43">
        <v>30</v>
      </c>
      <c r="J42" s="2">
        <v>16</v>
      </c>
      <c r="K42" s="2" t="s">
        <v>146</v>
      </c>
      <c r="L42" s="6">
        <v>8.68</v>
      </c>
      <c r="M42" s="2" t="str">
        <f t="shared" si="3"/>
        <v>합곡리 311-5</v>
      </c>
      <c r="N42" s="43">
        <v>20</v>
      </c>
      <c r="O42" s="43">
        <v>50</v>
      </c>
      <c r="P42" s="43">
        <v>0.3</v>
      </c>
      <c r="Q42" s="2">
        <v>8.68</v>
      </c>
      <c r="R42" s="2" t="s">
        <v>146</v>
      </c>
      <c r="S42" s="2" t="s">
        <v>11</v>
      </c>
    </row>
    <row r="43" spans="1:19" ht="21.75" customHeight="1" x14ac:dyDescent="0.3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">
        <v>25</v>
      </c>
      <c r="J43" s="4">
        <v>16</v>
      </c>
      <c r="K43" s="2" t="s">
        <v>146</v>
      </c>
      <c r="L43" s="6">
        <v>9.68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 x14ac:dyDescent="0.3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10.68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 x14ac:dyDescent="0.3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11.68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 x14ac:dyDescent="0.3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12.68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 x14ac:dyDescent="0.3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13.68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 x14ac:dyDescent="0.3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14.68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 x14ac:dyDescent="0.3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15.68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 x14ac:dyDescent="0.3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16.68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 x14ac:dyDescent="0.3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17.68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 x14ac:dyDescent="0.3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18.68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 x14ac:dyDescent="0.3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19.68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 x14ac:dyDescent="0.3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20.68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 x14ac:dyDescent="0.3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21.68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 x14ac:dyDescent="0.3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22.68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 x14ac:dyDescent="0.3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23.68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 x14ac:dyDescent="0.3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24.68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 x14ac:dyDescent="0.3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25.68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 x14ac:dyDescent="0.3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26.68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 x14ac:dyDescent="0.3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27.68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 x14ac:dyDescent="0.3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28.68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 x14ac:dyDescent="0.3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29.68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 x14ac:dyDescent="0.3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30.68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2:12" ht="21.75" customHeight="1" x14ac:dyDescent="0.3">
      <c r="B65" s="1"/>
      <c r="I65" s="2"/>
      <c r="J65" s="2"/>
      <c r="L65" s="6"/>
    </row>
    <row r="66" spans="2:12" ht="21.75" customHeight="1" x14ac:dyDescent="0.3">
      <c r="B66" s="1"/>
      <c r="I66" s="2"/>
      <c r="J66" s="2"/>
      <c r="L66" s="6"/>
    </row>
    <row r="67" spans="2:12" ht="21.75" customHeight="1" thickBot="1" x14ac:dyDescent="0.35">
      <c r="B67" s="1"/>
      <c r="I67" s="2"/>
      <c r="J67" s="2"/>
      <c r="L67" s="6"/>
    </row>
    <row r="68" spans="2:12" ht="21.75" customHeight="1" x14ac:dyDescent="0.3">
      <c r="B68" s="7" t="s">
        <v>252</v>
      </c>
      <c r="C68" s="51" t="s">
        <v>253</v>
      </c>
      <c r="D68" s="52"/>
      <c r="E68" s="51" t="s">
        <v>256</v>
      </c>
      <c r="F68" s="52"/>
      <c r="G68" s="51" t="s">
        <v>257</v>
      </c>
      <c r="H68" s="52"/>
      <c r="I68" s="51" t="s">
        <v>258</v>
      </c>
      <c r="J68" s="53"/>
      <c r="K68" s="2" t="s">
        <v>33</v>
      </c>
      <c r="L68" s="40">
        <f ca="1">SUM_SS_IN</f>
        <v>503.7600000000001</v>
      </c>
    </row>
    <row r="69" spans="2:12" ht="21.75" customHeight="1" x14ac:dyDescent="0.3">
      <c r="B69" s="12" t="s">
        <v>254</v>
      </c>
      <c r="C69" s="9">
        <f ca="1">E69+G69+I69</f>
        <v>71</v>
      </c>
      <c r="D69" s="9">
        <f ca="1">F69+H69+J69</f>
        <v>572.20000000000005</v>
      </c>
      <c r="E69" s="9">
        <f ca="1">IF(F69=0,0,COUNTIF(SS_INSIDE_AREA,"O"))</f>
        <v>57</v>
      </c>
      <c r="F69" s="9">
        <f ca="1">SUMIF(SS_INSIDE_AREA,"O",$L$2:$L$2)</f>
        <v>503.7600000000001</v>
      </c>
      <c r="G69" s="9">
        <f ca="1">IF(H69=0,0,COUNTIF(AA_INSIDE_AREA,"O"))</f>
        <v>14</v>
      </c>
      <c r="H69" s="9">
        <f ca="1">aa!$D$25</f>
        <v>68.44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39">
        <f ca="1">L68+aa!D25+ii!L5</f>
        <v>572.20000000000005</v>
      </c>
    </row>
    <row r="70" spans="2:12" ht="21.75" customHeight="1" thickBot="1" x14ac:dyDescent="0.35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aa!$D$26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 x14ac:dyDescent="0.3">
      <c r="B71"/>
      <c r="C71"/>
      <c r="D71"/>
      <c r="E71"/>
      <c r="F71"/>
      <c r="G71"/>
      <c r="H71"/>
      <c r="I71"/>
      <c r="K71" s="7" t="s">
        <v>31</v>
      </c>
      <c r="L71" s="28">
        <f ca="1">D69</f>
        <v>572.20000000000005</v>
      </c>
    </row>
    <row r="72" spans="2:12" ht="21.75" customHeight="1" thickBot="1" x14ac:dyDescent="0.35">
      <c r="B72"/>
      <c r="C72"/>
      <c r="D72"/>
      <c r="E72"/>
      <c r="F72"/>
      <c r="G72"/>
      <c r="H72"/>
      <c r="I72"/>
      <c r="K72" s="8" t="s">
        <v>32</v>
      </c>
      <c r="L72" s="29">
        <f ca="1">C69</f>
        <v>71</v>
      </c>
    </row>
    <row r="73" spans="2:12" ht="21.75" customHeight="1" x14ac:dyDescent="0.3">
      <c r="B73"/>
      <c r="C73"/>
      <c r="D73"/>
      <c r="E73"/>
      <c r="F73"/>
      <c r="G73"/>
      <c r="H73"/>
      <c r="I73"/>
    </row>
    <row r="74" spans="2:12" ht="21.75" customHeight="1" x14ac:dyDescent="0.3">
      <c r="B74"/>
      <c r="C74"/>
      <c r="D74"/>
      <c r="E74"/>
      <c r="F74"/>
      <c r="G74"/>
      <c r="H74"/>
      <c r="I74"/>
    </row>
    <row r="75" spans="2:12" ht="21.75" customHeight="1" x14ac:dyDescent="0.3">
      <c r="B75"/>
      <c r="C75"/>
      <c r="D75"/>
      <c r="E75"/>
      <c r="F75"/>
      <c r="G75"/>
      <c r="H75"/>
      <c r="I75"/>
    </row>
    <row r="76" spans="2:12" ht="21.75" customHeight="1" x14ac:dyDescent="0.3">
      <c r="B76"/>
      <c r="C76"/>
      <c r="D76"/>
      <c r="E76"/>
      <c r="F76"/>
      <c r="G76"/>
      <c r="H76"/>
      <c r="I76"/>
    </row>
    <row r="77" spans="2:12" ht="21.75" customHeight="1" x14ac:dyDescent="0.3">
      <c r="B77"/>
      <c r="C77"/>
      <c r="D77"/>
      <c r="E77"/>
      <c r="F77"/>
      <c r="G77"/>
      <c r="H77"/>
      <c r="I77"/>
    </row>
    <row r="78" spans="2:12" ht="21.75" customHeight="1" x14ac:dyDescent="0.3">
      <c r="B78"/>
      <c r="C78"/>
      <c r="D78"/>
      <c r="E78"/>
      <c r="F78"/>
      <c r="G78"/>
      <c r="H78"/>
      <c r="I78"/>
    </row>
    <row r="79" spans="2:12" ht="21.75" customHeight="1" x14ac:dyDescent="0.3">
      <c r="B79"/>
      <c r="C79"/>
      <c r="D79"/>
      <c r="E79"/>
      <c r="F79"/>
      <c r="G79"/>
      <c r="H79"/>
      <c r="I79"/>
    </row>
    <row r="80" spans="2:12" ht="21.75" customHeight="1" x14ac:dyDescent="0.3">
      <c r="B80"/>
      <c r="C80"/>
      <c r="D80"/>
      <c r="E80"/>
      <c r="F80"/>
      <c r="G80"/>
      <c r="H80"/>
      <c r="I80"/>
    </row>
    <row r="81" spans="2:17" ht="21.75" customHeight="1" x14ac:dyDescent="0.3">
      <c r="B81"/>
      <c r="C81"/>
      <c r="D81"/>
      <c r="E81"/>
      <c r="F81"/>
      <c r="G81"/>
      <c r="H81"/>
      <c r="I81"/>
    </row>
    <row r="86" spans="2:17" ht="21.75" customHeight="1" x14ac:dyDescent="0.3">
      <c r="K86"/>
      <c r="L86"/>
      <c r="M86"/>
      <c r="N86"/>
      <c r="O86"/>
      <c r="P86"/>
      <c r="Q86"/>
    </row>
    <row r="87" spans="2:17" ht="21.75" customHeight="1" x14ac:dyDescent="0.3">
      <c r="K87"/>
      <c r="L87"/>
      <c r="M87"/>
      <c r="N87"/>
      <c r="O87"/>
      <c r="P87"/>
      <c r="Q87"/>
    </row>
    <row r="88" spans="2:17" ht="21.75" customHeight="1" x14ac:dyDescent="0.3">
      <c r="K88"/>
      <c r="L88"/>
      <c r="M88"/>
      <c r="N88"/>
      <c r="O88"/>
      <c r="P88"/>
      <c r="Q88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7"/>
  <sheetViews>
    <sheetView workbookViewId="0"/>
  </sheetViews>
  <sheetFormatPr defaultColWidth="9" defaultRowHeight="21.75" customHeight="1" x14ac:dyDescent="0.3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 x14ac:dyDescent="0.3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 x14ac:dyDescent="0.3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 x14ac:dyDescent="0.3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 x14ac:dyDescent="0.3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 x14ac:dyDescent="0.3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849</v>
      </c>
    </row>
    <row r="10" spans="1:19" ht="21.75" customHeight="1" x14ac:dyDescent="0.3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 x14ac:dyDescent="0.3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 x14ac:dyDescent="0.3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 x14ac:dyDescent="0.3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849</v>
      </c>
    </row>
    <row r="14" spans="1:19" ht="21.75" customHeight="1" x14ac:dyDescent="0.3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849</v>
      </c>
    </row>
    <row r="15" spans="1:19" ht="21.75" customHeight="1" x14ac:dyDescent="0.3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849</v>
      </c>
    </row>
    <row r="16" spans="1:19" ht="21.75" customHeight="1" x14ac:dyDescent="0.3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849</v>
      </c>
    </row>
    <row r="17" spans="1:19" ht="21.75" customHeight="1" x14ac:dyDescent="0.3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849</v>
      </c>
    </row>
    <row r="18" spans="1:19" ht="21.75" customHeight="1" x14ac:dyDescent="0.3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 x14ac:dyDescent="0.3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 x14ac:dyDescent="0.3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 x14ac:dyDescent="0.3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 x14ac:dyDescent="0.3">
      <c r="A22" s="1"/>
      <c r="B22" s="1"/>
      <c r="E22" s="5"/>
    </row>
    <row r="23" spans="1:19" ht="21.75" customHeight="1" thickBot="1" x14ac:dyDescent="0.35">
      <c r="A23" s="1"/>
      <c r="B23" s="1"/>
      <c r="E23" s="5"/>
    </row>
    <row r="24" spans="1:19" ht="21.75" customHeight="1" x14ac:dyDescent="0.3">
      <c r="A24" s="1"/>
      <c r="B24" s="7" t="s">
        <v>21</v>
      </c>
      <c r="C24" s="10" t="s">
        <v>20</v>
      </c>
      <c r="D24" s="11" t="s">
        <v>5</v>
      </c>
      <c r="E24" s="5"/>
    </row>
    <row r="25" spans="1:19" ht="21.75" customHeight="1" x14ac:dyDescent="0.3">
      <c r="A25" s="1"/>
      <c r="B25" s="12" t="s">
        <v>18</v>
      </c>
      <c r="C25" s="9">
        <f ca="1">COUNTIF(AA_INSIDE_AREA,"O")</f>
        <v>14</v>
      </c>
      <c r="D25" s="13">
        <f ca="1">SUMIF(AA_INSIDE_AREA,"O",$L$2:$L$2)</f>
        <v>68.44</v>
      </c>
    </row>
    <row r="26" spans="1:19" ht="21.75" customHeight="1" x14ac:dyDescent="0.3">
      <c r="B26" s="12" t="s">
        <v>19</v>
      </c>
      <c r="C26" s="9">
        <f ca="1">COUNTIF(AA_INSIDE_AREA,"X")</f>
        <v>6</v>
      </c>
      <c r="D26" s="13">
        <f ca="1">SUMIF(AA_INSIDE_AREA,"X",$L$2:$L$2)</f>
        <v>33.979999999999997</v>
      </c>
      <c r="L26" s="41"/>
    </row>
    <row r="27" spans="1:19" ht="21.75" customHeight="1" thickBot="1" x14ac:dyDescent="0.35">
      <c r="B27" s="8"/>
      <c r="C27" s="14"/>
      <c r="D27" s="15">
        <f ca="1">D25+D26</f>
        <v>102.41999999999999</v>
      </c>
      <c r="L27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I28" sqref="I28"/>
    </sheetView>
  </sheetViews>
  <sheetFormatPr defaultRowHeight="13.5" x14ac:dyDescent="0.3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 x14ac:dyDescent="0.3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 x14ac:dyDescent="0.3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44" t="s">
        <v>30</v>
      </c>
      <c r="L5" s="47">
        <f>SUM(L2:L4)</f>
        <v>0</v>
      </c>
      <c r="S5" s="41"/>
    </row>
    <row r="6" spans="1:19" ht="18.75" customHeight="1" thickBot="1" x14ac:dyDescent="0.35"/>
    <row r="7" spans="1:19" ht="18.75" customHeight="1" x14ac:dyDescent="0.3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 x14ac:dyDescent="0.3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 x14ac:dyDescent="0.3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 x14ac:dyDescent="0.35">
      <c r="B10" s="17"/>
      <c r="C10" s="14"/>
      <c r="D10" s="15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4" customWidth="1"/>
    <col min="4" max="4" width="9" style="4"/>
    <col min="5" max="5" width="28.125" style="22" customWidth="1"/>
  </cols>
  <sheetData>
    <row r="1" spans="1:10" ht="21.75" customHeight="1" x14ac:dyDescent="0.3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 x14ac:dyDescent="0.3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 x14ac:dyDescent="0.3">
      <c r="C3" s="4" t="s">
        <v>88</v>
      </c>
      <c r="D3" s="4" t="s">
        <v>35</v>
      </c>
      <c r="E3" s="22" t="s">
        <v>142</v>
      </c>
    </row>
    <row r="4" spans="1:10" ht="20.100000000000001" customHeight="1" x14ac:dyDescent="0.3">
      <c r="C4" s="4" t="s">
        <v>140</v>
      </c>
      <c r="D4" s="4" t="s">
        <v>36</v>
      </c>
      <c r="E4" s="22" t="s">
        <v>143</v>
      </c>
    </row>
    <row r="5" spans="1:10" ht="20.100000000000001" customHeight="1" x14ac:dyDescent="0.3">
      <c r="C5" s="4" t="s">
        <v>24</v>
      </c>
      <c r="D5" s="4" t="s">
        <v>37</v>
      </c>
      <c r="E5" s="22" t="s">
        <v>144</v>
      </c>
    </row>
    <row r="6" spans="1:10" ht="20.100000000000001" customHeight="1" x14ac:dyDescent="0.3">
      <c r="C6" s="4" t="s">
        <v>89</v>
      </c>
      <c r="D6" s="4" t="s">
        <v>38</v>
      </c>
      <c r="E6" s="22" t="s">
        <v>145</v>
      </c>
    </row>
    <row r="7" spans="1:10" ht="20.100000000000001" customHeight="1" x14ac:dyDescent="0.3">
      <c r="C7" s="4" t="s">
        <v>90</v>
      </c>
      <c r="D7" s="4" t="s">
        <v>39</v>
      </c>
      <c r="E7" s="22" t="s">
        <v>33</v>
      </c>
    </row>
    <row r="8" spans="1:10" ht="20.100000000000001" customHeight="1" x14ac:dyDescent="0.3">
      <c r="C8" s="4" t="s">
        <v>91</v>
      </c>
      <c r="D8" s="4" t="s">
        <v>40</v>
      </c>
      <c r="E8" s="22" t="s">
        <v>146</v>
      </c>
    </row>
    <row r="9" spans="1:10" ht="20.100000000000001" customHeight="1" x14ac:dyDescent="0.3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 x14ac:dyDescent="0.3">
      <c r="C10" s="4" t="s">
        <v>93</v>
      </c>
      <c r="D10" s="4" t="s">
        <v>42</v>
      </c>
      <c r="E10" s="22" t="s">
        <v>148</v>
      </c>
    </row>
    <row r="11" spans="1:10" ht="20.100000000000001" customHeight="1" x14ac:dyDescent="0.3">
      <c r="C11" s="4" t="s">
        <v>94</v>
      </c>
      <c r="D11" s="4" t="s">
        <v>43</v>
      </c>
      <c r="E11" s="22" t="s">
        <v>149</v>
      </c>
    </row>
    <row r="12" spans="1:10" ht="20.100000000000001" customHeight="1" x14ac:dyDescent="0.3">
      <c r="C12" s="4" t="s">
        <v>95</v>
      </c>
      <c r="D12" s="4" t="s">
        <v>44</v>
      </c>
      <c r="E12" s="22" t="s">
        <v>150</v>
      </c>
    </row>
    <row r="13" spans="1:10" ht="20.100000000000001" customHeight="1" x14ac:dyDescent="0.3">
      <c r="C13" s="4" t="s">
        <v>96</v>
      </c>
      <c r="D13" s="4" t="s">
        <v>45</v>
      </c>
      <c r="E13" s="22" t="s">
        <v>151</v>
      </c>
    </row>
    <row r="14" spans="1:10" ht="20.100000000000001" customHeight="1" x14ac:dyDescent="0.3">
      <c r="C14" s="4" t="s">
        <v>97</v>
      </c>
      <c r="D14" s="4" t="s">
        <v>46</v>
      </c>
      <c r="E14" s="22" t="s">
        <v>152</v>
      </c>
    </row>
    <row r="15" spans="1:10" ht="20.100000000000001" customHeight="1" x14ac:dyDescent="0.3">
      <c r="C15" s="4" t="s">
        <v>98</v>
      </c>
      <c r="D15" s="4" t="s">
        <v>47</v>
      </c>
      <c r="E15" s="22" t="s">
        <v>153</v>
      </c>
    </row>
    <row r="16" spans="1:10" ht="20.100000000000001" customHeight="1" x14ac:dyDescent="0.3">
      <c r="C16" s="4" t="s">
        <v>99</v>
      </c>
      <c r="D16" s="4" t="s">
        <v>48</v>
      </c>
      <c r="E16" s="22" t="s">
        <v>154</v>
      </c>
    </row>
    <row r="17" spans="3:5" ht="20.100000000000001" customHeight="1" x14ac:dyDescent="0.3">
      <c r="C17" s="4" t="s">
        <v>100</v>
      </c>
      <c r="D17" s="4" t="s">
        <v>49</v>
      </c>
      <c r="E17" s="22" t="s">
        <v>155</v>
      </c>
    </row>
    <row r="18" spans="3:5" ht="20.100000000000001" customHeight="1" x14ac:dyDescent="0.3">
      <c r="C18" s="4" t="s">
        <v>101</v>
      </c>
      <c r="D18" s="4" t="s">
        <v>50</v>
      </c>
      <c r="E18" s="22" t="s">
        <v>156</v>
      </c>
    </row>
    <row r="19" spans="3:5" ht="20.100000000000001" customHeight="1" x14ac:dyDescent="0.3">
      <c r="C19" s="4" t="s">
        <v>102</v>
      </c>
      <c r="D19" s="4" t="s">
        <v>51</v>
      </c>
      <c r="E19" s="22" t="s">
        <v>157</v>
      </c>
    </row>
    <row r="20" spans="3:5" ht="20.100000000000001" customHeight="1" x14ac:dyDescent="0.3">
      <c r="C20" s="4" t="s">
        <v>103</v>
      </c>
      <c r="D20" s="4" t="s">
        <v>52</v>
      </c>
      <c r="E20" s="22" t="s">
        <v>158</v>
      </c>
    </row>
    <row r="21" spans="3:5" ht="20.100000000000001" customHeight="1" x14ac:dyDescent="0.3">
      <c r="C21" s="4" t="s">
        <v>104</v>
      </c>
      <c r="D21" s="4" t="s">
        <v>53</v>
      </c>
      <c r="E21" s="22" t="s">
        <v>153</v>
      </c>
    </row>
    <row r="22" spans="3:5" ht="20.100000000000001" customHeight="1" x14ac:dyDescent="0.3">
      <c r="C22" s="4" t="s">
        <v>105</v>
      </c>
      <c r="D22" s="4" t="s">
        <v>54</v>
      </c>
      <c r="E22" s="22" t="s">
        <v>159</v>
      </c>
    </row>
    <row r="23" spans="3:5" ht="20.100000000000001" customHeight="1" x14ac:dyDescent="0.3">
      <c r="C23" s="4" t="s">
        <v>106</v>
      </c>
      <c r="D23" s="4" t="s">
        <v>55</v>
      </c>
      <c r="E23" s="22" t="s">
        <v>160</v>
      </c>
    </row>
    <row r="24" spans="3:5" ht="20.100000000000001" customHeight="1" x14ac:dyDescent="0.3">
      <c r="C24" s="4" t="s">
        <v>107</v>
      </c>
      <c r="D24" s="4" t="s">
        <v>56</v>
      </c>
      <c r="E24" s="22" t="s">
        <v>161</v>
      </c>
    </row>
    <row r="25" spans="3:5" ht="20.100000000000001" customHeight="1" x14ac:dyDescent="0.3">
      <c r="C25" s="4" t="s">
        <v>108</v>
      </c>
      <c r="D25" s="4" t="s">
        <v>57</v>
      </c>
      <c r="E25" s="22" t="s">
        <v>162</v>
      </c>
    </row>
    <row r="26" spans="3:5" ht="20.100000000000001" customHeight="1" x14ac:dyDescent="0.3">
      <c r="C26" s="4" t="s">
        <v>109</v>
      </c>
      <c r="D26" s="4" t="s">
        <v>58</v>
      </c>
      <c r="E26" s="22" t="s">
        <v>163</v>
      </c>
    </row>
    <row r="27" spans="3:5" ht="20.100000000000001" customHeight="1" x14ac:dyDescent="0.3">
      <c r="C27" s="4" t="s">
        <v>110</v>
      </c>
      <c r="D27" s="4" t="s">
        <v>59</v>
      </c>
      <c r="E27" s="22" t="s">
        <v>164</v>
      </c>
    </row>
    <row r="28" spans="3:5" ht="20.100000000000001" customHeight="1" x14ac:dyDescent="0.3">
      <c r="C28" s="4" t="s">
        <v>111</v>
      </c>
      <c r="D28" s="4" t="s">
        <v>60</v>
      </c>
      <c r="E28" s="22" t="s">
        <v>153</v>
      </c>
    </row>
    <row r="29" spans="3:5" ht="20.100000000000001" customHeight="1" x14ac:dyDescent="0.3">
      <c r="C29" s="4" t="s">
        <v>112</v>
      </c>
      <c r="D29" s="4" t="s">
        <v>61</v>
      </c>
      <c r="E29" s="22" t="s">
        <v>165</v>
      </c>
    </row>
    <row r="30" spans="3:5" ht="20.100000000000001" customHeight="1" x14ac:dyDescent="0.3">
      <c r="C30" s="4" t="s">
        <v>113</v>
      </c>
      <c r="D30" s="4" t="s">
        <v>62</v>
      </c>
      <c r="E30" s="22" t="s">
        <v>166</v>
      </c>
    </row>
    <row r="31" spans="3:5" ht="20.100000000000001" customHeight="1" x14ac:dyDescent="0.3">
      <c r="C31" s="4" t="s">
        <v>114</v>
      </c>
      <c r="D31" s="4" t="s">
        <v>63</v>
      </c>
      <c r="E31" s="22" t="s">
        <v>167</v>
      </c>
    </row>
    <row r="32" spans="3:5" ht="20.100000000000001" customHeight="1" x14ac:dyDescent="0.3">
      <c r="C32" s="4" t="s">
        <v>115</v>
      </c>
      <c r="D32" s="4" t="s">
        <v>64</v>
      </c>
      <c r="E32" s="24" t="s">
        <v>168</v>
      </c>
    </row>
    <row r="33" spans="3:7" ht="20.100000000000001" customHeight="1" x14ac:dyDescent="0.3">
      <c r="C33" s="4" t="s">
        <v>116</v>
      </c>
      <c r="D33" s="4" t="s">
        <v>65</v>
      </c>
      <c r="E33" s="24" t="s">
        <v>169</v>
      </c>
    </row>
    <row r="34" spans="3:7" ht="20.100000000000001" customHeight="1" x14ac:dyDescent="0.3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 x14ac:dyDescent="0.3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 x14ac:dyDescent="0.3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 x14ac:dyDescent="0.3">
      <c r="C37" s="4" t="s">
        <v>119</v>
      </c>
      <c r="D37" s="4" t="s">
        <v>69</v>
      </c>
      <c r="E37" s="22" t="s">
        <v>172</v>
      </c>
    </row>
    <row r="38" spans="3:7" ht="20.100000000000001" customHeight="1" x14ac:dyDescent="0.3">
      <c r="C38" s="4" t="s">
        <v>120</v>
      </c>
      <c r="D38" s="4" t="s">
        <v>70</v>
      </c>
      <c r="E38" s="22" t="s">
        <v>173</v>
      </c>
    </row>
    <row r="39" spans="3:7" ht="20.100000000000001" customHeight="1" x14ac:dyDescent="0.3">
      <c r="C39" s="4" t="s">
        <v>121</v>
      </c>
      <c r="D39" s="4" t="s">
        <v>71</v>
      </c>
      <c r="E39" s="24" t="s">
        <v>174</v>
      </c>
    </row>
    <row r="40" spans="3:7" ht="20.100000000000001" customHeight="1" x14ac:dyDescent="0.3">
      <c r="C40" s="4" t="s">
        <v>122</v>
      </c>
      <c r="D40" s="4" t="s">
        <v>72</v>
      </c>
      <c r="E40" s="24" t="s">
        <v>175</v>
      </c>
    </row>
    <row r="41" spans="3:7" ht="20.100000000000001" customHeight="1" x14ac:dyDescent="0.3">
      <c r="C41" s="4" t="s">
        <v>123</v>
      </c>
      <c r="D41" s="4" t="s">
        <v>73</v>
      </c>
      <c r="E41" s="24" t="s">
        <v>176</v>
      </c>
    </row>
    <row r="42" spans="3:7" ht="20.100000000000001" customHeight="1" x14ac:dyDescent="0.3">
      <c r="C42" s="4" t="s">
        <v>124</v>
      </c>
      <c r="D42" s="4" t="s">
        <v>74</v>
      </c>
      <c r="E42" s="24" t="s">
        <v>177</v>
      </c>
    </row>
    <row r="43" spans="3:7" ht="20.100000000000001" customHeight="1" x14ac:dyDescent="0.3">
      <c r="C43" s="4" t="s">
        <v>125</v>
      </c>
      <c r="D43" s="4" t="s">
        <v>75</v>
      </c>
      <c r="E43" s="22" t="s">
        <v>178</v>
      </c>
    </row>
    <row r="44" spans="3:7" ht="20.100000000000001" customHeight="1" x14ac:dyDescent="0.3">
      <c r="C44" s="4" t="s">
        <v>126</v>
      </c>
      <c r="D44" s="4" t="s">
        <v>76</v>
      </c>
      <c r="E44" s="22" t="s">
        <v>179</v>
      </c>
    </row>
    <row r="45" spans="3:7" ht="20.100000000000001" customHeight="1" x14ac:dyDescent="0.3">
      <c r="C45" s="4" t="s">
        <v>127</v>
      </c>
      <c r="D45" s="4" t="s">
        <v>77</v>
      </c>
      <c r="E45" s="22" t="s">
        <v>12</v>
      </c>
    </row>
    <row r="46" spans="3:7" ht="20.100000000000001" customHeight="1" x14ac:dyDescent="0.3">
      <c r="C46" s="4" t="s">
        <v>128</v>
      </c>
      <c r="D46" s="4" t="s">
        <v>78</v>
      </c>
      <c r="E46" s="22" t="s">
        <v>13</v>
      </c>
    </row>
    <row r="47" spans="3:7" ht="20.100000000000001" customHeight="1" x14ac:dyDescent="0.3">
      <c r="C47" s="4" t="s">
        <v>129</v>
      </c>
      <c r="D47" s="4" t="s">
        <v>79</v>
      </c>
      <c r="E47" s="22" t="s">
        <v>180</v>
      </c>
    </row>
    <row r="48" spans="3:7" ht="20.100000000000001" customHeight="1" x14ac:dyDescent="0.3">
      <c r="C48" s="4" t="s">
        <v>130</v>
      </c>
      <c r="D48" s="4" t="s">
        <v>80</v>
      </c>
      <c r="E48" s="22" t="s">
        <v>8</v>
      </c>
    </row>
    <row r="49" spans="3:5" ht="20.100000000000001" customHeight="1" x14ac:dyDescent="0.3">
      <c r="C49" s="4" t="s">
        <v>131</v>
      </c>
      <c r="D49" s="4" t="s">
        <v>81</v>
      </c>
      <c r="E49" s="22" t="s">
        <v>181</v>
      </c>
    </row>
    <row r="50" spans="3:5" ht="20.100000000000001" customHeight="1" x14ac:dyDescent="0.3">
      <c r="C50" s="4" t="s">
        <v>132</v>
      </c>
      <c r="D50" s="4" t="s">
        <v>82</v>
      </c>
      <c r="E50" s="24" t="s">
        <v>182</v>
      </c>
    </row>
    <row r="51" spans="3:5" ht="20.100000000000001" customHeight="1" x14ac:dyDescent="0.3">
      <c r="C51" s="4" t="s">
        <v>133</v>
      </c>
      <c r="D51" s="4" t="s">
        <v>83</v>
      </c>
      <c r="E51" s="24" t="s">
        <v>183</v>
      </c>
    </row>
    <row r="52" spans="3:5" ht="20.100000000000001" customHeight="1" x14ac:dyDescent="0.3">
      <c r="C52" s="4" t="s">
        <v>134</v>
      </c>
      <c r="D52" s="4" t="s">
        <v>84</v>
      </c>
      <c r="E52" s="24" t="s">
        <v>184</v>
      </c>
    </row>
    <row r="53" spans="3:5" ht="20.100000000000001" customHeight="1" x14ac:dyDescent="0.3">
      <c r="C53" s="4" t="s">
        <v>135</v>
      </c>
      <c r="D53" s="4" t="s">
        <v>85</v>
      </c>
      <c r="E53" s="24" t="s">
        <v>185</v>
      </c>
    </row>
    <row r="54" spans="3:5" ht="20.100000000000001" customHeight="1" x14ac:dyDescent="0.3">
      <c r="C54" s="4" t="s">
        <v>136</v>
      </c>
      <c r="D54" s="4" t="s">
        <v>86</v>
      </c>
      <c r="E54" s="24" t="s">
        <v>186</v>
      </c>
    </row>
    <row r="55" spans="3:5" ht="20.100000000000001" customHeight="1" x14ac:dyDescent="0.3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>
      <selection activeCell="F31" sqref="F31"/>
    </sheetView>
  </sheetViews>
  <sheetFormatPr defaultRowHeight="13.5" x14ac:dyDescent="0.3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 x14ac:dyDescent="0.3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 x14ac:dyDescent="0.3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 x14ac:dyDescent="0.3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 x14ac:dyDescent="0.3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 x14ac:dyDescent="0.3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 x14ac:dyDescent="0.3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 x14ac:dyDescent="0.3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 x14ac:dyDescent="0.3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 x14ac:dyDescent="0.3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 x14ac:dyDescent="0.3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 x14ac:dyDescent="0.3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 x14ac:dyDescent="0.3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 x14ac:dyDescent="0.3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 x14ac:dyDescent="0.3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 x14ac:dyDescent="0.3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 x14ac:dyDescent="0.3">
      <c r="A18" s="2" t="s">
        <v>777</v>
      </c>
      <c r="B18" s="2" t="s">
        <v>810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 x14ac:dyDescent="0.3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 x14ac:dyDescent="0.3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 x14ac:dyDescent="0.3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 x14ac:dyDescent="0.3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 x14ac:dyDescent="0.3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 x14ac:dyDescent="0.3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 x14ac:dyDescent="0.3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 x14ac:dyDescent="0.3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 x14ac:dyDescent="0.3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 x14ac:dyDescent="0.3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 x14ac:dyDescent="0.3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 x14ac:dyDescent="0.3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 x14ac:dyDescent="0.3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 x14ac:dyDescent="0.3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 x14ac:dyDescent="0.3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 x14ac:dyDescent="0.3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 x14ac:dyDescent="0.3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 x14ac:dyDescent="0.3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 x14ac:dyDescent="0.3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 x14ac:dyDescent="0.3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 x14ac:dyDescent="0.3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 x14ac:dyDescent="0.3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 x14ac:dyDescent="0.3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 x14ac:dyDescent="0.3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 x14ac:dyDescent="0.3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 x14ac:dyDescent="0.3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 x14ac:dyDescent="0.3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 x14ac:dyDescent="0.3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 x14ac:dyDescent="0.3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 x14ac:dyDescent="0.3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 x14ac:dyDescent="0.3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 x14ac:dyDescent="0.3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 x14ac:dyDescent="0.3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 x14ac:dyDescent="0.3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 x14ac:dyDescent="0.3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 x14ac:dyDescent="0.3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 x14ac:dyDescent="0.3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 x14ac:dyDescent="0.3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 x14ac:dyDescent="0.3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 x14ac:dyDescent="0.3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 x14ac:dyDescent="0.3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 x14ac:dyDescent="0.3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 x14ac:dyDescent="0.3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 x14ac:dyDescent="0.3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 x14ac:dyDescent="0.3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 x14ac:dyDescent="0.3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>
      <selection activeCell="B2" sqref="B2"/>
    </sheetView>
  </sheetViews>
  <sheetFormatPr defaultRowHeight="13.5" x14ac:dyDescent="0.3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 x14ac:dyDescent="0.3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 x14ac:dyDescent="0.3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 x14ac:dyDescent="0.3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 x14ac:dyDescent="0.3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 x14ac:dyDescent="0.3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 x14ac:dyDescent="0.3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 x14ac:dyDescent="0.3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 x14ac:dyDescent="0.3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 x14ac:dyDescent="0.3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 x14ac:dyDescent="0.3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 x14ac:dyDescent="0.3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 x14ac:dyDescent="0.3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 x14ac:dyDescent="0.3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 x14ac:dyDescent="0.3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 x14ac:dyDescent="0.3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 x14ac:dyDescent="0.3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 x14ac:dyDescent="0.3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 x14ac:dyDescent="0.3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 x14ac:dyDescent="0.3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 x14ac:dyDescent="0.3"/>
    <row r="23" spans="1:8" ht="18" customHeight="1" x14ac:dyDescent="0.3"/>
    <row r="24" spans="1:8" ht="18" customHeight="1" x14ac:dyDescent="0.3"/>
    <row r="25" spans="1:8" ht="18" customHeight="1" x14ac:dyDescent="0.3"/>
    <row r="26" spans="1:8" ht="18" customHeight="1" x14ac:dyDescent="0.3"/>
    <row r="27" spans="1:8" ht="18" customHeight="1" x14ac:dyDescent="0.3"/>
    <row r="28" spans="1:8" ht="18" customHeight="1" x14ac:dyDescent="0.3"/>
    <row r="29" spans="1:8" ht="18" customHeight="1" x14ac:dyDescent="0.3"/>
    <row r="30" spans="1:8" ht="18" customHeight="1" x14ac:dyDescent="0.3"/>
    <row r="31" spans="1:8" ht="18" customHeight="1" x14ac:dyDescent="0.3"/>
    <row r="32" spans="1:8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>
      <selection activeCell="C14" sqref="C14"/>
    </sheetView>
  </sheetViews>
  <sheetFormatPr defaultRowHeight="13.5" x14ac:dyDescent="0.3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/>
    <row r="3" spans="1:8" ht="18" customHeight="1" x14ac:dyDescent="0.3"/>
    <row r="4" spans="1:8" ht="18" customHeight="1" x14ac:dyDescent="0.3"/>
    <row r="5" spans="1:8" ht="18" customHeight="1" x14ac:dyDescent="0.3"/>
    <row r="6" spans="1:8" ht="18" customHeight="1" x14ac:dyDescent="0.3"/>
    <row r="7" spans="1:8" ht="18" customHeight="1" x14ac:dyDescent="0.3"/>
    <row r="8" spans="1:8" ht="18" customHeight="1" x14ac:dyDescent="0.3"/>
    <row r="9" spans="1:8" ht="18" customHeight="1" x14ac:dyDescent="0.3"/>
    <row r="10" spans="1:8" ht="18" customHeight="1" x14ac:dyDescent="0.3"/>
    <row r="11" spans="1:8" ht="18" customHeight="1" x14ac:dyDescent="0.3"/>
    <row r="12" spans="1:8" ht="18" customHeight="1" x14ac:dyDescent="0.3"/>
    <row r="13" spans="1:8" ht="18" customHeight="1" x14ac:dyDescent="0.3"/>
    <row r="14" spans="1:8" ht="18" customHeight="1" x14ac:dyDescent="0.3"/>
    <row r="15" spans="1:8" ht="18" customHeight="1" x14ac:dyDescent="0.3"/>
    <row r="16" spans="1:8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abSelected="1" topLeftCell="A43" workbookViewId="0">
      <selection activeCell="M17" sqref="M17"/>
    </sheetView>
  </sheetViews>
  <sheetFormatPr defaultColWidth="9" defaultRowHeight="20.100000000000001" customHeight="1" x14ac:dyDescent="0.3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 x14ac:dyDescent="0.3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 x14ac:dyDescent="0.3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 x14ac:dyDescent="0.3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 x14ac:dyDescent="0.3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 x14ac:dyDescent="0.3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 x14ac:dyDescent="0.3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 x14ac:dyDescent="0.3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 x14ac:dyDescent="0.3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 x14ac:dyDescent="0.3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 x14ac:dyDescent="0.3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 x14ac:dyDescent="0.3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 x14ac:dyDescent="0.3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 x14ac:dyDescent="0.3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 x14ac:dyDescent="0.3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 x14ac:dyDescent="0.3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 x14ac:dyDescent="0.3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 x14ac:dyDescent="0.3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 x14ac:dyDescent="0.3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 x14ac:dyDescent="0.3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 x14ac:dyDescent="0.3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 x14ac:dyDescent="0.3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 x14ac:dyDescent="0.3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 x14ac:dyDescent="0.3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 x14ac:dyDescent="0.3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 x14ac:dyDescent="0.3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 x14ac:dyDescent="0.3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 x14ac:dyDescent="0.3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 x14ac:dyDescent="0.3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 x14ac:dyDescent="0.3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 x14ac:dyDescent="0.3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 x14ac:dyDescent="0.3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 x14ac:dyDescent="0.3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 x14ac:dyDescent="0.3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 x14ac:dyDescent="0.3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 x14ac:dyDescent="0.3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 x14ac:dyDescent="0.3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 x14ac:dyDescent="0.3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 x14ac:dyDescent="0.3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 x14ac:dyDescent="0.3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 x14ac:dyDescent="0.3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 x14ac:dyDescent="0.3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 x14ac:dyDescent="0.3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 x14ac:dyDescent="0.3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 x14ac:dyDescent="0.3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 x14ac:dyDescent="0.3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 x14ac:dyDescent="0.3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 x14ac:dyDescent="0.3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 x14ac:dyDescent="0.3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 x14ac:dyDescent="0.3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 x14ac:dyDescent="0.3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 x14ac:dyDescent="0.3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 x14ac:dyDescent="0.3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 x14ac:dyDescent="0.3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 x14ac:dyDescent="0.3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 x14ac:dyDescent="0.3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 x14ac:dyDescent="0.3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 x14ac:dyDescent="0.3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 x14ac:dyDescent="0.3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 x14ac:dyDescent="0.3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 x14ac:dyDescent="0.3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 x14ac:dyDescent="0.3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 x14ac:dyDescent="0.3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 x14ac:dyDescent="0.3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 x14ac:dyDescent="0.3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 x14ac:dyDescent="0.3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 x14ac:dyDescent="0.3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 x14ac:dyDescent="0.3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 x14ac:dyDescent="0.3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 x14ac:dyDescent="0.3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 x14ac:dyDescent="0.3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 x14ac:dyDescent="0.3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 x14ac:dyDescent="0.3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 x14ac:dyDescent="0.3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 x14ac:dyDescent="0.3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 x14ac:dyDescent="0.3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 x14ac:dyDescent="0.3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 x14ac:dyDescent="0.3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 x14ac:dyDescent="0.3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 x14ac:dyDescent="0.3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 x14ac:dyDescent="0.3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 x14ac:dyDescent="0.3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 x14ac:dyDescent="0.3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 x14ac:dyDescent="0.3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 x14ac:dyDescent="0.3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 x14ac:dyDescent="0.3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 x14ac:dyDescent="0.3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 x14ac:dyDescent="0.3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 x14ac:dyDescent="0.3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 x14ac:dyDescent="0.3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 x14ac:dyDescent="0.3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 x14ac:dyDescent="0.3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 x14ac:dyDescent="0.3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 x14ac:dyDescent="0.3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 x14ac:dyDescent="0.3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 x14ac:dyDescent="0.3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 x14ac:dyDescent="0.3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 x14ac:dyDescent="0.3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 x14ac:dyDescent="0.3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 x14ac:dyDescent="0.3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 x14ac:dyDescent="0.3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 x14ac:dyDescent="0.3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 x14ac:dyDescent="0.3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 x14ac:dyDescent="0.3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 x14ac:dyDescent="0.3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 x14ac:dyDescent="0.3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 x14ac:dyDescent="0.3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 x14ac:dyDescent="0.3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 x14ac:dyDescent="0.3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 x14ac:dyDescent="0.3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 x14ac:dyDescent="0.3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 x14ac:dyDescent="0.3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 x14ac:dyDescent="0.3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 x14ac:dyDescent="0.3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 x14ac:dyDescent="0.3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 x14ac:dyDescent="0.3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 x14ac:dyDescent="0.3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 x14ac:dyDescent="0.3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 x14ac:dyDescent="0.3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 x14ac:dyDescent="0.3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 x14ac:dyDescent="0.3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 x14ac:dyDescent="0.3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 x14ac:dyDescent="0.3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 x14ac:dyDescent="0.3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 x14ac:dyDescent="0.3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 x14ac:dyDescent="0.3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 x14ac:dyDescent="0.3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 x14ac:dyDescent="0.3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 x14ac:dyDescent="0.3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 x14ac:dyDescent="0.3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 x14ac:dyDescent="0.3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 x14ac:dyDescent="0.3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 x14ac:dyDescent="0.3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 x14ac:dyDescent="0.3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 x14ac:dyDescent="0.3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 x14ac:dyDescent="0.3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 x14ac:dyDescent="0.3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 x14ac:dyDescent="0.3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 x14ac:dyDescent="0.3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 x14ac:dyDescent="0.3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 x14ac:dyDescent="0.3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 x14ac:dyDescent="0.3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 x14ac:dyDescent="0.3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 x14ac:dyDescent="0.3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 x14ac:dyDescent="0.3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 x14ac:dyDescent="0.3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 x14ac:dyDescent="0.3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 x14ac:dyDescent="0.3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 x14ac:dyDescent="0.3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 x14ac:dyDescent="0.3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 x14ac:dyDescent="0.3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 x14ac:dyDescent="0.3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 x14ac:dyDescent="0.3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 x14ac:dyDescent="0.3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 x14ac:dyDescent="0.3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 x14ac:dyDescent="0.3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 x14ac:dyDescent="0.3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 x14ac:dyDescent="0.3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 x14ac:dyDescent="0.3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 x14ac:dyDescent="0.3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 x14ac:dyDescent="0.3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 x14ac:dyDescent="0.3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 x14ac:dyDescent="0.3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 x14ac:dyDescent="0.3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 x14ac:dyDescent="0.3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 x14ac:dyDescent="0.3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 x14ac:dyDescent="0.3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 x14ac:dyDescent="0.3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 x14ac:dyDescent="0.3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 x14ac:dyDescent="0.3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 x14ac:dyDescent="0.3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 x14ac:dyDescent="0.3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 x14ac:dyDescent="0.3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 x14ac:dyDescent="0.3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 x14ac:dyDescent="0.3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 x14ac:dyDescent="0.3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 x14ac:dyDescent="0.3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 x14ac:dyDescent="0.3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 x14ac:dyDescent="0.3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 x14ac:dyDescent="0.3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 x14ac:dyDescent="0.3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 x14ac:dyDescent="0.3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 x14ac:dyDescent="0.3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 x14ac:dyDescent="0.3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 x14ac:dyDescent="0.3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 x14ac:dyDescent="0.3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 x14ac:dyDescent="0.3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 x14ac:dyDescent="0.3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 x14ac:dyDescent="0.3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 x14ac:dyDescent="0.3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 x14ac:dyDescent="0.3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 x14ac:dyDescent="0.3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 x14ac:dyDescent="0.3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 x14ac:dyDescent="0.3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 x14ac:dyDescent="0.3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 x14ac:dyDescent="0.3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 x14ac:dyDescent="0.3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 x14ac:dyDescent="0.3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 x14ac:dyDescent="0.3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 x14ac:dyDescent="0.3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 x14ac:dyDescent="0.3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 x14ac:dyDescent="0.3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 x14ac:dyDescent="0.3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2025-05-15T15:54:12Z</dcterms:modified>
</cp:coreProperties>
</file>