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2_기사용관정\"/>
    </mc:Choice>
  </mc:AlternateContent>
  <xr:revisionPtr revIDLastSave="0" documentId="13_ncr:1_{9701D49C-B0DC-454F-849D-19289F4121D8}" xr6:coauthVersionLast="47" xr6:coauthVersionMax="47" xr10:uidLastSave="{00000000-0000-0000-0000-000000000000}"/>
  <bookViews>
    <workbookView xWindow="5280" yWindow="630" windowWidth="30990" windowHeight="2010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ss!$G$39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ss!$G$40</definedName>
    <definedName name="ii_in_count">ss!$I$39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ss!$I$40</definedName>
    <definedName name="ss_in_count">ss!$E$39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ss!$E$40</definedName>
    <definedName name="SUM_AA" localSheetId="7">#REF!</definedName>
    <definedName name="SUM_AA" localSheetId="8">#REF!</definedName>
    <definedName name="SUM_AA" localSheetId="6">#REF!</definedName>
    <definedName name="SUM_AA">ss!$H$39</definedName>
    <definedName name="SUM_II" localSheetId="7">#REF!</definedName>
    <definedName name="SUM_II" localSheetId="8">#REF!</definedName>
    <definedName name="SUM_II" localSheetId="6">#REF!</definedName>
    <definedName name="SUM_II">ss!$J$39</definedName>
    <definedName name="SUM_SS" localSheetId="7">#REF!</definedName>
    <definedName name="SUM_SS" localSheetId="8">#REF!</definedName>
    <definedName name="SUM_SS" localSheetId="6">#REF!</definedName>
    <definedName name="SUM_SS">ss!$F$39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8" l="1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26" i="10" l="1"/>
  <c r="C26" i="10"/>
  <c r="D25" i="10"/>
  <c r="C25" i="10"/>
  <c r="H39" i="8" l="1"/>
  <c r="D27" i="10"/>
  <c r="F40" i="8" l="1"/>
  <c r="E40" i="8" s="1"/>
  <c r="F39" i="8"/>
  <c r="J9" i="12"/>
  <c r="E39" i="8" l="1"/>
  <c r="L38" i="8"/>
  <c r="D9" i="11"/>
  <c r="C9" i="11"/>
  <c r="D8" i="11"/>
  <c r="L5" i="11"/>
  <c r="M2" i="11"/>
  <c r="L39" i="8" l="1"/>
  <c r="C8" i="11"/>
  <c r="J40" i="8"/>
  <c r="I40" i="8" s="1"/>
  <c r="J39" i="8"/>
  <c r="I39" i="8" s="1"/>
  <c r="D10" i="11"/>
  <c r="H40" i="8" l="1"/>
  <c r="D40" i="8" l="1"/>
  <c r="G40" i="8"/>
  <c r="C40" i="8" s="1"/>
  <c r="D39" i="8"/>
  <c r="L41" i="8" s="1"/>
  <c r="G39" i="8"/>
  <c r="C39" i="8" s="1"/>
  <c r="L4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<sst xmlns="http://schemas.openxmlformats.org/spreadsheetml/2006/main" count="5703" uniqueCount="849">
  <si>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</si>
  <si>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</si>
  <si>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</si>
  <si>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</si>
  <si>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</si>
  <si>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</si>
  <si>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</si>
  <si>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</si>
  <si>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</si>
  <si>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</si>
  <si>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</si>
  <si>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</si>
  <si>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</si>
  <si>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</si>
  <si>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</si>
  <si>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</si>
  <si>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</si>
  <si>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</si>
  <si>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</si>
  <si>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</si>
  <si>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</si>
  <si>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</si>
  <si>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</si>
  <si>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</si>
  <si>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</si>
  <si>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</si>
  <si>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</si>
  <si>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</si>
  <si>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</si>
  <si>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</si>
  <si>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</si>
  <si>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</si>
  <si>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</si>
  <si>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</si>
  <si>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</si>
  <si>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</si>
  <si>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</si>
  <si>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</si>
  <si>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</si>
  <si>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</si>
  <si>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</si>
  <si>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</si>
  <si>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</si>
  <si>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</si>
  <si>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</si>
  <si>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</si>
  <si>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</si>
  <si>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</si>
  <si>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</si>
  <si>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</si>
  <si>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</si>
  <si>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</si>
  <si>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</si>
  <si>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</si>
  <si>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</si>
  <si>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</si>
  <si>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</si>
  <si>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</si>
  <si>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</si>
  <si>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</si>
  <si>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</si>
  <si>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</si>
  <si>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</si>
  <si>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</si>
  <si>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</si>
  <si>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</si>
  <si>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</si>
  <si>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</si>
  <si>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</si>
  <si>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</si>
  <si>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</si>
  <si>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</si>
  <si>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</si>
  <si>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</si>
  <si>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</si>
  <si>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</si>
  <si>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</si>
  <si>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</si>
  <si>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</si>
  <si>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</si>
  <si>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</si>
  <si>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</si>
  <si>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</si>
  <si>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</si>
  <si>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</si>
  <si>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</si>
  <si>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</si>
  <si>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</si>
  <si>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</si>
  <si>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</si>
  <si>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</si>
  <si>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</si>
  <si>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</si>
  <si>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</si>
  <si>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</si>
  <si>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</si>
  <si>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</si>
  <si>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</si>
  <si>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</si>
  <si>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</si>
  <si>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</si>
  <si>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</si>
  <si>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</si>
  <si>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</si>
  <si>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</si>
  <si>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</si>
  <si>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</si>
  <si>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</si>
  <si>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</si>
  <si>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</si>
  <si>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</si>
  <si>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</si>
  <si>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</si>
  <si>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</si>
  <si>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</si>
  <si>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</si>
  <si>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</si>
  <si>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</si>
  <si>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</si>
  <si>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</si>
  <si>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</si>
  <si>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</si>
  <si>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</si>
  <si>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</si>
  <si>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</si>
  <si>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</si>
  <si>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</si>
  <si>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</si>
  <si>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</si>
  <si>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</si>
  <si>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</si>
  <si>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</si>
  <si>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</si>
  <si>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</si>
  <si>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</si>
  <si>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</si>
  <si>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</si>
  <si>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</si>
  <si>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</si>
  <si>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</si>
  <si>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</si>
  <si>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</si>
  <si>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</si>
  <si>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</si>
  <si>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</si>
  <si>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</si>
  <si>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</si>
  <si>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</si>
  <si>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</si>
  <si>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</si>
  <si>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</si>
  <si>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</si>
  <si>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</si>
  <si>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</si>
  <si>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</si>
  <si>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</si>
  <si>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</si>
  <si>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</si>
  <si>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</si>
  <si>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</si>
  <si>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</si>
  <si>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</si>
  <si>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</si>
  <si>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</si>
  <si>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</si>
  <si>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</si>
  <si>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</si>
  <si>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</si>
  <si>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</si>
  <si>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</si>
  <si>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</si>
  <si>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</si>
  <si>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</si>
  <si>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</si>
  <si>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</si>
  <si>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</si>
  <si>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</si>
  <si>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</si>
  <si>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</si>
  <si>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</si>
  <si>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</si>
  <si>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</si>
  <si>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</si>
  <si>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</si>
  <si>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</si>
  <si>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</si>
  <si>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</si>
  <si>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</si>
  <si>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</si>
  <si>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</si>
  <si>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</si>
  <si>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</si>
  <si>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</si>
  <si>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</si>
  <si>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</si>
  <si>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</si>
  <si>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</si>
  <si>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</si>
  <si>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</si>
  <si>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</si>
  <si>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</si>
  <si>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</si>
  <si>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</si>
  <si>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</si>
  <si>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</si>
  <si>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</si>
  <si>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</si>
  <si>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</si>
  <si>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</si>
  <si>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</si>
  <si>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</si>
  <si>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</si>
  <si>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</si>
  <si>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</si>
  <si>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</si>
  <si>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</si>
  <si>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</si>
  <si>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</si>
  <si>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</si>
  <si>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</si>
  <si>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</si>
  <si>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</si>
  <si>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</si>
  <si>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</si>
  <si>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</si>
  <si>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</si>
  <si>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</si>
  <si>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</si>
  <si>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</si>
  <si>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</si>
  <si>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</si>
  <si>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</si>
  <si>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</si>
  <si>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</si>
  <si>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</si>
  <si>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</si>
  <si>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</si>
  <si>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</si>
  <si>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</si>
  <si>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</si>
  <si>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</si>
  <si>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</si>
  <si>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</si>
  <si>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</si>
  <si>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</si>
  <si>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</si>
  <si>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</si>
  <si>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</si>
  <si>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</si>
  <si>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</si>
  <si>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</si>
  <si>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</si>
  <si>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</si>
  <si>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</si>
  <si>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</si>
  <si>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</si>
  <si>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</si>
  <si>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</si>
  <si>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</si>
  <si>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</si>
  <si>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</si>
  <si>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</si>
  <si>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</si>
  <si>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</si>
  <si>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</si>
  <si>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</si>
  <si>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</si>
  <si>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</si>
  <si>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</si>
  <si>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</si>
  <si>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</si>
  <si>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</si>
  <si>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</si>
  <si>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</si>
  <si>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</si>
  <si>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</si>
  <si>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</si>
  <si>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</si>
  <si>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</si>
  <si>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</si>
  <si>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</si>
  <si>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</si>
  <si>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</si>
  <si>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</si>
  <si>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</si>
  <si>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</si>
  <si>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</si>
  <si>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</si>
  <si>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</si>
  <si>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</si>
  <si>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</si>
  <si>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</si>
  <si>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</si>
  <si>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</si>
  <si>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</si>
  <si>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</si>
  <si>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</si>
  <si>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</si>
  <si>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</si>
  <si>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</si>
  <si>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</si>
  <si>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</si>
  <si>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</si>
  <si>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</si>
  <si>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</si>
  <si>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</si>
  <si>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</si>
  <si>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</si>
  <si>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</si>
  <si>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</si>
  <si>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</si>
  <si>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</si>
  <si>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</si>
  <si>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</si>
  <si>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</si>
  <si>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</si>
  <si>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</si>
  <si>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</si>
  <si>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</si>
  <si>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</si>
  <si>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</si>
  <si>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</si>
  <si>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</si>
  <si>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</si>
  <si>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</si>
  <si>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</si>
  <si>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</si>
  <si>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</si>
  <si>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</si>
  <si>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</si>
  <si>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</si>
  <si>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</si>
  <si>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</si>
  <si>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</si>
  <si>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</si>
  <si>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</si>
  <si>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</si>
  <si>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</si>
  <si>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</si>
  <si>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</si>
  <si>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</si>
  <si>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</si>
  <si>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</si>
  <si>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</si>
  <si>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</si>
  <si>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</si>
  <si>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</si>
  <si>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</si>
  <si>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</si>
  <si>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</si>
  <si>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</si>
  <si>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</si>
  <si>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</si>
  <si>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</si>
  <si>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</si>
  <si>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</si>
  <si>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</si>
  <si>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</si>
  <si>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</si>
  <si>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</si>
  <si>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</si>
  <si>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</si>
  <si>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</si>
  <si>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</si>
  <si>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</si>
  <si>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</si>
  <si>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</si>
  <si>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</si>
  <si>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</si>
  <si>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</si>
  <si>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</si>
  <si>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</si>
  <si>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</si>
  <si>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</si>
  <si>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</si>
  <si>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</si>
  <si>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</si>
  <si>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</si>
  <si>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</si>
  <si>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</si>
  <si>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</si>
  <si>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</si>
  <si>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</si>
  <si>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</si>
  <si>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</si>
  <si>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</si>
  <si>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</si>
  <si>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</si>
  <si>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</si>
  <si>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</si>
  <si>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</si>
  <si>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</si>
  <si>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</si>
  <si>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</si>
  <si>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</si>
  <si>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</si>
  <si>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</si>
  <si>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</si>
  <si>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</si>
  <si>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</si>
  <si>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</si>
  <si>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</si>
  <si>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</si>
  <si>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</si>
  <si>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</si>
  <si>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</si>
  <si>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</si>
  <si>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</si>
  <si>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</si>
  <si>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</si>
  <si>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</si>
  <si>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</si>
  <si>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</si>
  <si>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</si>
  <si>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</si>
  <si>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</si>
  <si>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</si>
  <si>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</si>
  <si>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</si>
  <si>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</si>
  <si>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</si>
  <si>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</si>
  <si>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</si>
  <si>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</si>
  <si>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</si>
  <si>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</si>
  <si>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</si>
  <si>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</si>
  <si>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</si>
  <si>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</si>
  <si>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</si>
  <si>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</si>
  <si>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</si>
  <si>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</si>
  <si>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</si>
  <si>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</si>
  <si>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</si>
  <si>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</si>
  <si>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</si>
  <si>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</si>
  <si>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</si>
  <si>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</si>
  <si>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</si>
  <si>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</si>
  <si>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</si>
  <si>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</si>
  <si>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</si>
  <si>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</si>
  <si>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</si>
  <si>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</si>
  <si>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</si>
  <si>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</si>
  <si>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</si>
  <si>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</si>
  <si>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</si>
  <si>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</si>
  <si>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</si>
  <si>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</si>
  <si>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</si>
  <si>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</si>
  <si>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</si>
  <si>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</si>
  <si>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</si>
  <si>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</si>
  <si>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</si>
  <si>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</si>
  <si>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</si>
  <si>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</si>
  <si>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</si>
  <si>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</si>
  <si>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</si>
  <si>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</si>
  <si>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</si>
  <si>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</si>
  <si>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</si>
  <si>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</si>
  <si>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</si>
  <si>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</si>
  <si>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</si>
  <si>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</si>
  <si>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</si>
  <si>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</si>
  <si>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</si>
  <si>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</si>
  <si>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</si>
  <si>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</si>
  <si>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</si>
  <si>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</si>
  <si>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</si>
  <si>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</si>
  <si>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</si>
  <si>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</si>
  <si>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</si>
  <si>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</si>
  <si>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</si>
  <si>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</si>
  <si>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</si>
  <si>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</si>
  <si>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</si>
  <si>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</si>
  <si>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</si>
  <si>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</si>
  <si>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</si>
  <si>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</si>
  <si>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</si>
  <si>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</si>
  <si>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</si>
  <si>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</si>
  <si>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</si>
  <si>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</si>
  <si>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</si>
  <si>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</si>
  <si>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</si>
  <si>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</si>
  <si>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</si>
  <si>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</si>
  <si>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</si>
  <si>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</si>
  <si>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</si>
  <si>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</si>
  <si>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</si>
  <si>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</si>
  <si>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</si>
  <si>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</si>
  <si>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</si>
  <si>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</si>
  <si>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</si>
  <si>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</si>
  <si>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</si>
  <si>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</si>
  <si>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</si>
  <si>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</si>
  <si>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</si>
  <si>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</si>
  <si>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</si>
  <si>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</si>
  <si>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</si>
  <si>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</si>
  <si>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</si>
  <si>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</si>
  <si>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</si>
  <si>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</si>
  <si>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</si>
  <si>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</si>
  <si>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</si>
  <si>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</si>
  <si>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</si>
  <si>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</si>
  <si>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</si>
  <si>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</si>
  <si>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</si>
  <si>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</si>
  <si>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</si>
  <si>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</si>
  <si>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</si>
  <si>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</si>
  <si>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</si>
  <si>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</si>
  <si>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</si>
  <si>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</si>
  <si>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</si>
  <si>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</si>
  <si>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</si>
  <si>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</si>
  <si>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</si>
  <si>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</si>
  <si>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</si>
  <si>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</si>
  <si>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</si>
  <si>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</si>
  <si>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</si>
  <si>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</si>
  <si>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</si>
  <si>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</si>
  <si>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</si>
  <si>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</si>
  <si>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</si>
  <si>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</si>
  <si>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</si>
  <si>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</si>
  <si>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</si>
  <si>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</si>
  <si>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</si>
  <si>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</si>
  <si>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</si>
  <si>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</si>
  <si>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</si>
  <si>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</si>
  <si>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</si>
  <si>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</si>
  <si>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</si>
  <si>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</si>
  <si>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</si>
  <si>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</si>
  <si>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</si>
  <si>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</si>
  <si>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</si>
  <si>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</si>
  <si>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</si>
  <si>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</si>
  <si>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</si>
  <si>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</si>
  <si>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</si>
  <si>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</si>
  <si>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</si>
  <si>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</si>
  <si>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</si>
  <si>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</si>
  <si>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</si>
  <si>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</si>
  <si>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</si>
  <si>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</si>
  <si>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</si>
  <si>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</si>
  <si>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</si>
  <si>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</si>
  <si>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</si>
  <si>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</si>
  <si>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</si>
  <si>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</si>
  <si>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</si>
  <si>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</si>
  <si>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</si>
  <si>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</si>
  <si>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</si>
  <si>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</si>
  <si>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</si>
  <si>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</si>
  <si>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</si>
  <si>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</si>
  <si>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</si>
  <si>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</si>
  <si>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</si>
  <si>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</si>
  <si>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</si>
  <si>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</si>
  <si>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</si>
  <si>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</si>
  <si>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</si>
  <si>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</si>
  <si>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</si>
  <si>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</si>
  <si>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</si>
  <si>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</si>
  <si>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</si>
  <si>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</si>
  <si>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</si>
  <si>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</si>
  <si>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</si>
  <si>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</si>
  <si>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</si>
  <si>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</si>
  <si>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</si>
  <si>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</si>
  <si>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</si>
  <si>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</si>
  <si>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</si>
  <si>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</si>
  <si>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</si>
  <si>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</si>
  <si>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</si>
  <si>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</si>
  <si>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</si>
  <si>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</si>
  <si>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</si>
  <si>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</si>
  <si>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</si>
  <si>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</si>
  <si>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</si>
  <si>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</si>
  <si>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</si>
  <si>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</si>
  <si>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</si>
  <si>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</si>
  <si>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</si>
  <si>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</si>
  <si>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</si>
  <si>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</si>
  <si>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</si>
  <si>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</si>
  <si>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</si>
  <si>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</si>
  <si>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</si>
  <si>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</si>
  <si>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</si>
  <si>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</si>
  <si>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</si>
  <si>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</si>
  <si>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</si>
  <si>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</si>
  <si>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</si>
  <si>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</si>
  <si>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</si>
  <si>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</si>
  <si>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</si>
  <si>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</si>
  <si>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</si>
  <si>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</si>
  <si>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</si>
  <si>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</si>
  <si>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</si>
  <si>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</si>
  <si>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</si>
  <si>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</si>
  <si>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</si>
  <si>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</si>
  <si>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</si>
  <si>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</si>
  <si>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</si>
  <si>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</si>
  <si>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</si>
  <si>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</si>
  <si>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</si>
  <si>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</si>
  <si>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</si>
  <si>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</si>
  <si>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</si>
  <si>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</si>
  <si>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</si>
  <si>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</si>
  <si>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</si>
  <si>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</si>
  <si>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</si>
  <si>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</si>
  <si>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</si>
  <si>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</si>
  <si>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</si>
  <si>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</si>
  <si>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</si>
  <si>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</si>
  <si>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</si>
  <si>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</si>
  <si>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</si>
  <si>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</si>
  <si>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</si>
  <si>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</si>
  <si>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</si>
  <si>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</si>
  <si>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</si>
  <si>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</si>
  <si>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</si>
  <si>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</si>
  <si>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</si>
  <si>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</si>
  <si>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</si>
  <si>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</si>
  <si>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</si>
  <si>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</si>
  <si>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</si>
  <si>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</si>
  <si>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</si>
  <si>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</si>
  <si>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</si>
  <si>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</si>
  <si>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</si>
  <si>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</si>
  <si>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</si>
  <si>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</si>
  <si>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</si>
  <si>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</si>
  <si>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</si>
  <si>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addres</t>
    <phoneticPr fontId="19" type="noConversion"/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</si>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</sst>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 x14ac:dyDescent="0.3">
      <c r="B1" s="27" t="s">
        <v>217</v>
      </c>
    </row>
    <row r="2" spans="1:16" ht="34.5" customHeight="1" x14ac:dyDescent="0.3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 x14ac:dyDescent="0.3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 x14ac:dyDescent="0.3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 x14ac:dyDescent="0.3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 x14ac:dyDescent="0.3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 x14ac:dyDescent="0.3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 x14ac:dyDescent="0.3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 x14ac:dyDescent="0.3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 x14ac:dyDescent="0.3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 x14ac:dyDescent="0.3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 x14ac:dyDescent="0.3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 x14ac:dyDescent="0.3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 x14ac:dyDescent="0.3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 x14ac:dyDescent="0.3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 x14ac:dyDescent="0.3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 x14ac:dyDescent="0.3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 x14ac:dyDescent="0.3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 x14ac:dyDescent="0.3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 x14ac:dyDescent="0.3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 x14ac:dyDescent="0.3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 x14ac:dyDescent="0.3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 x14ac:dyDescent="0.3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 x14ac:dyDescent="0.3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 x14ac:dyDescent="0.3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 x14ac:dyDescent="0.3">
      <c r="B1" s="27" t="s">
        <v>216</v>
      </c>
      <c r="C1" s="27"/>
    </row>
    <row r="2" spans="2:14" ht="34.5" customHeight="1" x14ac:dyDescent="0.3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 x14ac:dyDescent="0.3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 x14ac:dyDescent="0.3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 x14ac:dyDescent="0.3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 x14ac:dyDescent="0.3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 x14ac:dyDescent="0.3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 x14ac:dyDescent="0.3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 x14ac:dyDescent="0.3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 x14ac:dyDescent="0.3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 x14ac:dyDescent="0.3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 x14ac:dyDescent="0.3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 x14ac:dyDescent="0.3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 x14ac:dyDescent="0.3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 x14ac:dyDescent="0.3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 x14ac:dyDescent="0.3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 x14ac:dyDescent="0.3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 x14ac:dyDescent="0.3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 x14ac:dyDescent="0.3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 x14ac:dyDescent="0.3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 x14ac:dyDescent="0.3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 x14ac:dyDescent="0.3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 x14ac:dyDescent="0.3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 x14ac:dyDescent="0.3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 x14ac:dyDescent="0.3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58"/>
  <sheetViews>
    <sheetView tabSelected="1" workbookViewId="0">
      <selection activeCell="G27" sqref="G27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11</v>
      </c>
    </row>
    <row r="23" spans="1:19" ht="21.75" customHeight="1" x14ac:dyDescent="0.3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11</v>
      </c>
    </row>
    <row r="24" spans="1:19" ht="21.75" customHeight="1" x14ac:dyDescent="0.3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 x14ac:dyDescent="0.3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11</v>
      </c>
    </row>
    <row r="26" spans="1:19" ht="21.75" customHeight="1" x14ac:dyDescent="0.3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 x14ac:dyDescent="0.3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 x14ac:dyDescent="0.3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 x14ac:dyDescent="0.3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 x14ac:dyDescent="0.3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 x14ac:dyDescent="0.3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20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 x14ac:dyDescent="0.3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 x14ac:dyDescent="0.3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 x14ac:dyDescent="0.3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 x14ac:dyDescent="0.3">
      <c r="B35" s="1"/>
      <c r="L35" s="6"/>
    </row>
    <row r="36" spans="1:19" ht="21.75" customHeight="1" x14ac:dyDescent="0.3">
      <c r="B36" s="1"/>
      <c r="I36" s="2"/>
      <c r="J36" s="2"/>
      <c r="L36" s="6"/>
    </row>
    <row r="37" spans="1:19" ht="21.75" customHeight="1" thickBot="1" x14ac:dyDescent="0.35">
      <c r="B37" s="1"/>
      <c r="I37" s="2"/>
      <c r="J37" s="2"/>
      <c r="L37" s="6"/>
    </row>
    <row r="38" spans="1:19" ht="21.75" customHeight="1" x14ac:dyDescent="0.3">
      <c r="B38" s="7" t="s">
        <v>252</v>
      </c>
      <c r="C38" s="51" t="s">
        <v>253</v>
      </c>
      <c r="D38" s="52"/>
      <c r="E38" s="51" t="s">
        <v>256</v>
      </c>
      <c r="F38" s="52"/>
      <c r="G38" s="51" t="s">
        <v>257</v>
      </c>
      <c r="H38" s="52"/>
      <c r="I38" s="51" t="s">
        <v>258</v>
      </c>
      <c r="J38" s="53"/>
      <c r="K38" s="2" t="s">
        <v>33</v>
      </c>
      <c r="L38" s="40">
        <f ca="1">SUM_SS</f>
        <v>22.439999999999994</v>
      </c>
    </row>
    <row r="39" spans="1:19" ht="21.75" customHeight="1" x14ac:dyDescent="0.3">
      <c r="B39" s="12" t="s">
        <v>254</v>
      </c>
      <c r="C39" s="9">
        <f ca="1">E39+G39+I39</f>
        <v>53</v>
      </c>
      <c r="D39" s="9">
        <f ca="1">F39+H39+J39</f>
        <v>124.86</v>
      </c>
      <c r="E39" s="9">
        <f ca="1">IF(F39=0,0,COUNTIF(SS_INSIDE_AREA,"O"))</f>
        <v>33</v>
      </c>
      <c r="F39" s="9">
        <f ca="1">SUMIF(SS_INSIDE_AREA,"O",$L$2:$L$2)</f>
        <v>22.439999999999994</v>
      </c>
      <c r="G39" s="9">
        <f ca="1">IF(H39=0,0,COUNTIF(AA_INSIDE_AREA,"O"))</f>
        <v>20</v>
      </c>
      <c r="H39" s="9">
        <f ca="1">aa!$D$25</f>
        <v>102.42</v>
      </c>
      <c r="I39" s="9">
        <f ca="1">IF(J39=0,0,COUNTIF(II_INSIDE_AREA,"O"))</f>
        <v>0</v>
      </c>
      <c r="J39" s="13">
        <f ca="1">ii!$D$8</f>
        <v>0</v>
      </c>
      <c r="K39" s="2" t="s">
        <v>30</v>
      </c>
      <c r="L39" s="39">
        <f ca="1">L38+aa!D25+ii!L5</f>
        <v>124.86</v>
      </c>
    </row>
    <row r="40" spans="1:19" ht="21.75" customHeight="1" thickBot="1" x14ac:dyDescent="0.35">
      <c r="B40" s="8" t="s">
        <v>255</v>
      </c>
      <c r="C40" s="14">
        <f ca="1">E40+G40+I40</f>
        <v>0</v>
      </c>
      <c r="D40" s="14">
        <f ca="1">F40+H40+J40</f>
        <v>0</v>
      </c>
      <c r="E40" s="14">
        <f ca="1">IF(F40=0,0,COUNTIF(SS_INSIDE_AREA,"X"))</f>
        <v>0</v>
      </c>
      <c r="F40" s="14">
        <f ca="1">SUMIF(SS_INSIDE_AREA,"X",$L$2:$L$2)</f>
        <v>0</v>
      </c>
      <c r="G40" s="14">
        <f ca="1">IF(H40=0,0,COUNTIF(AA_INSIDE_AREA,"X"))</f>
        <v>0</v>
      </c>
      <c r="H40" s="14">
        <f ca="1">aa!$D$26</f>
        <v>0</v>
      </c>
      <c r="I40" s="14">
        <f ca="1">IF(J40=0,0,COUNTIF(II_INSIDE_AREA,"X"))</f>
        <v>0</v>
      </c>
      <c r="J40" s="15">
        <f ca="1">ii!$D$9</f>
        <v>0</v>
      </c>
    </row>
    <row r="41" spans="1:19" ht="21.75" customHeight="1" x14ac:dyDescent="0.3">
      <c r="B41"/>
      <c r="C41"/>
      <c r="D41"/>
      <c r="E41"/>
      <c r="F41"/>
      <c r="G41"/>
      <c r="H41"/>
      <c r="I41"/>
      <c r="K41" s="7" t="s">
        <v>31</v>
      </c>
      <c r="L41" s="28">
        <f ca="1">D39</f>
        <v>124.86</v>
      </c>
    </row>
    <row r="42" spans="1:19" ht="21.75" customHeight="1" thickBot="1" x14ac:dyDescent="0.35">
      <c r="B42"/>
      <c r="C42"/>
      <c r="D42"/>
      <c r="E42"/>
      <c r="F42"/>
      <c r="G42"/>
      <c r="H42"/>
      <c r="I42"/>
      <c r="K42" s="8" t="s">
        <v>32</v>
      </c>
      <c r="L42" s="29">
        <f ca="1">C39</f>
        <v>53</v>
      </c>
    </row>
    <row r="43" spans="1:19" ht="21.75" customHeight="1" x14ac:dyDescent="0.3">
      <c r="B43"/>
      <c r="C43"/>
      <c r="D43"/>
      <c r="E43"/>
      <c r="F43"/>
      <c r="G43"/>
      <c r="H43"/>
      <c r="I43"/>
    </row>
    <row r="44" spans="1:19" ht="21.75" customHeight="1" x14ac:dyDescent="0.3">
      <c r="B44"/>
      <c r="C44"/>
      <c r="D44"/>
      <c r="E44"/>
      <c r="F44"/>
      <c r="G44"/>
      <c r="H44"/>
      <c r="I44"/>
    </row>
    <row r="45" spans="1:19" ht="21.75" customHeight="1" x14ac:dyDescent="0.3">
      <c r="B45"/>
      <c r="C45"/>
      <c r="D45"/>
      <c r="E45"/>
      <c r="F45"/>
      <c r="G45"/>
      <c r="H45"/>
      <c r="I45"/>
    </row>
    <row r="46" spans="1:19" ht="21.75" customHeight="1" x14ac:dyDescent="0.3">
      <c r="B46"/>
      <c r="C46"/>
      <c r="D46"/>
      <c r="E46"/>
      <c r="F46"/>
      <c r="G46"/>
      <c r="H46"/>
      <c r="I46"/>
    </row>
    <row r="47" spans="1:19" ht="21.75" customHeight="1" x14ac:dyDescent="0.3">
      <c r="B47"/>
      <c r="C47"/>
      <c r="D47"/>
      <c r="E47"/>
      <c r="F47"/>
      <c r="G47"/>
      <c r="H47"/>
      <c r="I47"/>
    </row>
    <row r="48" spans="1:19" ht="21.75" customHeight="1" x14ac:dyDescent="0.3">
      <c r="B48"/>
      <c r="C48"/>
      <c r="D48"/>
      <c r="E48"/>
      <c r="F48"/>
      <c r="G48"/>
      <c r="H48"/>
      <c r="I48"/>
    </row>
    <row r="49" spans="2:17" ht="21.75" customHeight="1" x14ac:dyDescent="0.3">
      <c r="B49"/>
      <c r="C49"/>
      <c r="D49"/>
      <c r="E49"/>
      <c r="F49"/>
      <c r="G49"/>
      <c r="H49"/>
      <c r="I49"/>
    </row>
    <row r="50" spans="2:17" ht="21.75" customHeight="1" x14ac:dyDescent="0.3">
      <c r="B50"/>
      <c r="C50"/>
      <c r="D50"/>
      <c r="E50"/>
      <c r="F50"/>
      <c r="G50"/>
      <c r="H50"/>
      <c r="I50"/>
    </row>
    <row r="51" spans="2:17" ht="21.75" customHeight="1" x14ac:dyDescent="0.3">
      <c r="B51"/>
      <c r="C51"/>
      <c r="D51"/>
      <c r="E51"/>
      <c r="F51"/>
      <c r="G51"/>
      <c r="H51"/>
      <c r="I51"/>
    </row>
    <row r="56" spans="2:17" ht="21.75" customHeight="1" x14ac:dyDescent="0.3">
      <c r="K56"/>
      <c r="L56"/>
      <c r="M56"/>
      <c r="N56"/>
      <c r="O56"/>
      <c r="P56"/>
      <c r="Q56"/>
    </row>
    <row r="57" spans="2:17" ht="21.75" customHeight="1" x14ac:dyDescent="0.3">
      <c r="K57"/>
      <c r="L57"/>
      <c r="M57"/>
      <c r="N57"/>
      <c r="O57"/>
      <c r="P57"/>
      <c r="Q57"/>
    </row>
    <row r="58" spans="2:17" ht="21.75" customHeight="1" x14ac:dyDescent="0.3">
      <c r="K58"/>
      <c r="L58"/>
      <c r="M58"/>
      <c r="N58"/>
      <c r="O58"/>
      <c r="P58"/>
      <c r="Q58"/>
    </row>
  </sheetData>
  <dataConsolidate/>
  <mergeCells count="4">
    <mergeCell ref="C38:D38"/>
    <mergeCell ref="E38:F38"/>
    <mergeCell ref="G38:H38"/>
    <mergeCell ref="I38:J3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7"/>
  <sheetViews>
    <sheetView workbookViewId="0"/>
  </sheetViews>
  <sheetFormatPr defaultColWidth="9" defaultRowHeight="21.75" customHeight="1" x14ac:dyDescent="0.3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 x14ac:dyDescent="0.3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 x14ac:dyDescent="0.3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 x14ac:dyDescent="0.3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 x14ac:dyDescent="0.3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 x14ac:dyDescent="0.3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11</v>
      </c>
    </row>
    <row r="10" spans="1:19" ht="21.75" customHeight="1" x14ac:dyDescent="0.3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 x14ac:dyDescent="0.3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 x14ac:dyDescent="0.3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 x14ac:dyDescent="0.3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11</v>
      </c>
    </row>
    <row r="14" spans="1:19" ht="21.75" customHeight="1" x14ac:dyDescent="0.3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11</v>
      </c>
    </row>
    <row r="15" spans="1:19" ht="21.75" customHeight="1" x14ac:dyDescent="0.3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11</v>
      </c>
    </row>
    <row r="16" spans="1:19" ht="21.75" customHeight="1" x14ac:dyDescent="0.3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11</v>
      </c>
    </row>
    <row r="17" spans="1:19" ht="21.75" customHeight="1" x14ac:dyDescent="0.3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11</v>
      </c>
    </row>
    <row r="18" spans="1:19" ht="21.75" customHeight="1" x14ac:dyDescent="0.3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 x14ac:dyDescent="0.3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 x14ac:dyDescent="0.3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 x14ac:dyDescent="0.3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 x14ac:dyDescent="0.3">
      <c r="A22" s="1"/>
      <c r="B22" s="1"/>
      <c r="E22" s="5"/>
    </row>
    <row r="23" spans="1:19" ht="21.75" customHeight="1" thickBot="1" x14ac:dyDescent="0.35">
      <c r="A23" s="1"/>
      <c r="B23" s="1"/>
      <c r="E23" s="5"/>
    </row>
    <row r="24" spans="1:19" ht="21.75" customHeight="1" x14ac:dyDescent="0.3">
      <c r="A24" s="1"/>
      <c r="B24" s="7" t="s">
        <v>21</v>
      </c>
      <c r="C24" s="10" t="s">
        <v>20</v>
      </c>
      <c r="D24" s="11" t="s">
        <v>5</v>
      </c>
      <c r="E24" s="5"/>
    </row>
    <row r="25" spans="1:19" ht="21.75" customHeight="1" x14ac:dyDescent="0.3">
      <c r="A25" s="1"/>
      <c r="B25" s="12" t="s">
        <v>18</v>
      </c>
      <c r="C25" s="9">
        <f ca="1">COUNTIF(AA_INSIDE_AREA,"O")</f>
        <v>20</v>
      </c>
      <c r="D25" s="13">
        <f ca="1">SUMIF(AA_INSIDE_AREA,"O",$L$2:$L$2)</f>
        <v>102.42</v>
      </c>
    </row>
    <row r="26" spans="1:19" ht="21.75" customHeight="1" x14ac:dyDescent="0.3">
      <c r="B26" s="12" t="s">
        <v>19</v>
      </c>
      <c r="C26" s="9">
        <f ca="1">COUNTIF(AA_INSIDE_AREA,"X")</f>
        <v>0</v>
      </c>
      <c r="D26" s="13">
        <f ca="1">SUMIF(AA_INSIDE_AREA,"X",$L$2:$L$2)</f>
        <v>0</v>
      </c>
      <c r="L26" s="41"/>
    </row>
    <row r="27" spans="1:19" ht="21.75" customHeight="1" thickBot="1" x14ac:dyDescent="0.35">
      <c r="B27" s="8"/>
      <c r="C27" s="14"/>
      <c r="D27" s="15">
        <f ca="1">D25+D26</f>
        <v>102.42</v>
      </c>
      <c r="L27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I28" sqref="I28"/>
    </sheetView>
  </sheetViews>
  <sheetFormatPr defaultRowHeight="13.5" x14ac:dyDescent="0.3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 x14ac:dyDescent="0.3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 x14ac:dyDescent="0.3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44" t="s">
        <v>30</v>
      </c>
      <c r="L5" s="47">
        <f>SUM(L2:L4)</f>
        <v>0</v>
      </c>
      <c r="S5" s="41"/>
    </row>
    <row r="6" spans="1:19" ht="18.75" customHeight="1" thickBot="1" x14ac:dyDescent="0.35"/>
    <row r="7" spans="1:19" ht="18.75" customHeight="1" x14ac:dyDescent="0.3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 x14ac:dyDescent="0.3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 x14ac:dyDescent="0.3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 x14ac:dyDescent="0.35">
      <c r="B10" s="17"/>
      <c r="C10" s="14"/>
      <c r="D10" s="15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4" customWidth="1"/>
    <col min="4" max="4" width="9" style="4"/>
    <col min="5" max="5" width="28.125" style="22" customWidth="1"/>
  </cols>
  <sheetData>
    <row r="1" spans="1:10" ht="21.75" customHeight="1" x14ac:dyDescent="0.3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 x14ac:dyDescent="0.3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 x14ac:dyDescent="0.3">
      <c r="C3" s="4" t="s">
        <v>88</v>
      </c>
      <c r="D3" s="4" t="s">
        <v>35</v>
      </c>
      <c r="E3" s="22" t="s">
        <v>142</v>
      </c>
    </row>
    <row r="4" spans="1:10" ht="20.100000000000001" customHeight="1" x14ac:dyDescent="0.3">
      <c r="C4" s="4" t="s">
        <v>140</v>
      </c>
      <c r="D4" s="4" t="s">
        <v>36</v>
      </c>
      <c r="E4" s="22" t="s">
        <v>143</v>
      </c>
    </row>
    <row r="5" spans="1:10" ht="20.100000000000001" customHeight="1" x14ac:dyDescent="0.3">
      <c r="C5" s="4" t="s">
        <v>24</v>
      </c>
      <c r="D5" s="4" t="s">
        <v>37</v>
      </c>
      <c r="E5" s="22" t="s">
        <v>144</v>
      </c>
    </row>
    <row r="6" spans="1:10" ht="20.100000000000001" customHeight="1" x14ac:dyDescent="0.3">
      <c r="C6" s="4" t="s">
        <v>89</v>
      </c>
      <c r="D6" s="4" t="s">
        <v>38</v>
      </c>
      <c r="E6" s="22" t="s">
        <v>145</v>
      </c>
    </row>
    <row r="7" spans="1:10" ht="20.100000000000001" customHeight="1" x14ac:dyDescent="0.3">
      <c r="C7" s="4" t="s">
        <v>90</v>
      </c>
      <c r="D7" s="4" t="s">
        <v>39</v>
      </c>
      <c r="E7" s="22" t="s">
        <v>33</v>
      </c>
    </row>
    <row r="8" spans="1:10" ht="20.100000000000001" customHeight="1" x14ac:dyDescent="0.3">
      <c r="C8" s="4" t="s">
        <v>91</v>
      </c>
      <c r="D8" s="4" t="s">
        <v>40</v>
      </c>
      <c r="E8" s="22" t="s">
        <v>146</v>
      </c>
    </row>
    <row r="9" spans="1:10" ht="20.100000000000001" customHeight="1" x14ac:dyDescent="0.3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 x14ac:dyDescent="0.3">
      <c r="C10" s="4" t="s">
        <v>93</v>
      </c>
      <c r="D10" s="4" t="s">
        <v>42</v>
      </c>
      <c r="E10" s="22" t="s">
        <v>148</v>
      </c>
    </row>
    <row r="11" spans="1:10" ht="20.100000000000001" customHeight="1" x14ac:dyDescent="0.3">
      <c r="C11" s="4" t="s">
        <v>94</v>
      </c>
      <c r="D11" s="4" t="s">
        <v>43</v>
      </c>
      <c r="E11" s="22" t="s">
        <v>149</v>
      </c>
    </row>
    <row r="12" spans="1:10" ht="20.100000000000001" customHeight="1" x14ac:dyDescent="0.3">
      <c r="C12" s="4" t="s">
        <v>95</v>
      </c>
      <c r="D12" s="4" t="s">
        <v>44</v>
      </c>
      <c r="E12" s="22" t="s">
        <v>150</v>
      </c>
    </row>
    <row r="13" spans="1:10" ht="20.100000000000001" customHeight="1" x14ac:dyDescent="0.3">
      <c r="C13" s="4" t="s">
        <v>96</v>
      </c>
      <c r="D13" s="4" t="s">
        <v>45</v>
      </c>
      <c r="E13" s="22" t="s">
        <v>151</v>
      </c>
    </row>
    <row r="14" spans="1:10" ht="20.100000000000001" customHeight="1" x14ac:dyDescent="0.3">
      <c r="C14" s="4" t="s">
        <v>97</v>
      </c>
      <c r="D14" s="4" t="s">
        <v>46</v>
      </c>
      <c r="E14" s="22" t="s">
        <v>152</v>
      </c>
    </row>
    <row r="15" spans="1:10" ht="20.100000000000001" customHeight="1" x14ac:dyDescent="0.3">
      <c r="C15" s="4" t="s">
        <v>98</v>
      </c>
      <c r="D15" s="4" t="s">
        <v>47</v>
      </c>
      <c r="E15" s="22" t="s">
        <v>153</v>
      </c>
    </row>
    <row r="16" spans="1:10" ht="20.100000000000001" customHeight="1" x14ac:dyDescent="0.3">
      <c r="C16" s="4" t="s">
        <v>99</v>
      </c>
      <c r="D16" s="4" t="s">
        <v>48</v>
      </c>
      <c r="E16" s="22" t="s">
        <v>154</v>
      </c>
    </row>
    <row r="17" spans="3:5" ht="20.100000000000001" customHeight="1" x14ac:dyDescent="0.3">
      <c r="C17" s="4" t="s">
        <v>100</v>
      </c>
      <c r="D17" s="4" t="s">
        <v>49</v>
      </c>
      <c r="E17" s="22" t="s">
        <v>155</v>
      </c>
    </row>
    <row r="18" spans="3:5" ht="20.100000000000001" customHeight="1" x14ac:dyDescent="0.3">
      <c r="C18" s="4" t="s">
        <v>101</v>
      </c>
      <c r="D18" s="4" t="s">
        <v>50</v>
      </c>
      <c r="E18" s="22" t="s">
        <v>156</v>
      </c>
    </row>
    <row r="19" spans="3:5" ht="20.100000000000001" customHeight="1" x14ac:dyDescent="0.3">
      <c r="C19" s="4" t="s">
        <v>102</v>
      </c>
      <c r="D19" s="4" t="s">
        <v>51</v>
      </c>
      <c r="E19" s="22" t="s">
        <v>157</v>
      </c>
    </row>
    <row r="20" spans="3:5" ht="20.100000000000001" customHeight="1" x14ac:dyDescent="0.3">
      <c r="C20" s="4" t="s">
        <v>103</v>
      </c>
      <c r="D20" s="4" t="s">
        <v>52</v>
      </c>
      <c r="E20" s="22" t="s">
        <v>158</v>
      </c>
    </row>
    <row r="21" spans="3:5" ht="20.100000000000001" customHeight="1" x14ac:dyDescent="0.3">
      <c r="C21" s="4" t="s">
        <v>104</v>
      </c>
      <c r="D21" s="4" t="s">
        <v>53</v>
      </c>
      <c r="E21" s="22" t="s">
        <v>153</v>
      </c>
    </row>
    <row r="22" spans="3:5" ht="20.100000000000001" customHeight="1" x14ac:dyDescent="0.3">
      <c r="C22" s="4" t="s">
        <v>105</v>
      </c>
      <c r="D22" s="4" t="s">
        <v>54</v>
      </c>
      <c r="E22" s="22" t="s">
        <v>159</v>
      </c>
    </row>
    <row r="23" spans="3:5" ht="20.100000000000001" customHeight="1" x14ac:dyDescent="0.3">
      <c r="C23" s="4" t="s">
        <v>106</v>
      </c>
      <c r="D23" s="4" t="s">
        <v>55</v>
      </c>
      <c r="E23" s="22" t="s">
        <v>160</v>
      </c>
    </row>
    <row r="24" spans="3:5" ht="20.100000000000001" customHeight="1" x14ac:dyDescent="0.3">
      <c r="C24" s="4" t="s">
        <v>107</v>
      </c>
      <c r="D24" s="4" t="s">
        <v>56</v>
      </c>
      <c r="E24" s="22" t="s">
        <v>161</v>
      </c>
    </row>
    <row r="25" spans="3:5" ht="20.100000000000001" customHeight="1" x14ac:dyDescent="0.3">
      <c r="C25" s="4" t="s">
        <v>108</v>
      </c>
      <c r="D25" s="4" t="s">
        <v>57</v>
      </c>
      <c r="E25" s="22" t="s">
        <v>162</v>
      </c>
    </row>
    <row r="26" spans="3:5" ht="20.100000000000001" customHeight="1" x14ac:dyDescent="0.3">
      <c r="C26" s="4" t="s">
        <v>109</v>
      </c>
      <c r="D26" s="4" t="s">
        <v>58</v>
      </c>
      <c r="E26" s="22" t="s">
        <v>163</v>
      </c>
    </row>
    <row r="27" spans="3:5" ht="20.100000000000001" customHeight="1" x14ac:dyDescent="0.3">
      <c r="C27" s="4" t="s">
        <v>110</v>
      </c>
      <c r="D27" s="4" t="s">
        <v>59</v>
      </c>
      <c r="E27" s="22" t="s">
        <v>164</v>
      </c>
    </row>
    <row r="28" spans="3:5" ht="20.100000000000001" customHeight="1" x14ac:dyDescent="0.3">
      <c r="C28" s="4" t="s">
        <v>111</v>
      </c>
      <c r="D28" s="4" t="s">
        <v>60</v>
      </c>
      <c r="E28" s="22" t="s">
        <v>153</v>
      </c>
    </row>
    <row r="29" spans="3:5" ht="20.100000000000001" customHeight="1" x14ac:dyDescent="0.3">
      <c r="C29" s="4" t="s">
        <v>112</v>
      </c>
      <c r="D29" s="4" t="s">
        <v>61</v>
      </c>
      <c r="E29" s="22" t="s">
        <v>165</v>
      </c>
    </row>
    <row r="30" spans="3:5" ht="20.100000000000001" customHeight="1" x14ac:dyDescent="0.3">
      <c r="C30" s="4" t="s">
        <v>113</v>
      </c>
      <c r="D30" s="4" t="s">
        <v>62</v>
      </c>
      <c r="E30" s="22" t="s">
        <v>166</v>
      </c>
    </row>
    <row r="31" spans="3:5" ht="20.100000000000001" customHeight="1" x14ac:dyDescent="0.3">
      <c r="C31" s="4" t="s">
        <v>114</v>
      </c>
      <c r="D31" s="4" t="s">
        <v>63</v>
      </c>
      <c r="E31" s="22" t="s">
        <v>167</v>
      </c>
    </row>
    <row r="32" spans="3:5" ht="20.100000000000001" customHeight="1" x14ac:dyDescent="0.3">
      <c r="C32" s="4" t="s">
        <v>115</v>
      </c>
      <c r="D32" s="4" t="s">
        <v>64</v>
      </c>
      <c r="E32" s="24" t="s">
        <v>168</v>
      </c>
    </row>
    <row r="33" spans="3:7" ht="20.100000000000001" customHeight="1" x14ac:dyDescent="0.3">
      <c r="C33" s="4" t="s">
        <v>116</v>
      </c>
      <c r="D33" s="4" t="s">
        <v>65</v>
      </c>
      <c r="E33" s="24" t="s">
        <v>169</v>
      </c>
    </row>
    <row r="34" spans="3:7" ht="20.100000000000001" customHeight="1" x14ac:dyDescent="0.3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 x14ac:dyDescent="0.3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 x14ac:dyDescent="0.3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 x14ac:dyDescent="0.3">
      <c r="C37" s="4" t="s">
        <v>119</v>
      </c>
      <c r="D37" s="4" t="s">
        <v>69</v>
      </c>
      <c r="E37" s="22" t="s">
        <v>172</v>
      </c>
    </row>
    <row r="38" spans="3:7" ht="20.100000000000001" customHeight="1" x14ac:dyDescent="0.3">
      <c r="C38" s="4" t="s">
        <v>120</v>
      </c>
      <c r="D38" s="4" t="s">
        <v>70</v>
      </c>
      <c r="E38" s="22" t="s">
        <v>173</v>
      </c>
    </row>
    <row r="39" spans="3:7" ht="20.100000000000001" customHeight="1" x14ac:dyDescent="0.3">
      <c r="C39" s="4" t="s">
        <v>121</v>
      </c>
      <c r="D39" s="4" t="s">
        <v>71</v>
      </c>
      <c r="E39" s="24" t="s">
        <v>174</v>
      </c>
    </row>
    <row r="40" spans="3:7" ht="20.100000000000001" customHeight="1" x14ac:dyDescent="0.3">
      <c r="C40" s="4" t="s">
        <v>122</v>
      </c>
      <c r="D40" s="4" t="s">
        <v>72</v>
      </c>
      <c r="E40" s="24" t="s">
        <v>175</v>
      </c>
    </row>
    <row r="41" spans="3:7" ht="20.100000000000001" customHeight="1" x14ac:dyDescent="0.3">
      <c r="C41" s="4" t="s">
        <v>123</v>
      </c>
      <c r="D41" s="4" t="s">
        <v>73</v>
      </c>
      <c r="E41" s="24" t="s">
        <v>176</v>
      </c>
    </row>
    <row r="42" spans="3:7" ht="20.100000000000001" customHeight="1" x14ac:dyDescent="0.3">
      <c r="C42" s="4" t="s">
        <v>124</v>
      </c>
      <c r="D42" s="4" t="s">
        <v>74</v>
      </c>
      <c r="E42" s="24" t="s">
        <v>177</v>
      </c>
    </row>
    <row r="43" spans="3:7" ht="20.100000000000001" customHeight="1" x14ac:dyDescent="0.3">
      <c r="C43" s="4" t="s">
        <v>125</v>
      </c>
      <c r="D43" s="4" t="s">
        <v>75</v>
      </c>
      <c r="E43" s="22" t="s">
        <v>178</v>
      </c>
    </row>
    <row r="44" spans="3:7" ht="20.100000000000001" customHeight="1" x14ac:dyDescent="0.3">
      <c r="C44" s="4" t="s">
        <v>126</v>
      </c>
      <c r="D44" s="4" t="s">
        <v>76</v>
      </c>
      <c r="E44" s="22" t="s">
        <v>179</v>
      </c>
    </row>
    <row r="45" spans="3:7" ht="20.100000000000001" customHeight="1" x14ac:dyDescent="0.3">
      <c r="C45" s="4" t="s">
        <v>127</v>
      </c>
      <c r="D45" s="4" t="s">
        <v>77</v>
      </c>
      <c r="E45" s="22" t="s">
        <v>12</v>
      </c>
    </row>
    <row r="46" spans="3:7" ht="20.100000000000001" customHeight="1" x14ac:dyDescent="0.3">
      <c r="C46" s="4" t="s">
        <v>128</v>
      </c>
      <c r="D46" s="4" t="s">
        <v>78</v>
      </c>
      <c r="E46" s="22" t="s">
        <v>13</v>
      </c>
    </row>
    <row r="47" spans="3:7" ht="20.100000000000001" customHeight="1" x14ac:dyDescent="0.3">
      <c r="C47" s="4" t="s">
        <v>129</v>
      </c>
      <c r="D47" s="4" t="s">
        <v>79</v>
      </c>
      <c r="E47" s="22" t="s">
        <v>180</v>
      </c>
    </row>
    <row r="48" spans="3:7" ht="20.100000000000001" customHeight="1" x14ac:dyDescent="0.3">
      <c r="C48" s="4" t="s">
        <v>130</v>
      </c>
      <c r="D48" s="4" t="s">
        <v>80</v>
      </c>
      <c r="E48" s="22" t="s">
        <v>8</v>
      </c>
    </row>
    <row r="49" spans="3:5" ht="20.100000000000001" customHeight="1" x14ac:dyDescent="0.3">
      <c r="C49" s="4" t="s">
        <v>131</v>
      </c>
      <c r="D49" s="4" t="s">
        <v>81</v>
      </c>
      <c r="E49" s="22" t="s">
        <v>181</v>
      </c>
    </row>
    <row r="50" spans="3:5" ht="20.100000000000001" customHeight="1" x14ac:dyDescent="0.3">
      <c r="C50" s="4" t="s">
        <v>132</v>
      </c>
      <c r="D50" s="4" t="s">
        <v>82</v>
      </c>
      <c r="E50" s="24" t="s">
        <v>182</v>
      </c>
    </row>
    <row r="51" spans="3:5" ht="20.100000000000001" customHeight="1" x14ac:dyDescent="0.3">
      <c r="C51" s="4" t="s">
        <v>133</v>
      </c>
      <c r="D51" s="4" t="s">
        <v>83</v>
      </c>
      <c r="E51" s="24" t="s">
        <v>183</v>
      </c>
    </row>
    <row r="52" spans="3:5" ht="20.100000000000001" customHeight="1" x14ac:dyDescent="0.3">
      <c r="C52" s="4" t="s">
        <v>134</v>
      </c>
      <c r="D52" s="4" t="s">
        <v>84</v>
      </c>
      <c r="E52" s="24" t="s">
        <v>184</v>
      </c>
    </row>
    <row r="53" spans="3:5" ht="20.100000000000001" customHeight="1" x14ac:dyDescent="0.3">
      <c r="C53" s="4" t="s">
        <v>135</v>
      </c>
      <c r="D53" s="4" t="s">
        <v>85</v>
      </c>
      <c r="E53" s="24" t="s">
        <v>185</v>
      </c>
    </row>
    <row r="54" spans="3:5" ht="20.100000000000001" customHeight="1" x14ac:dyDescent="0.3">
      <c r="C54" s="4" t="s">
        <v>136</v>
      </c>
      <c r="D54" s="4" t="s">
        <v>86</v>
      </c>
      <c r="E54" s="24" t="s">
        <v>186</v>
      </c>
    </row>
    <row r="55" spans="3:5" ht="20.100000000000001" customHeight="1" x14ac:dyDescent="0.3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 x14ac:dyDescent="0.3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762</v>
      </c>
      <c r="B2" s="2" t="s">
        <v>795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 x14ac:dyDescent="0.3">
      <c r="A3" s="2" t="s">
        <v>763</v>
      </c>
      <c r="B3" s="2" t="s">
        <v>796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 x14ac:dyDescent="0.3">
      <c r="A4" s="2" t="s">
        <v>764</v>
      </c>
      <c r="B4" s="2" t="s">
        <v>797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 x14ac:dyDescent="0.3">
      <c r="A5" s="2" t="s">
        <v>765</v>
      </c>
      <c r="B5" s="2" t="s">
        <v>798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 x14ac:dyDescent="0.3">
      <c r="A6" s="2" t="s">
        <v>766</v>
      </c>
      <c r="B6" s="2" t="s">
        <v>799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 x14ac:dyDescent="0.3">
      <c r="A7" s="2" t="s">
        <v>767</v>
      </c>
      <c r="B7" s="2" t="s">
        <v>800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 x14ac:dyDescent="0.3">
      <c r="A8" s="2" t="s">
        <v>768</v>
      </c>
      <c r="B8" s="2" t="s">
        <v>801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 x14ac:dyDescent="0.3">
      <c r="A9" s="2" t="s">
        <v>769</v>
      </c>
      <c r="B9" s="2" t="s">
        <v>802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 x14ac:dyDescent="0.3">
      <c r="A10" s="2" t="s">
        <v>770</v>
      </c>
      <c r="B10" s="2" t="s">
        <v>803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 x14ac:dyDescent="0.3">
      <c r="A11" s="2" t="s">
        <v>771</v>
      </c>
      <c r="B11" s="2" t="s">
        <v>804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 x14ac:dyDescent="0.3">
      <c r="A12" s="2" t="s">
        <v>772</v>
      </c>
      <c r="B12" s="2" t="s">
        <v>805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 x14ac:dyDescent="0.3">
      <c r="A13" s="2" t="s">
        <v>773</v>
      </c>
      <c r="B13" s="2" t="s">
        <v>806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 x14ac:dyDescent="0.3">
      <c r="A14" s="2" t="s">
        <v>774</v>
      </c>
      <c r="B14" s="2" t="s">
        <v>807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 x14ac:dyDescent="0.3">
      <c r="A15" s="2" t="s">
        <v>775</v>
      </c>
      <c r="B15" s="2" t="s">
        <v>808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 x14ac:dyDescent="0.3">
      <c r="A16" s="2" t="s">
        <v>776</v>
      </c>
      <c r="B16" s="2" t="s">
        <v>809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 x14ac:dyDescent="0.3">
      <c r="A17" s="2" t="s">
        <v>777</v>
      </c>
      <c r="B17" s="2" t="s">
        <v>810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 x14ac:dyDescent="0.3">
      <c r="A18" s="2" t="s">
        <v>778</v>
      </c>
      <c r="B18" s="2" t="s">
        <v>811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 x14ac:dyDescent="0.3">
      <c r="A19" s="2" t="s">
        <v>779</v>
      </c>
      <c r="B19" s="2" t="s">
        <v>812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326</v>
      </c>
    </row>
    <row r="20" spans="1:8" ht="18" customHeight="1" x14ac:dyDescent="0.3">
      <c r="A20" s="2" t="s">
        <v>780</v>
      </c>
      <c r="B20" s="2" t="s">
        <v>813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326</v>
      </c>
    </row>
    <row r="21" spans="1:8" ht="18" customHeight="1" x14ac:dyDescent="0.3">
      <c r="A21" s="2" t="s">
        <v>781</v>
      </c>
      <c r="B21" s="2" t="s">
        <v>814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326</v>
      </c>
    </row>
    <row r="22" spans="1:8" ht="18" customHeight="1" x14ac:dyDescent="0.3">
      <c r="A22" s="2" t="s">
        <v>782</v>
      </c>
      <c r="B22" s="2" t="s">
        <v>815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326</v>
      </c>
    </row>
    <row r="23" spans="1:8" ht="18" customHeight="1" x14ac:dyDescent="0.3">
      <c r="A23" s="2" t="s">
        <v>783</v>
      </c>
      <c r="B23" s="2" t="s">
        <v>816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326</v>
      </c>
    </row>
    <row r="24" spans="1:8" ht="18" customHeight="1" x14ac:dyDescent="0.3">
      <c r="A24" s="2" t="s">
        <v>784</v>
      </c>
      <c r="B24" s="2" t="s">
        <v>817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 x14ac:dyDescent="0.3">
      <c r="A25" s="2" t="s">
        <v>785</v>
      </c>
      <c r="B25" s="2" t="s">
        <v>818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326</v>
      </c>
    </row>
    <row r="26" spans="1:8" ht="18" customHeight="1" x14ac:dyDescent="0.3">
      <c r="A26" s="2" t="s">
        <v>786</v>
      </c>
      <c r="B26" s="2" t="s">
        <v>819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 x14ac:dyDescent="0.3">
      <c r="A27" s="2" t="s">
        <v>787</v>
      </c>
      <c r="B27" s="2" t="s">
        <v>820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 x14ac:dyDescent="0.3">
      <c r="A28" s="2" t="s">
        <v>788</v>
      </c>
      <c r="B28" s="2" t="s">
        <v>821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 x14ac:dyDescent="0.3">
      <c r="A29" s="2" t="s">
        <v>789</v>
      </c>
      <c r="B29" s="2" t="s">
        <v>822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 x14ac:dyDescent="0.3">
      <c r="A30" s="2" t="s">
        <v>790</v>
      </c>
      <c r="B30" s="2" t="s">
        <v>823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 x14ac:dyDescent="0.3">
      <c r="A31" s="2" t="s">
        <v>791</v>
      </c>
      <c r="B31" s="2" t="s">
        <v>824</v>
      </c>
      <c r="C31" s="2">
        <v>20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 x14ac:dyDescent="0.3">
      <c r="A32" s="2" t="s">
        <v>792</v>
      </c>
      <c r="B32" s="2" t="s">
        <v>825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 x14ac:dyDescent="0.3">
      <c r="A33" s="2" t="s">
        <v>793</v>
      </c>
      <c r="B33" s="2" t="s">
        <v>826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 x14ac:dyDescent="0.3">
      <c r="A34" s="2" t="s">
        <v>794</v>
      </c>
      <c r="B34" s="2" t="s">
        <v>827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 x14ac:dyDescent="0.3"/>
    <row r="36" spans="1:8" ht="18" customHeight="1" x14ac:dyDescent="0.3"/>
    <row r="37" spans="1:8" ht="18" customHeight="1" x14ac:dyDescent="0.3"/>
    <row r="38" spans="1:8" ht="18" customHeight="1" x14ac:dyDescent="0.3"/>
    <row r="39" spans="1:8" ht="18" customHeight="1" x14ac:dyDescent="0.3"/>
    <row r="40" spans="1:8" ht="18" customHeight="1" x14ac:dyDescent="0.3"/>
    <row r="41" spans="1:8" ht="18" customHeight="1" x14ac:dyDescent="0.3"/>
    <row r="42" spans="1:8" ht="18" customHeight="1" x14ac:dyDescent="0.3"/>
    <row r="43" spans="1:8" ht="18" customHeight="1" x14ac:dyDescent="0.3"/>
    <row r="44" spans="1:8" ht="18" customHeight="1" x14ac:dyDescent="0.3"/>
    <row r="45" spans="1:8" ht="18" customHeight="1" x14ac:dyDescent="0.3"/>
    <row r="46" spans="1:8" ht="18" customHeight="1" x14ac:dyDescent="0.3"/>
    <row r="47" spans="1:8" ht="18" customHeight="1" x14ac:dyDescent="0.3"/>
    <row r="48" spans="1:8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  <row r="219" s="2" customFormat="1" ht="18" customHeight="1" x14ac:dyDescent="0.3"/>
    <row r="220" s="2" customFormat="1" ht="18" customHeight="1" x14ac:dyDescent="0.3"/>
    <row r="221" s="2" customFormat="1" ht="18" customHeight="1" x14ac:dyDescent="0.3"/>
    <row r="222" s="2" customFormat="1" ht="18" customHeight="1" x14ac:dyDescent="0.3"/>
    <row r="223" s="2" customFormat="1" ht="18" customHeight="1" x14ac:dyDescent="0.3"/>
    <row r="224" s="2" customFormat="1" ht="18" customHeight="1" x14ac:dyDescent="0.3"/>
    <row r="225" s="2" customFormat="1" ht="18" customHeight="1" x14ac:dyDescent="0.3"/>
    <row r="226" s="2" customFormat="1" ht="18" customHeight="1" x14ac:dyDescent="0.3"/>
    <row r="227" s="2" customFormat="1" ht="18" customHeight="1" x14ac:dyDescent="0.3"/>
    <row r="228" s="2" customFormat="1" ht="18" customHeight="1" x14ac:dyDescent="0.3"/>
    <row r="229" s="2" customFormat="1" ht="18" customHeight="1" x14ac:dyDescent="0.3"/>
    <row r="230" s="2" customFormat="1" ht="18" customHeight="1" x14ac:dyDescent="0.3"/>
    <row r="231" s="2" customFormat="1" ht="18" customHeight="1" x14ac:dyDescent="0.3"/>
    <row r="232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 x14ac:dyDescent="0.3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 x14ac:dyDescent="0.3">
      <c r="A1" s="49" t="s">
        <v>740</v>
      </c>
      <c r="B1" s="49" t="s">
        <v>761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760</v>
      </c>
      <c r="B2" s="2" t="s">
        <v>828</v>
      </c>
      <c r="C2" s="2">
        <v>20</v>
      </c>
      <c r="D2" s="2">
        <v>50</v>
      </c>
      <c r="E2" s="2">
        <v>0.5</v>
      </c>
      <c r="F2" s="2">
        <v>3.74</v>
      </c>
      <c r="G2" s="2" t="s">
        <v>829</v>
      </c>
      <c r="H2" s="2" t="s">
        <v>326</v>
      </c>
    </row>
    <row r="3" spans="1:8" ht="18" customHeight="1" x14ac:dyDescent="0.3">
      <c r="A3" s="2" t="s">
        <v>759</v>
      </c>
      <c r="B3" s="2" t="s">
        <v>830</v>
      </c>
      <c r="C3" s="2">
        <v>20</v>
      </c>
      <c r="D3" s="2">
        <v>50</v>
      </c>
      <c r="E3" s="2">
        <v>0.5</v>
      </c>
      <c r="F3" s="2">
        <v>3.3</v>
      </c>
      <c r="G3" s="2" t="s">
        <v>829</v>
      </c>
      <c r="H3" s="2" t="s">
        <v>326</v>
      </c>
    </row>
    <row r="4" spans="1:8" ht="18" customHeight="1" x14ac:dyDescent="0.3">
      <c r="A4" s="2" t="s">
        <v>758</v>
      </c>
      <c r="B4" s="2" t="s">
        <v>831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 x14ac:dyDescent="0.3">
      <c r="A5" s="2" t="s">
        <v>757</v>
      </c>
      <c r="B5" s="2" t="s">
        <v>832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 x14ac:dyDescent="0.3">
      <c r="A6" s="2" t="s">
        <v>756</v>
      </c>
      <c r="B6" s="2" t="s">
        <v>833</v>
      </c>
      <c r="C6" s="2">
        <v>20</v>
      </c>
      <c r="D6" s="2">
        <v>50</v>
      </c>
      <c r="E6" s="2">
        <v>0.5</v>
      </c>
      <c r="F6" s="2">
        <v>3.08</v>
      </c>
      <c r="G6" s="2" t="s">
        <v>829</v>
      </c>
      <c r="H6" s="2" t="s">
        <v>326</v>
      </c>
    </row>
    <row r="7" spans="1:8" ht="18" customHeight="1" x14ac:dyDescent="0.3">
      <c r="A7" s="2" t="s">
        <v>755</v>
      </c>
      <c r="B7" s="2" t="s">
        <v>834</v>
      </c>
      <c r="C7" s="2">
        <v>90</v>
      </c>
      <c r="D7" s="2">
        <v>150</v>
      </c>
      <c r="E7" s="2">
        <v>0.5</v>
      </c>
      <c r="F7" s="2">
        <v>4.62</v>
      </c>
      <c r="G7" s="2" t="s">
        <v>829</v>
      </c>
      <c r="H7" s="2" t="s">
        <v>326</v>
      </c>
    </row>
    <row r="8" spans="1:8" ht="18" customHeight="1" x14ac:dyDescent="0.3">
      <c r="A8" s="2" t="s">
        <v>754</v>
      </c>
      <c r="B8" s="2" t="s">
        <v>835</v>
      </c>
      <c r="C8" s="2">
        <v>20</v>
      </c>
      <c r="D8" s="2">
        <v>50</v>
      </c>
      <c r="E8" s="2">
        <v>0.5</v>
      </c>
      <c r="F8" s="2">
        <v>3.74</v>
      </c>
      <c r="G8" s="2" t="s">
        <v>829</v>
      </c>
      <c r="H8" s="2" t="s">
        <v>326</v>
      </c>
    </row>
    <row r="9" spans="1:8" ht="18" customHeight="1" x14ac:dyDescent="0.3">
      <c r="A9" s="2" t="s">
        <v>753</v>
      </c>
      <c r="B9" s="2" t="s">
        <v>836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326</v>
      </c>
    </row>
    <row r="10" spans="1:8" ht="18" customHeight="1" x14ac:dyDescent="0.3">
      <c r="A10" s="2" t="s">
        <v>752</v>
      </c>
      <c r="B10" s="2" t="s">
        <v>837</v>
      </c>
      <c r="C10" s="2">
        <v>290</v>
      </c>
      <c r="D10" s="2">
        <v>150</v>
      </c>
      <c r="E10" s="2">
        <v>3</v>
      </c>
      <c r="F10" s="2">
        <v>6.2</v>
      </c>
      <c r="G10" s="2" t="s">
        <v>829</v>
      </c>
      <c r="H10" s="2" t="s">
        <v>326</v>
      </c>
    </row>
    <row r="11" spans="1:8" ht="18" customHeight="1" x14ac:dyDescent="0.3">
      <c r="A11" s="2" t="s">
        <v>751</v>
      </c>
      <c r="B11" s="2" t="s">
        <v>838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 x14ac:dyDescent="0.3">
      <c r="A12" s="2" t="s">
        <v>750</v>
      </c>
      <c r="B12" s="2" t="s">
        <v>839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 x14ac:dyDescent="0.3">
      <c r="A13" s="2" t="s">
        <v>749</v>
      </c>
      <c r="B13" s="2" t="s">
        <v>840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326</v>
      </c>
    </row>
    <row r="14" spans="1:8" ht="18" customHeight="1" x14ac:dyDescent="0.3">
      <c r="A14" s="2" t="s">
        <v>748</v>
      </c>
      <c r="B14" s="2" t="s">
        <v>841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326</v>
      </c>
    </row>
    <row r="15" spans="1:8" ht="18" customHeight="1" x14ac:dyDescent="0.3">
      <c r="A15" s="2" t="s">
        <v>747</v>
      </c>
      <c r="B15" s="2" t="s">
        <v>842</v>
      </c>
      <c r="C15" s="2">
        <v>20</v>
      </c>
      <c r="D15" s="2">
        <v>50</v>
      </c>
      <c r="E15" s="2">
        <v>1</v>
      </c>
      <c r="F15" s="2">
        <v>3.74</v>
      </c>
      <c r="G15" s="2" t="s">
        <v>829</v>
      </c>
      <c r="H15" s="2" t="s">
        <v>326</v>
      </c>
    </row>
    <row r="16" spans="1:8" ht="18" customHeight="1" x14ac:dyDescent="0.3">
      <c r="A16" s="2" t="s">
        <v>746</v>
      </c>
      <c r="B16" s="2" t="s">
        <v>843</v>
      </c>
      <c r="C16" s="2">
        <v>100</v>
      </c>
      <c r="D16" s="2">
        <v>150</v>
      </c>
      <c r="E16" s="2">
        <v>2</v>
      </c>
      <c r="F16" s="2">
        <v>5.5</v>
      </c>
      <c r="G16" s="2" t="s">
        <v>829</v>
      </c>
      <c r="H16" s="2" t="s">
        <v>326</v>
      </c>
    </row>
    <row r="17" spans="1:8" ht="18" customHeight="1" x14ac:dyDescent="0.3">
      <c r="A17" s="2" t="s">
        <v>745</v>
      </c>
      <c r="B17" s="2" t="s">
        <v>844</v>
      </c>
      <c r="C17" s="2">
        <v>140</v>
      </c>
      <c r="D17" s="2">
        <v>150</v>
      </c>
      <c r="E17" s="2">
        <v>2</v>
      </c>
      <c r="F17" s="2">
        <v>5.94</v>
      </c>
      <c r="G17" s="2" t="s">
        <v>829</v>
      </c>
      <c r="H17" s="2" t="s">
        <v>326</v>
      </c>
    </row>
    <row r="18" spans="1:8" ht="18" customHeight="1" x14ac:dyDescent="0.3">
      <c r="A18" s="2" t="s">
        <v>744</v>
      </c>
      <c r="B18" s="2" t="s">
        <v>845</v>
      </c>
      <c r="C18" s="2">
        <v>90</v>
      </c>
      <c r="D18" s="2">
        <v>200</v>
      </c>
      <c r="E18" s="2">
        <v>2</v>
      </c>
      <c r="F18" s="2">
        <v>7.26</v>
      </c>
      <c r="G18" s="2" t="s">
        <v>829</v>
      </c>
      <c r="H18" s="2" t="s">
        <v>326</v>
      </c>
    </row>
    <row r="19" spans="1:8" ht="18" customHeight="1" x14ac:dyDescent="0.3">
      <c r="A19" s="2" t="s">
        <v>743</v>
      </c>
      <c r="B19" s="2" t="s">
        <v>846</v>
      </c>
      <c r="C19" s="2">
        <v>100</v>
      </c>
      <c r="D19" s="2">
        <v>200</v>
      </c>
      <c r="E19" s="2">
        <v>2</v>
      </c>
      <c r="F19" s="2">
        <v>5.94</v>
      </c>
      <c r="G19" s="2" t="s">
        <v>829</v>
      </c>
      <c r="H19" s="2" t="s">
        <v>326</v>
      </c>
    </row>
    <row r="20" spans="1:8" ht="18" customHeight="1" x14ac:dyDescent="0.3">
      <c r="A20" s="2" t="s">
        <v>742</v>
      </c>
      <c r="B20" s="2" t="s">
        <v>847</v>
      </c>
      <c r="C20" s="2">
        <v>100</v>
      </c>
      <c r="D20" s="2">
        <v>200</v>
      </c>
      <c r="E20" s="2">
        <v>2</v>
      </c>
      <c r="F20" s="2">
        <v>7.26</v>
      </c>
      <c r="G20" s="2" t="s">
        <v>829</v>
      </c>
      <c r="H20" s="2" t="s">
        <v>326</v>
      </c>
    </row>
    <row r="21" spans="1:8" ht="18" customHeight="1" x14ac:dyDescent="0.3">
      <c r="A21" s="2" t="s">
        <v>741</v>
      </c>
      <c r="B21" s="2" t="s">
        <v>848</v>
      </c>
      <c r="C21" s="2">
        <v>20</v>
      </c>
      <c r="D21" s="2">
        <v>50</v>
      </c>
      <c r="E21" s="2">
        <v>0.5</v>
      </c>
      <c r="F21" s="2">
        <v>3.74</v>
      </c>
      <c r="G21" s="2" t="s">
        <v>829</v>
      </c>
      <c r="H21" s="2" t="s">
        <v>326</v>
      </c>
    </row>
    <row r="22" spans="1:8" ht="18" customHeight="1" x14ac:dyDescent="0.3"/>
    <row r="23" spans="1:8" ht="18" customHeight="1" x14ac:dyDescent="0.3"/>
    <row r="24" spans="1:8" ht="18" customHeight="1" x14ac:dyDescent="0.3"/>
    <row r="25" spans="1:8" ht="18" customHeight="1" x14ac:dyDescent="0.3"/>
    <row r="26" spans="1:8" ht="18" customHeight="1" x14ac:dyDescent="0.3"/>
    <row r="27" spans="1:8" ht="18" customHeight="1" x14ac:dyDescent="0.3"/>
    <row r="28" spans="1:8" ht="18" customHeight="1" x14ac:dyDescent="0.3"/>
    <row r="29" spans="1:8" ht="18" customHeight="1" x14ac:dyDescent="0.3"/>
    <row r="30" spans="1:8" ht="18" customHeight="1" x14ac:dyDescent="0.3"/>
    <row r="31" spans="1:8" ht="18" customHeight="1" x14ac:dyDescent="0.3"/>
    <row r="32" spans="1:8" ht="18" customHeight="1" x14ac:dyDescent="0.3"/>
    <row r="33" s="2" customFormat="1" ht="18" customHeight="1" x14ac:dyDescent="0.3"/>
    <row r="34" s="2" customFormat="1" ht="18" customHeight="1" x14ac:dyDescent="0.3"/>
    <row r="35" s="2" customFormat="1" ht="18" customHeight="1" x14ac:dyDescent="0.3"/>
    <row r="36" s="2" customFormat="1" ht="18" customHeight="1" x14ac:dyDescent="0.3"/>
    <row r="37" s="2" customFormat="1" ht="18" customHeight="1" x14ac:dyDescent="0.3"/>
    <row r="38" s="2" customFormat="1" ht="18" customHeight="1" x14ac:dyDescent="0.3"/>
    <row r="39" s="2" customFormat="1" ht="18" customHeight="1" x14ac:dyDescent="0.3"/>
    <row r="40" s="2" customFormat="1" ht="18" customHeight="1" x14ac:dyDescent="0.3"/>
    <row r="41" s="2" customFormat="1" ht="18" customHeight="1" x14ac:dyDescent="0.3"/>
    <row r="42" s="2" customFormat="1" ht="18" customHeight="1" x14ac:dyDescent="0.3"/>
    <row r="43" s="2" customFormat="1" ht="18" customHeight="1" x14ac:dyDescent="0.3"/>
    <row r="44" s="2" customFormat="1" ht="18" customHeight="1" x14ac:dyDescent="0.3"/>
    <row r="45" s="2" customFormat="1" ht="18" customHeight="1" x14ac:dyDescent="0.3"/>
    <row r="46" s="2" customFormat="1" ht="18" customHeight="1" x14ac:dyDescent="0.3"/>
    <row r="47" s="2" customFormat="1" ht="18" customHeight="1" x14ac:dyDescent="0.3"/>
    <row r="48" s="2" customFormat="1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  <row r="219" s="2" customFormat="1" ht="18" customHeight="1" x14ac:dyDescent="0.3"/>
    <row r="220" s="2" customFormat="1" ht="18" customHeight="1" x14ac:dyDescent="0.3"/>
    <row r="221" s="2" customFormat="1" ht="18" customHeight="1" x14ac:dyDescent="0.3"/>
    <row r="222" s="2" customFormat="1" ht="18" customHeight="1" x14ac:dyDescent="0.3"/>
    <row r="223" s="2" customFormat="1" ht="18" customHeight="1" x14ac:dyDescent="0.3"/>
    <row r="224" s="2" customFormat="1" ht="18" customHeight="1" x14ac:dyDescent="0.3"/>
    <row r="225" s="2" customFormat="1" ht="18" customHeight="1" x14ac:dyDescent="0.3"/>
    <row r="226" s="2" customFormat="1" ht="18" customHeight="1" x14ac:dyDescent="0.3"/>
    <row r="227" s="2" customFormat="1" ht="18" customHeight="1" x14ac:dyDescent="0.3"/>
    <row r="228" s="2" customFormat="1" ht="18" customHeight="1" x14ac:dyDescent="0.3"/>
    <row r="229" s="2" customFormat="1" ht="18" customHeight="1" x14ac:dyDescent="0.3"/>
    <row r="230" s="2" customFormat="1" ht="18" customHeight="1" x14ac:dyDescent="0.3"/>
    <row r="231" s="2" customFormat="1" ht="18" customHeight="1" x14ac:dyDescent="0.3"/>
    <row r="232" s="2" customFormat="1" ht="18" customHeight="1" x14ac:dyDescent="0.3"/>
    <row r="233" s="2" customFormat="1" ht="18" customHeight="1" x14ac:dyDescent="0.3"/>
    <row r="234" s="2" customFormat="1" ht="18" customHeight="1" x14ac:dyDescent="0.3"/>
    <row r="235" s="2" customFormat="1" ht="18" customHeight="1" x14ac:dyDescent="0.3"/>
    <row r="236" s="2" customFormat="1" ht="18" customHeight="1" x14ac:dyDescent="0.3"/>
    <row r="237" s="2" customFormat="1" ht="18" customHeight="1" x14ac:dyDescent="0.3"/>
    <row r="238" s="2" customFormat="1" ht="18" customHeight="1" x14ac:dyDescent="0.3"/>
    <row r="239" s="2" customFormat="1" ht="18" customHeight="1" x14ac:dyDescent="0.3"/>
    <row r="240" s="2" customFormat="1" ht="18" customHeight="1" x14ac:dyDescent="0.3"/>
    <row r="241" s="2" customFormat="1" ht="18" customHeight="1" x14ac:dyDescent="0.3"/>
    <row r="242" s="2" customFormat="1" ht="18" customHeight="1" x14ac:dyDescent="0.3"/>
    <row r="243" s="2" customFormat="1" ht="18" customHeight="1" x14ac:dyDescent="0.3"/>
    <row r="244" s="2" customFormat="1" ht="18" customHeight="1" x14ac:dyDescent="0.3"/>
    <row r="245" s="2" customFormat="1" ht="18" customHeight="1" x14ac:dyDescent="0.3"/>
    <row r="246" s="2" customFormat="1" ht="18" customHeight="1" x14ac:dyDescent="0.3"/>
    <row r="247" s="2" customFormat="1" ht="18" customHeight="1" x14ac:dyDescent="0.3"/>
    <row r="248" s="2" customFormat="1" ht="18" customHeight="1" x14ac:dyDescent="0.3"/>
    <row r="249" s="2" customFormat="1" ht="18" customHeight="1" x14ac:dyDescent="0.3"/>
    <row r="250" s="2" customFormat="1" ht="18" customHeight="1" x14ac:dyDescent="0.3"/>
    <row r="251" s="2" customFormat="1" ht="18" customHeight="1" x14ac:dyDescent="0.3"/>
    <row r="252" s="2" customFormat="1" ht="18" customHeight="1" x14ac:dyDescent="0.3"/>
    <row r="253" s="2" customFormat="1" ht="18" customHeight="1" x14ac:dyDescent="0.3"/>
    <row r="254" s="2" customFormat="1" ht="18" customHeight="1" x14ac:dyDescent="0.3"/>
    <row r="255" s="2" customFormat="1" ht="18" customHeight="1" x14ac:dyDescent="0.3"/>
    <row r="256" s="2" customFormat="1" ht="18" customHeight="1" x14ac:dyDescent="0.3"/>
    <row r="257" s="2" customFormat="1" ht="18" customHeight="1" x14ac:dyDescent="0.3"/>
    <row r="258" s="2" customFormat="1" ht="18" customHeight="1" x14ac:dyDescent="0.3"/>
    <row r="259" s="2" customFormat="1" ht="18" customHeight="1" x14ac:dyDescent="0.3"/>
    <row r="260" s="2" customFormat="1" ht="18" customHeight="1" x14ac:dyDescent="0.3"/>
    <row r="261" s="2" customFormat="1" ht="18" customHeight="1" x14ac:dyDescent="0.3"/>
    <row r="262" s="2" customFormat="1" ht="18" customHeight="1" x14ac:dyDescent="0.3"/>
    <row r="263" s="2" customFormat="1" ht="18" customHeight="1" x14ac:dyDescent="0.3"/>
    <row r="264" s="2" customFormat="1" ht="18" customHeight="1" x14ac:dyDescent="0.3"/>
    <row r="265" s="2" customFormat="1" ht="18" customHeight="1" x14ac:dyDescent="0.3"/>
    <row r="266" s="2" customFormat="1" ht="18" customHeight="1" x14ac:dyDescent="0.3"/>
    <row r="267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 x14ac:dyDescent="0.3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/>
    <row r="3" spans="1:8" ht="18" customHeight="1" x14ac:dyDescent="0.3"/>
    <row r="4" spans="1:8" ht="18" customHeight="1" x14ac:dyDescent="0.3"/>
    <row r="5" spans="1:8" ht="18" customHeight="1" x14ac:dyDescent="0.3"/>
    <row r="6" spans="1:8" ht="18" customHeight="1" x14ac:dyDescent="0.3"/>
    <row r="7" spans="1:8" ht="18" customHeight="1" x14ac:dyDescent="0.3"/>
    <row r="8" spans="1:8" ht="18" customHeight="1" x14ac:dyDescent="0.3"/>
    <row r="9" spans="1:8" ht="18" customHeight="1" x14ac:dyDescent="0.3"/>
    <row r="10" spans="1:8" ht="18" customHeight="1" x14ac:dyDescent="0.3"/>
    <row r="11" spans="1:8" ht="18" customHeight="1" x14ac:dyDescent="0.3"/>
    <row r="12" spans="1:8" ht="18" customHeight="1" x14ac:dyDescent="0.3"/>
    <row r="13" spans="1:8" ht="18" customHeight="1" x14ac:dyDescent="0.3"/>
    <row r="14" spans="1:8" ht="18" customHeight="1" x14ac:dyDescent="0.3"/>
    <row r="15" spans="1:8" ht="18" customHeight="1" x14ac:dyDescent="0.3"/>
    <row r="16" spans="1:8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M17" sqref="M17"/>
    </sheetView>
  </sheetViews>
  <sheetFormatPr defaultColWidth="9" defaultRowHeight="20.100000000000001" customHeight="1" x14ac:dyDescent="0.3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 x14ac:dyDescent="0.3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 x14ac:dyDescent="0.3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 x14ac:dyDescent="0.3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 x14ac:dyDescent="0.3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 x14ac:dyDescent="0.3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 x14ac:dyDescent="0.3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 x14ac:dyDescent="0.3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 x14ac:dyDescent="0.3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 x14ac:dyDescent="0.3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 x14ac:dyDescent="0.3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 x14ac:dyDescent="0.3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 x14ac:dyDescent="0.3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 x14ac:dyDescent="0.3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 x14ac:dyDescent="0.3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 x14ac:dyDescent="0.3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 x14ac:dyDescent="0.3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 x14ac:dyDescent="0.3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 x14ac:dyDescent="0.3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 x14ac:dyDescent="0.3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 x14ac:dyDescent="0.3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 x14ac:dyDescent="0.3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 x14ac:dyDescent="0.3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 x14ac:dyDescent="0.3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 x14ac:dyDescent="0.3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 x14ac:dyDescent="0.3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 x14ac:dyDescent="0.3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 x14ac:dyDescent="0.3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 x14ac:dyDescent="0.3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 x14ac:dyDescent="0.3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 x14ac:dyDescent="0.3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 x14ac:dyDescent="0.3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 x14ac:dyDescent="0.3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 x14ac:dyDescent="0.3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 x14ac:dyDescent="0.3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 x14ac:dyDescent="0.3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 x14ac:dyDescent="0.3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 x14ac:dyDescent="0.3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 x14ac:dyDescent="0.3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 x14ac:dyDescent="0.3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 x14ac:dyDescent="0.3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 x14ac:dyDescent="0.3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 x14ac:dyDescent="0.3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 x14ac:dyDescent="0.3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 x14ac:dyDescent="0.3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 x14ac:dyDescent="0.3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 x14ac:dyDescent="0.3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 x14ac:dyDescent="0.3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 x14ac:dyDescent="0.3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 x14ac:dyDescent="0.3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 x14ac:dyDescent="0.3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 x14ac:dyDescent="0.3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 x14ac:dyDescent="0.3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 x14ac:dyDescent="0.3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 x14ac:dyDescent="0.3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 x14ac:dyDescent="0.3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 x14ac:dyDescent="0.3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 x14ac:dyDescent="0.3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 x14ac:dyDescent="0.3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 x14ac:dyDescent="0.3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 x14ac:dyDescent="0.3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 x14ac:dyDescent="0.3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 x14ac:dyDescent="0.3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 x14ac:dyDescent="0.3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 x14ac:dyDescent="0.3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 x14ac:dyDescent="0.3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 x14ac:dyDescent="0.3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 x14ac:dyDescent="0.3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 x14ac:dyDescent="0.3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 x14ac:dyDescent="0.3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 x14ac:dyDescent="0.3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 x14ac:dyDescent="0.3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 x14ac:dyDescent="0.3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 x14ac:dyDescent="0.3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 x14ac:dyDescent="0.3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 x14ac:dyDescent="0.3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 x14ac:dyDescent="0.3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 x14ac:dyDescent="0.3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 x14ac:dyDescent="0.3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 x14ac:dyDescent="0.3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 x14ac:dyDescent="0.3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 x14ac:dyDescent="0.3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 x14ac:dyDescent="0.3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 x14ac:dyDescent="0.3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 x14ac:dyDescent="0.3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 x14ac:dyDescent="0.3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 x14ac:dyDescent="0.3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 x14ac:dyDescent="0.3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 x14ac:dyDescent="0.3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 x14ac:dyDescent="0.3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 x14ac:dyDescent="0.3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 x14ac:dyDescent="0.3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 x14ac:dyDescent="0.3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 x14ac:dyDescent="0.3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 x14ac:dyDescent="0.3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 x14ac:dyDescent="0.3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 x14ac:dyDescent="0.3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 x14ac:dyDescent="0.3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 x14ac:dyDescent="0.3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 x14ac:dyDescent="0.3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 x14ac:dyDescent="0.3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 x14ac:dyDescent="0.3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 x14ac:dyDescent="0.3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 x14ac:dyDescent="0.3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 x14ac:dyDescent="0.3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 x14ac:dyDescent="0.3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 x14ac:dyDescent="0.3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 x14ac:dyDescent="0.3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 x14ac:dyDescent="0.3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 x14ac:dyDescent="0.3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 x14ac:dyDescent="0.3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 x14ac:dyDescent="0.3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 x14ac:dyDescent="0.3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 x14ac:dyDescent="0.3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 x14ac:dyDescent="0.3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 x14ac:dyDescent="0.3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 x14ac:dyDescent="0.3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 x14ac:dyDescent="0.3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 x14ac:dyDescent="0.3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 x14ac:dyDescent="0.3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 x14ac:dyDescent="0.3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 x14ac:dyDescent="0.3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 x14ac:dyDescent="0.3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 x14ac:dyDescent="0.3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 x14ac:dyDescent="0.3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 x14ac:dyDescent="0.3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 x14ac:dyDescent="0.3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 x14ac:dyDescent="0.3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 x14ac:dyDescent="0.3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 x14ac:dyDescent="0.3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 x14ac:dyDescent="0.3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 x14ac:dyDescent="0.3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 x14ac:dyDescent="0.3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 x14ac:dyDescent="0.3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 x14ac:dyDescent="0.3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 x14ac:dyDescent="0.3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 x14ac:dyDescent="0.3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 x14ac:dyDescent="0.3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 x14ac:dyDescent="0.3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 x14ac:dyDescent="0.3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 x14ac:dyDescent="0.3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 x14ac:dyDescent="0.3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 x14ac:dyDescent="0.3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 x14ac:dyDescent="0.3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 x14ac:dyDescent="0.3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 x14ac:dyDescent="0.3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 x14ac:dyDescent="0.3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 x14ac:dyDescent="0.3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 x14ac:dyDescent="0.3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 x14ac:dyDescent="0.3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 x14ac:dyDescent="0.3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 x14ac:dyDescent="0.3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 x14ac:dyDescent="0.3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 x14ac:dyDescent="0.3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 x14ac:dyDescent="0.3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 x14ac:dyDescent="0.3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 x14ac:dyDescent="0.3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 x14ac:dyDescent="0.3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 x14ac:dyDescent="0.3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 x14ac:dyDescent="0.3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 x14ac:dyDescent="0.3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 x14ac:dyDescent="0.3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 x14ac:dyDescent="0.3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 x14ac:dyDescent="0.3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 x14ac:dyDescent="0.3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 x14ac:dyDescent="0.3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 x14ac:dyDescent="0.3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 x14ac:dyDescent="0.3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 x14ac:dyDescent="0.3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 x14ac:dyDescent="0.3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 x14ac:dyDescent="0.3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 x14ac:dyDescent="0.3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 x14ac:dyDescent="0.3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 x14ac:dyDescent="0.3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 x14ac:dyDescent="0.3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 x14ac:dyDescent="0.3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 x14ac:dyDescent="0.3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 x14ac:dyDescent="0.3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 x14ac:dyDescent="0.3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 x14ac:dyDescent="0.3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 x14ac:dyDescent="0.3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 x14ac:dyDescent="0.3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 x14ac:dyDescent="0.3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 x14ac:dyDescent="0.3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 x14ac:dyDescent="0.3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 x14ac:dyDescent="0.3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 x14ac:dyDescent="0.3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 x14ac:dyDescent="0.3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 x14ac:dyDescent="0.3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 x14ac:dyDescent="0.3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 x14ac:dyDescent="0.3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 x14ac:dyDescent="0.3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 x14ac:dyDescent="0.3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 x14ac:dyDescent="0.3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 x14ac:dyDescent="0.3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 x14ac:dyDescent="0.3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 x14ac:dyDescent="0.3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 x14ac:dyDescent="0.3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 x14ac:dyDescent="0.3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 x14ac:dyDescent="0.3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 x14ac:dyDescent="0.3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 x14ac:dyDescent="0.3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 x14ac:dyDescent="0.3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9</vt:i4>
      </vt:variant>
    </vt:vector>
  </HeadingPairs>
  <TitlesOfParts>
    <vt:vector size="20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ii_in_count</vt:lpstr>
      <vt:lpstr>ii_out_count</vt:lpstr>
      <vt:lpstr>ss_in_count</vt:lpstr>
      <vt:lpstr>ss_out_count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2025-05-15T12:11:00Z</dcterms:modified>
</cp:coreProperties>
</file>