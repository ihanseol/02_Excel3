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FC9C1F0-64BD-40DF-ACED-E9257FACE640}" xr6:coauthVersionLast="47" xr6:coauthVersionMax="47" xr10:uidLastSave="{00000000-0000-0000-0000-000000000000}"/>
  <bookViews>
    <workbookView xWindow="6435" yWindow="645" windowWidth="29775" windowHeight="19965" firstSheet="2" activeTab="9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ss!$G$69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ss!$G$70</definedName>
    <definedName name="all_in_count">ss!$C$69</definedName>
    <definedName name="all_in_sum">ss!$D$69</definedName>
    <definedName name="all_out_count">ss!$C$70</definedName>
    <definedName name="all_out_sum">ss!$D$70</definedName>
    <definedName name="ii_in_count">ss!$I$69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ss!$I$70</definedName>
    <definedName name="ss_in_count">ss!$E$69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ss!$E$70</definedName>
    <definedName name="SUM_AA" localSheetId="7">#REF!</definedName>
    <definedName name="SUM_AA" localSheetId="8">#REF!</definedName>
    <definedName name="SUM_AA" localSheetId="6">#REF!</definedName>
    <definedName name="SUM_AA_IN">ss!$H$69</definedName>
    <definedName name="SUM_AA_OUT">ss!$H$70</definedName>
    <definedName name="SUM_II" localSheetId="7">#REF!</definedName>
    <definedName name="SUM_II" localSheetId="8">#REF!</definedName>
    <definedName name="SUM_II" localSheetId="6">#REF!</definedName>
    <definedName name="SUM_II_IN">ss!$J$69</definedName>
    <definedName name="SUM_II_OUT">ss!$J$70</definedName>
    <definedName name="SUM_SS" localSheetId="7">#REF!</definedName>
    <definedName name="SUM_SS" localSheetId="8">#REF!</definedName>
    <definedName name="SUM_SS" localSheetId="6">#REF!</definedName>
    <definedName name="SUM_SS_IN">ss!$F$69</definedName>
    <definedName name="SUM_SS_OUT">ss!$F$70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7" i="10" l="1"/>
  <c r="M28" i="10"/>
  <c r="M22" i="10"/>
  <c r="M23" i="10"/>
  <c r="M24" i="10"/>
  <c r="M25" i="10"/>
  <c r="M26" i="10"/>
  <c r="M55" i="8"/>
  <c r="M56" i="8"/>
  <c r="M57" i="8"/>
  <c r="M58" i="8"/>
  <c r="M59" i="8"/>
  <c r="M60" i="8"/>
  <c r="M61" i="8"/>
  <c r="M62" i="8"/>
  <c r="M63" i="8"/>
  <c r="M64" i="8"/>
  <c r="M45" i="8"/>
  <c r="M46" i="8"/>
  <c r="M47" i="8"/>
  <c r="M48" i="8"/>
  <c r="M49" i="8"/>
  <c r="M50" i="8"/>
  <c r="M51" i="8"/>
  <c r="M52" i="8"/>
  <c r="M53" i="8"/>
  <c r="M54" i="8"/>
  <c r="M35" i="8"/>
  <c r="M36" i="8"/>
  <c r="M37" i="8"/>
  <c r="M38" i="8"/>
  <c r="M39" i="8"/>
  <c r="M40" i="8"/>
  <c r="M41" i="8"/>
  <c r="M42" i="8"/>
  <c r="M43" i="8"/>
  <c r="M44" i="8"/>
  <c r="M27" i="8"/>
  <c r="M29" i="8"/>
  <c r="M30" i="8"/>
  <c r="M31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" i="10"/>
  <c r="M33" i="8"/>
  <c r="M34" i="8"/>
  <c r="M23" i="8"/>
  <c r="M24" i="8"/>
  <c r="M25" i="8"/>
  <c r="M26" i="8"/>
  <c r="M28" i="8"/>
  <c r="M3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D33" i="10" l="1"/>
  <c r="C33" i="10"/>
  <c r="D32" i="10"/>
  <c r="C32" i="10"/>
  <c r="H69" i="8" l="1"/>
  <c r="D34" i="10"/>
  <c r="F70" i="8" l="1"/>
  <c r="E70" i="8" s="1"/>
  <c r="F69" i="8"/>
  <c r="J9" i="12"/>
  <c r="E69" i="8" l="1"/>
  <c r="L68" i="8"/>
  <c r="D9" i="11"/>
  <c r="C9" i="11"/>
  <c r="D8" i="11"/>
  <c r="L5" i="11"/>
  <c r="M2" i="11"/>
  <c r="L69" i="8" l="1"/>
  <c r="C8" i="11"/>
  <c r="J70" i="8"/>
  <c r="I70" i="8" s="1"/>
  <c r="J69" i="8"/>
  <c r="I69" i="8" s="1"/>
  <c r="D10" i="11"/>
  <c r="H70" i="8" l="1"/>
  <c r="D70" i="8" l="1"/>
  <c r="G70" i="8"/>
  <c r="C70" i="8" s="1"/>
  <c r="D69" i="8"/>
  <c r="L71" i="8" s="1"/>
  <c r="G69" i="8"/>
  <c r="C69" i="8" s="1"/>
  <c r="L7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C6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6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6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6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6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6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6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6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7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7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7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7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7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7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7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7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<sst xmlns="http://schemas.openxmlformats.org/spreadsheetml/2006/main" count="6147" uniqueCount="924">
  <si>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</si>
  <si>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</si>
  <si>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</si>
  <si>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</si>
  <si>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</si>
  <si>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</si>
  <si>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</si>
  <si>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</si>
  <si>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</si>
  <si>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</si>
  <si>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</si>
  <si>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</si>
  <si>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</si>
  <si>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</si>
  <si>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</si>
  <si>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</si>
  <si>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</si>
  <si>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</si>
  <si>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</si>
  <si>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</si>
  <si>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</si>
  <si>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</si>
  <si>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</si>
  <si>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</si>
  <si>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</si>
  <si>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</si>
  <si>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</si>
  <si>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</si>
  <si>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</si>
  <si>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</si>
  <si>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</si>
  <si>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</si>
  <si>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</si>
  <si>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</si>
  <si>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</si>
  <si>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</si>
  <si>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</si>
  <si>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</si>
  <si>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</si>
  <si>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</si>
  <si>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</si>
  <si>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</si>
  <si>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</si>
  <si>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</si>
  <si>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</si>
  <si>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</si>
  <si>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</si>
  <si>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</si>
  <si>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</si>
  <si>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</si>
  <si>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</si>
  <si>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</si>
  <si>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</si>
  <si>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</si>
  <si>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</si>
  <si>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</si>
  <si>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</si>
  <si>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</si>
  <si>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</si>
  <si>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</si>
  <si>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</si>
  <si>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</si>
  <si>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</si>
  <si>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</si>
  <si>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</si>
  <si>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</si>
  <si>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</si>
  <si>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</si>
  <si>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</si>
  <si>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</si>
  <si>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</si>
  <si>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</si>
  <si>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</si>
  <si>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</si>
  <si>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</si>
  <si>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</si>
  <si>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</si>
  <si>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</si>
  <si>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</si>
  <si>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</si>
  <si>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</si>
  <si>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</si>
  <si>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</si>
  <si>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</si>
  <si>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</si>
  <si>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</si>
  <si>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</si>
  <si>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</si>
  <si>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</si>
  <si>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</si>
  <si>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</si>
  <si>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</si>
  <si>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</si>
  <si>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</si>
  <si>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</si>
  <si>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</si>
  <si>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</si>
  <si>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</si>
  <si>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</si>
  <si>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</si>
  <si>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</si>
  <si>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</si>
  <si>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</si>
  <si>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</si>
  <si>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</si>
  <si>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</si>
  <si>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</si>
  <si>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</si>
  <si>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</si>
  <si>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</si>
  <si>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</si>
  <si>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</si>
  <si>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</si>
  <si>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</si>
  <si>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</si>
  <si>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</si>
  <si>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</si>
  <si>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</si>
  <si>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</si>
  <si>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</si>
  <si>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</si>
  <si>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</si>
  <si>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</si>
  <si>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</si>
  <si>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</si>
  <si>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</si>
  <si>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</si>
  <si>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</si>
  <si>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</si>
  <si>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</si>
  <si>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</si>
  <si>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</si>
  <si>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</si>
  <si>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</si>
  <si>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</si>
  <si>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</si>
  <si>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</si>
  <si>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</si>
  <si>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</si>
  <si>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</si>
  <si>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</si>
  <si>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</si>
  <si>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</si>
  <si>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</si>
  <si>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</si>
  <si>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</si>
  <si>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</si>
  <si>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</si>
  <si>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</si>
  <si>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</si>
  <si>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</si>
  <si>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</si>
  <si>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</si>
  <si>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</si>
  <si>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</si>
  <si>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</si>
  <si>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</si>
  <si>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</si>
  <si>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</si>
  <si>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</si>
  <si>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</si>
  <si>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</si>
  <si>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</si>
  <si>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</si>
  <si>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</si>
  <si>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</si>
  <si>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</si>
  <si>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</si>
  <si>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</si>
  <si>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</si>
  <si>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</si>
  <si>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</si>
  <si>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</si>
  <si>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</si>
  <si>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</si>
  <si>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</si>
  <si>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</si>
  <si>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</si>
  <si>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</si>
  <si>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</si>
  <si>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</si>
  <si>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</si>
  <si>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</si>
  <si>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</si>
  <si>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</si>
  <si>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</si>
  <si>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</si>
  <si>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</si>
  <si>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</si>
  <si>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</si>
  <si>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</si>
  <si>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</si>
  <si>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</si>
  <si>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</si>
  <si>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</si>
  <si>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</si>
  <si>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</si>
  <si>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</si>
  <si>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</si>
  <si>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</si>
  <si>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</si>
  <si>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</si>
  <si>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</si>
  <si>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</si>
  <si>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</si>
  <si>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</si>
  <si>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</si>
  <si>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</si>
  <si>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</si>
  <si>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</si>
  <si>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</si>
  <si>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</si>
  <si>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</si>
  <si>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</si>
  <si>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</si>
  <si>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</si>
  <si>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</si>
  <si>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</si>
  <si>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</si>
  <si>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</si>
  <si>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</si>
  <si>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</si>
  <si>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</si>
  <si>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</si>
  <si>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</si>
  <si>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</si>
  <si>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</si>
  <si>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</si>
  <si>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</si>
  <si>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</si>
  <si>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</si>
  <si>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</si>
  <si>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</si>
  <si>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</si>
  <si>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</si>
  <si>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</si>
  <si>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</si>
  <si>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</si>
  <si>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</si>
  <si>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</si>
  <si>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</si>
  <si>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</si>
  <si>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</si>
  <si>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</si>
  <si>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</si>
  <si>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</si>
  <si>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</si>
  <si>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</si>
  <si>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</si>
  <si>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</si>
  <si>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</si>
  <si>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</si>
  <si>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</si>
  <si>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</si>
  <si>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</si>
  <si>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</si>
  <si>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</si>
  <si>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</si>
  <si>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</si>
  <si>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</si>
  <si>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</si>
  <si>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</si>
  <si>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</si>
  <si>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</si>
  <si>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</si>
  <si>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</si>
  <si>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</si>
  <si>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</si>
  <si>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</si>
  <si>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</si>
  <si>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</si>
  <si>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</si>
  <si>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</si>
  <si>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</si>
  <si>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</si>
  <si>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</si>
  <si>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</si>
  <si>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</si>
  <si>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</si>
  <si>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</si>
  <si>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</si>
  <si>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</si>
  <si>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</si>
  <si>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</si>
  <si>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</si>
  <si>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</si>
  <si>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</si>
  <si>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</si>
  <si>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</si>
  <si>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</si>
  <si>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</si>
  <si>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</si>
  <si>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</si>
  <si>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</si>
  <si>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</si>
  <si>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</si>
  <si>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</si>
  <si>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</si>
  <si>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</si>
  <si>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</si>
  <si>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</si>
  <si>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</si>
  <si>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</si>
  <si>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</si>
  <si>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</si>
  <si>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</si>
  <si>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</si>
  <si>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</si>
  <si>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</si>
  <si>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</si>
  <si>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</si>
  <si>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</si>
  <si>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</si>
  <si>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</si>
  <si>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</si>
  <si>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</si>
  <si>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</si>
  <si>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</si>
  <si>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</si>
  <si>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</si>
  <si>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</si>
  <si>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</si>
  <si>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</si>
  <si>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</si>
  <si>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</si>
  <si>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</si>
  <si>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</si>
  <si>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</si>
  <si>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</si>
  <si>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</si>
  <si>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</si>
  <si>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</si>
  <si>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</si>
  <si>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</si>
  <si>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</si>
  <si>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</si>
  <si>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</si>
  <si>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</si>
  <si>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</si>
  <si>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</si>
  <si>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</si>
  <si>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</si>
  <si>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</si>
  <si>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</si>
  <si>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</si>
  <si>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</si>
  <si>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</si>
  <si>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</si>
  <si>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</si>
  <si>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</si>
  <si>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</si>
  <si>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</si>
  <si>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</si>
  <si>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</si>
  <si>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</si>
  <si>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</si>
  <si>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</si>
  <si>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</si>
  <si>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</si>
  <si>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</si>
  <si>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</si>
  <si>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</si>
  <si>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</si>
  <si>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</si>
  <si>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</si>
  <si>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</si>
  <si>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</si>
  <si>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</si>
  <si>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</si>
  <si>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</si>
  <si>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</si>
  <si>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</si>
  <si>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</si>
  <si>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</si>
  <si>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</si>
  <si>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</si>
  <si>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</si>
  <si>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</si>
  <si>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</si>
  <si>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</si>
  <si>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</si>
  <si>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</si>
  <si>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</si>
  <si>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</si>
  <si>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</si>
  <si>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</si>
  <si>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</si>
  <si>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</si>
  <si>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</si>
  <si>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</si>
  <si>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</si>
  <si>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</si>
  <si>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</si>
  <si>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</si>
  <si>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</si>
  <si>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</si>
  <si>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</si>
  <si>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</si>
  <si>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</si>
  <si>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</si>
  <si>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</si>
  <si>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</si>
  <si>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</si>
  <si>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</si>
  <si>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</si>
  <si>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</si>
  <si>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</si>
  <si>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</si>
  <si>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</si>
  <si>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</si>
  <si>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</si>
  <si>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</si>
  <si>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</si>
  <si>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</si>
  <si>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</si>
  <si>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</si>
  <si>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</si>
  <si>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</si>
  <si>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</si>
  <si>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</si>
  <si>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</si>
  <si>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</si>
  <si>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</si>
  <si>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</si>
  <si>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</si>
  <si>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</si>
  <si>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</si>
  <si>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</si>
  <si>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</si>
  <si>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</si>
  <si>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</si>
  <si>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</si>
  <si>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</si>
  <si>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</si>
  <si>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</si>
  <si>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</si>
  <si>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</si>
  <si>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</si>
  <si>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</si>
  <si>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</si>
  <si>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</si>
  <si>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</si>
  <si>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</si>
  <si>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</si>
  <si>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</si>
  <si>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</si>
  <si>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</si>
  <si>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</si>
  <si>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</si>
  <si>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</si>
  <si>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</si>
  <si>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</si>
  <si>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</si>
  <si>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</si>
  <si>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</si>
  <si>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</si>
  <si>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</si>
  <si>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</si>
  <si>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</si>
  <si>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</si>
  <si>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</si>
  <si>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</si>
  <si>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</si>
  <si>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</si>
  <si>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</si>
  <si>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</si>
  <si>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</si>
  <si>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</si>
  <si>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</si>
  <si>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</si>
  <si>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</si>
  <si>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</si>
  <si>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</si>
  <si>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</si>
  <si>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</si>
  <si>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</si>
  <si>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</si>
  <si>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</si>
  <si>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</si>
  <si>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</si>
  <si>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</si>
  <si>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</si>
  <si>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</si>
  <si>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</si>
  <si>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</si>
  <si>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</si>
  <si>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</si>
  <si>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</si>
  <si>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</si>
  <si>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</si>
  <si>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</si>
  <si>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</si>
  <si>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</si>
  <si>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</si>
  <si>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</si>
  <si>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</si>
  <si>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</si>
  <si>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</si>
  <si>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</si>
  <si>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</si>
  <si>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</si>
  <si>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</si>
  <si>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</si>
  <si>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</si>
  <si>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</si>
  <si>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</si>
  <si>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</si>
  <si>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</si>
  <si>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</si>
  <si>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</si>
  <si>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</si>
  <si>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</si>
  <si>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</si>
  <si>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</si>
  <si>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</si>
  <si>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</si>
  <si>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</si>
  <si>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</si>
  <si>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</si>
  <si>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</si>
  <si>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</si>
  <si>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</si>
  <si>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</si>
  <si>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</si>
  <si>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</si>
  <si>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</si>
  <si>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</si>
  <si>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</si>
  <si>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</si>
  <si>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</si>
  <si>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</si>
  <si>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</si>
  <si>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</si>
  <si>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</si>
  <si>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</si>
  <si>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</si>
  <si>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</si>
  <si>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</si>
  <si>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</si>
  <si>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</si>
  <si>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</si>
  <si>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</si>
  <si>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</si>
  <si>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</si>
  <si>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</si>
  <si>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</si>
  <si>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</si>
  <si>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</si>
  <si>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</si>
  <si>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</si>
  <si>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</si>
  <si>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</si>
  <si>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</si>
  <si>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</si>
  <si>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</si>
  <si>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</si>
  <si>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</si>
  <si>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</si>
  <si>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</si>
  <si>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</si>
  <si>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</si>
  <si>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</si>
  <si>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</si>
  <si>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</si>
  <si>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</si>
  <si>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</si>
  <si>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</si>
  <si>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</si>
  <si>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</si>
  <si>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</si>
  <si>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</si>
  <si>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</si>
  <si>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</si>
  <si>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</si>
  <si>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</si>
  <si>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</si>
  <si>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</si>
  <si>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</si>
  <si>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</si>
  <si>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</si>
  <si>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</si>
  <si>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</si>
  <si>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</si>
  <si>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</si>
  <si>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</si>
  <si>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</si>
  <si>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</si>
  <si>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</si>
  <si>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</si>
  <si>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</si>
  <si>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</si>
  <si>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</si>
  <si>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</si>
  <si>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</si>
  <si>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</si>
  <si>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</si>
  <si>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</si>
  <si>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</si>
  <si>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</si>
  <si>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</si>
  <si>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</si>
  <si>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</si>
  <si>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</si>
  <si>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</si>
  <si>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</si>
  <si>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</si>
  <si>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</si>
  <si>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</si>
  <si>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</si>
  <si>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</si>
  <si>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</si>
  <si>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</si>
  <si>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</si>
  <si>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</si>
  <si>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</si>
  <si>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</si>
  <si>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</si>
  <si>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</si>
  <si>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</si>
  <si>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</si>
  <si>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</si>
  <si>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</si>
  <si>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</si>
  <si>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</si>
  <si>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</si>
  <si>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</si>
  <si>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</si>
  <si>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</si>
  <si>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</si>
  <si>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</si>
  <si>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</si>
  <si>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</si>
  <si>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</si>
  <si>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</si>
  <si>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</si>
  <si>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</si>
  <si>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</si>
  <si>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</si>
  <si>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</si>
  <si>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</si>
  <si>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</si>
  <si>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</si>
  <si>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</si>
  <si>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</si>
  <si>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</si>
  <si>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</si>
  <si>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</si>
  <si>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</si>
  <si>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</si>
  <si>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</si>
  <si>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</si>
  <si>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</si>
  <si>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</si>
  <si>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</si>
  <si>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</si>
  <si>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</si>
  <si>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</si>
  <si>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</si>
  <si>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</si>
  <si>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</si>
  <si>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</si>
  <si>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</si>
  <si>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</si>
  <si>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</si>
  <si>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</si>
  <si>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</si>
  <si>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</si>
  <si>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</si>
  <si>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</si>
  <si>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</si>
  <si>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</si>
  <si>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</si>
  <si>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</si>
  <si>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</si>
  <si>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</si>
  <si>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</si>
  <si>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</si>
  <si>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</si>
  <si>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</si>
  <si>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</si>
  <si>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</si>
  <si>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</si>
  <si>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</si>
  <si>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</si>
  <si>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</si>
  <si>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</si>
  <si>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</si>
  <si>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</si>
  <si>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</si>
  <si>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</si>
  <si>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</si>
  <si>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</si>
  <si>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</si>
  <si>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</si>
  <si>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</si>
  <si>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</si>
  <si>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</si>
  <si>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</si>
  <si>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</si>
  <si>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</si>
  <si>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</si>
  <si>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</si>
  <si>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</si>
  <si>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</si>
  <si>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</si>
  <si>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</si>
  <si>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</si>
  <si>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</si>
  <si>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</si>
  <si>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</si>
  <si>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</si>
  <si>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</si>
  <si>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</si>
  <si>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</si>
  <si>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</si>
  <si>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</si>
  <si>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</si>
  <si>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</si>
  <si>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</si>
  <si>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</si>
  <si>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</si>
  <si>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</si>
  <si>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</si>
  <si>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</si>
  <si>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</si>
  <si>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</si>
  <si>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</si>
  <si>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</si>
  <si>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</si>
  <si>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</si>
  <si>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</si>
  <si>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</si>
  <si>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</si>
  <si>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</si>
  <si>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</si>
  <si>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</si>
  <si>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</si>
  <si>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</si>
  <si>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</si>
  <si>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</si>
  <si>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</si>
  <si>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</si>
  <si>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</si>
  <si>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</si>
  <si>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</si>
  <si>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</si>
  <si>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</si>
  <si>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</si>
  <si>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</si>
  <si>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</si>
  <si>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</si>
  <si>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</si>
  <si>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</si>
  <si>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</si>
  <si>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</si>
  <si>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</si>
  <si>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</si>
  <si>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</si>
  <si>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</si>
  <si>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</si>
  <si>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</si>
  <si>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</si>
  <si>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</si>
  <si>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</si>
  <si>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</si>
  <si>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</si>
  <si>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</si>
  <si>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</si>
  <si>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</si>
  <si>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</si>
  <si>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</si>
  <si>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</si>
  <si>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</si>
  <si>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</si>
  <si>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</si>
  <si>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</si>
  <si>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</si>
  <si>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</si>
  <si>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</si>
  <si>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</si>
  <si>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</si>
  <si>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</si>
  <si>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</si>
  <si>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</si>
  <si>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</si>
  <si>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</si>
  <si>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</si>
  <si>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</si>
  <si>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</si>
  <si>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</si>
  <si>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</si>
  <si>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</si>
  <si>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</si>
  <si>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</si>
  <si>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</si>
  <si>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</si>
  <si>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</si>
  <si>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</si>
  <si>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</si>
  <si>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</si>
  <si>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</si>
  <si>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</si>
  <si>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</si>
  <si>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</si>
  <si>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</si>
  <si>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</si>
  <si>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</si>
  <si>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</si>
  <si>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</si>
  <si>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</si>
  <si>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</si>
  <si>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</si>
  <si>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</si>
  <si>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</si>
  <si>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</si>
  <si>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</si>
  <si>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</si>
  <si>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</si>
  <si>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</si>
  <si>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</si>
  <si>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</si>
  <si>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</si>
  <si>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</si>
  <si>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</si>
  <si>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</si>
  <si>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</si>
  <si>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</si>
  <si>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</si>
  <si>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</si>
  <si>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</si>
  <si>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</si>
  <si>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</si>
  <si>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</si>
  <si>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</si>
  <si>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</si>
  <si>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</si>
  <si>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</si>
  <si>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</si>
  <si>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</si>
  <si>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</si>
  <si>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</si>
  <si>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</si>
  <si>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</si>
  <si>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</si>
  <si>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</si>
  <si>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</si>
  <si>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</si>
  <si>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</si>
  <si>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</si>
  <si>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</si>
  <si>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</si>
  <si>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</si>
  <si>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</si>
  <si>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</si>
  <si>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</si>
  <si>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</si>
  <si>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</si>
  <si>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</si>
  <si>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</si>
  <si>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</si>
  <si>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</si>
  <si>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</si>
  <si>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</si>
  <si>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</si>
  <si>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</si>
  <si>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</si>
  <si>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</si>
  <si>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</si>
  <si>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</si>
  <si>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</si>
  <si>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</si>
  <si>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</si>
  <si>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</si>
  <si>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</si>
  <si>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</si>
  <si>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</si>
  <si>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</si>
  <si>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</si>
  <si>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</si>
  <si>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</si>
  <si>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</si>
  <si>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</si>
  <si>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</si>
  <si>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</si>
  <si>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</si>
  <si>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</si>
  <si>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</si>
  <si>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</si>
  <si>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</si>
  <si>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</si>
  <si>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</si>
  <si>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</si>
  <si>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</si>
  <si>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</si>
  <si>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</si>
  <si>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</si>
  <si>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</si>
  <si>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</si>
  <si>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</si>
  <si>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</si>
  <si>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</si>
  <si>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</si>
  <si>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</si>
  <si>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</si>
  <si>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</si>
  <si>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</si>
  <si>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</si>
  <si>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</si>
  <si>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</si>
  <si>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</si>
  <si>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</si>
  <si>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a22</t>
  </si>
  <si>
    <t>a23</t>
  </si>
  <si>
    <t>a24</t>
  </si>
  <si>
    <t>a25</t>
  </si>
  <si>
    <t>A-21</t>
  </si>
  <si>
    <t>A-22</t>
  </si>
  <si>
    <t>A-23</t>
  </si>
  <si>
    <t>A-24</t>
  </si>
  <si>
    <t>A-25</t>
  </si>
  <si>
    <t>a26</t>
  </si>
  <si>
    <t>a27</t>
  </si>
  <si>
    <t>A-26</t>
  </si>
  <si>
    <t>A-27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</si>
</sst>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34" borderId="14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 x14ac:dyDescent="0.3">
      <c r="B1" s="27" t="s">
        <v>217</v>
      </c>
    </row>
    <row r="2" spans="1:16" ht="34.5" customHeight="1" x14ac:dyDescent="0.3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 x14ac:dyDescent="0.3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 x14ac:dyDescent="0.3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 x14ac:dyDescent="0.3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 x14ac:dyDescent="0.3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 x14ac:dyDescent="0.3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 x14ac:dyDescent="0.3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 x14ac:dyDescent="0.3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 x14ac:dyDescent="0.3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 x14ac:dyDescent="0.3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 x14ac:dyDescent="0.3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 x14ac:dyDescent="0.3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 x14ac:dyDescent="0.3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 x14ac:dyDescent="0.3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 x14ac:dyDescent="0.3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 x14ac:dyDescent="0.3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 x14ac:dyDescent="0.3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 x14ac:dyDescent="0.3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 x14ac:dyDescent="0.3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 x14ac:dyDescent="0.3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 x14ac:dyDescent="0.3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 x14ac:dyDescent="0.3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 x14ac:dyDescent="0.3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 x14ac:dyDescent="0.3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 x14ac:dyDescent="0.3">
      <c r="B1" s="27" t="s">
        <v>216</v>
      </c>
      <c r="C1" s="27"/>
    </row>
    <row r="2" spans="2:14" ht="34.5" customHeight="1" x14ac:dyDescent="0.3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 x14ac:dyDescent="0.3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 x14ac:dyDescent="0.3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 x14ac:dyDescent="0.3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 x14ac:dyDescent="0.3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 x14ac:dyDescent="0.3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 x14ac:dyDescent="0.3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 x14ac:dyDescent="0.3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 x14ac:dyDescent="0.3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 x14ac:dyDescent="0.3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 x14ac:dyDescent="0.3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 x14ac:dyDescent="0.3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 x14ac:dyDescent="0.3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 x14ac:dyDescent="0.3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 x14ac:dyDescent="0.3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 x14ac:dyDescent="0.3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 x14ac:dyDescent="0.3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 x14ac:dyDescent="0.3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 x14ac:dyDescent="0.3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 x14ac:dyDescent="0.3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 x14ac:dyDescent="0.3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 x14ac:dyDescent="0.3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 x14ac:dyDescent="0.3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 x14ac:dyDescent="0.3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8"/>
  <sheetViews>
    <sheetView workbookViewId="0">
      <selection activeCell="O14" sqref="O14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22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 x14ac:dyDescent="0.3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 x14ac:dyDescent="0.3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 x14ac:dyDescent="0.3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 x14ac:dyDescent="0.3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 x14ac:dyDescent="0.3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">
        <v>25</v>
      </c>
      <c r="J17" s="4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 x14ac:dyDescent="0.3">
      <c r="A18" s="2" t="s">
        <v>339</v>
      </c>
      <c r="B18" s="1" t="s">
        <v>22</v>
      </c>
      <c r="C18" s="2" t="s">
        <v>666</v>
      </c>
      <c r="D18" s="2" t="s">
        <v>668</v>
      </c>
      <c r="E18" s="42" t="s">
        <v>702</v>
      </c>
      <c r="F18" s="43">
        <v>20</v>
      </c>
      <c r="G18" s="43">
        <v>50</v>
      </c>
      <c r="H18" s="43">
        <v>0.3</v>
      </c>
      <c r="I18" s="43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43">
        <v>20</v>
      </c>
      <c r="O18" s="43">
        <v>50</v>
      </c>
      <c r="P18" s="43">
        <v>0.3</v>
      </c>
      <c r="Q18" s="2">
        <v>0.68</v>
      </c>
      <c r="R18" s="2" t="s">
        <v>146</v>
      </c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">
        <v>25</v>
      </c>
      <c r="J19" s="4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 x14ac:dyDescent="0.3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 x14ac:dyDescent="0.3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 x14ac:dyDescent="0.3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 x14ac:dyDescent="0.3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ref="M23:M32" si="1">D23&amp;" "&amp;E23</f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 x14ac:dyDescent="0.3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50" t="str">
        <f t="shared" si="1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 x14ac:dyDescent="0.3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1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 x14ac:dyDescent="0.3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1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 x14ac:dyDescent="0.3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1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 x14ac:dyDescent="0.3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1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 x14ac:dyDescent="0.3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1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 x14ac:dyDescent="0.3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1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 x14ac:dyDescent="0.3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1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 x14ac:dyDescent="0.3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1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 x14ac:dyDescent="0.3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ref="M33:M34" si="2">D33&amp;" "&amp;E33</f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 x14ac:dyDescent="0.3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2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 x14ac:dyDescent="0.3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1.68</v>
      </c>
      <c r="M35" s="2" t="str">
        <f t="shared" ref="M35:M44" si="3">D35&amp;" "&amp;E35</f>
        <v>합곡리 281-3</v>
      </c>
      <c r="N35" s="2">
        <v>20</v>
      </c>
      <c r="O35" s="2">
        <v>50</v>
      </c>
      <c r="P35" s="2">
        <v>0.5</v>
      </c>
      <c r="Q35" s="2">
        <v>1.68</v>
      </c>
      <c r="R35" s="2" t="s">
        <v>146</v>
      </c>
      <c r="S35" s="2" t="s">
        <v>11</v>
      </c>
    </row>
    <row r="36" spans="1:19" ht="21.75" customHeight="1" x14ac:dyDescent="0.3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2.68</v>
      </c>
      <c r="M36" s="2" t="str">
        <f t="shared" si="3"/>
        <v>합곡리 261-3</v>
      </c>
      <c r="N36" s="2">
        <v>20</v>
      </c>
      <c r="O36" s="2">
        <v>50</v>
      </c>
      <c r="P36" s="2">
        <v>0.5</v>
      </c>
      <c r="Q36" s="2">
        <v>2.68</v>
      </c>
      <c r="R36" s="2" t="s">
        <v>146</v>
      </c>
      <c r="S36" s="2" t="s">
        <v>11</v>
      </c>
    </row>
    <row r="37" spans="1:19" ht="21.75" customHeight="1" x14ac:dyDescent="0.3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3.68</v>
      </c>
      <c r="M37" s="2" t="str">
        <f t="shared" si="3"/>
        <v>합곡리 282-12</v>
      </c>
      <c r="N37" s="2">
        <v>20</v>
      </c>
      <c r="O37" s="2">
        <v>50</v>
      </c>
      <c r="P37" s="2">
        <v>0.3</v>
      </c>
      <c r="Q37" s="2">
        <v>3.68</v>
      </c>
      <c r="R37" s="2" t="s">
        <v>146</v>
      </c>
      <c r="S37" s="2" t="s">
        <v>11</v>
      </c>
    </row>
    <row r="38" spans="1:19" ht="21.75" customHeight="1" x14ac:dyDescent="0.3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4.68</v>
      </c>
      <c r="M38" s="2" t="str">
        <f t="shared" si="3"/>
        <v>합곡리 286-1</v>
      </c>
      <c r="N38" s="2">
        <v>20</v>
      </c>
      <c r="O38" s="2">
        <v>50</v>
      </c>
      <c r="P38" s="2">
        <v>0.3</v>
      </c>
      <c r="Q38" s="2">
        <v>4.68</v>
      </c>
      <c r="R38" s="2" t="s">
        <v>146</v>
      </c>
      <c r="S38" s="2" t="s">
        <v>11</v>
      </c>
    </row>
    <row r="39" spans="1:19" ht="21.75" customHeight="1" x14ac:dyDescent="0.3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5.68</v>
      </c>
      <c r="M39" s="2" t="str">
        <f t="shared" si="3"/>
        <v>합곡리 301</v>
      </c>
      <c r="N39" s="2">
        <v>15</v>
      </c>
      <c r="O39" s="2">
        <v>50</v>
      </c>
      <c r="P39" s="2">
        <v>0.3</v>
      </c>
      <c r="Q39" s="2">
        <v>5.68</v>
      </c>
      <c r="R39" s="2" t="s">
        <v>146</v>
      </c>
      <c r="S39" s="2" t="s">
        <v>11</v>
      </c>
    </row>
    <row r="40" spans="1:19" ht="21.75" customHeight="1" x14ac:dyDescent="0.3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6.68</v>
      </c>
      <c r="M40" s="2" t="str">
        <f t="shared" si="3"/>
        <v>합곡리 295</v>
      </c>
      <c r="N40" s="2">
        <v>20</v>
      </c>
      <c r="O40" s="2">
        <v>50</v>
      </c>
      <c r="P40" s="2">
        <v>0.3</v>
      </c>
      <c r="Q40" s="2">
        <v>6.68</v>
      </c>
      <c r="R40" s="2" t="s">
        <v>146</v>
      </c>
      <c r="S40" s="2" t="s">
        <v>11</v>
      </c>
    </row>
    <row r="41" spans="1:19" ht="21.75" customHeight="1" x14ac:dyDescent="0.3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">
        <v>25</v>
      </c>
      <c r="J41" s="4">
        <v>16</v>
      </c>
      <c r="K41" s="2" t="s">
        <v>146</v>
      </c>
      <c r="L41" s="6">
        <v>7.68</v>
      </c>
      <c r="M41" s="2" t="str">
        <f t="shared" si="3"/>
        <v>합곡리 294</v>
      </c>
      <c r="N41" s="2">
        <v>16</v>
      </c>
      <c r="O41" s="2">
        <v>50</v>
      </c>
      <c r="P41" s="2">
        <v>0.3</v>
      </c>
      <c r="Q41" s="2">
        <v>7.68</v>
      </c>
      <c r="R41" s="2" t="s">
        <v>146</v>
      </c>
      <c r="S41" s="2" t="s">
        <v>11</v>
      </c>
    </row>
    <row r="42" spans="1:19" ht="21.75" customHeight="1" x14ac:dyDescent="0.3">
      <c r="A42" s="2" t="s">
        <v>857</v>
      </c>
      <c r="B42" s="1" t="s">
        <v>22</v>
      </c>
      <c r="C42" s="2" t="s">
        <v>666</v>
      </c>
      <c r="D42" s="2" t="s">
        <v>668</v>
      </c>
      <c r="E42" s="42" t="s">
        <v>702</v>
      </c>
      <c r="F42" s="43">
        <v>20</v>
      </c>
      <c r="G42" s="43">
        <v>50</v>
      </c>
      <c r="H42" s="43">
        <v>0.3</v>
      </c>
      <c r="I42" s="43">
        <v>30</v>
      </c>
      <c r="J42" s="2">
        <v>16</v>
      </c>
      <c r="K42" s="2" t="s">
        <v>146</v>
      </c>
      <c r="L42" s="6">
        <v>8.68</v>
      </c>
      <c r="M42" s="2" t="str">
        <f t="shared" si="3"/>
        <v>합곡리 311-5</v>
      </c>
      <c r="N42" s="43">
        <v>20</v>
      </c>
      <c r="O42" s="43">
        <v>50</v>
      </c>
      <c r="P42" s="43">
        <v>0.3</v>
      </c>
      <c r="Q42" s="2">
        <v>8.68</v>
      </c>
      <c r="R42" s="2" t="s">
        <v>146</v>
      </c>
      <c r="S42" s="2" t="s">
        <v>11</v>
      </c>
    </row>
    <row r="43" spans="1:19" ht="21.75" customHeight="1" x14ac:dyDescent="0.3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">
        <v>25</v>
      </c>
      <c r="J43" s="4">
        <v>16</v>
      </c>
      <c r="K43" s="2" t="s">
        <v>146</v>
      </c>
      <c r="L43" s="6">
        <v>9.68</v>
      </c>
      <c r="M43" s="2" t="str">
        <f t="shared" si="3"/>
        <v>합곡리 311-4</v>
      </c>
      <c r="N43" s="2">
        <v>20</v>
      </c>
      <c r="O43" s="2">
        <v>50</v>
      </c>
      <c r="P43" s="2">
        <v>0.3</v>
      </c>
      <c r="Q43" s="2">
        <v>9.68</v>
      </c>
      <c r="R43" s="2" t="s">
        <v>146</v>
      </c>
      <c r="S43" s="2" t="s">
        <v>11</v>
      </c>
    </row>
    <row r="44" spans="1:19" ht="21.75" customHeight="1" x14ac:dyDescent="0.3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10.68</v>
      </c>
      <c r="M44" s="2" t="str">
        <f t="shared" si="3"/>
        <v>합곡리 306-14</v>
      </c>
      <c r="N44" s="2">
        <v>20</v>
      </c>
      <c r="O44" s="2">
        <v>50</v>
      </c>
      <c r="P44" s="2">
        <v>0.3</v>
      </c>
      <c r="Q44" s="2">
        <v>10.68</v>
      </c>
      <c r="R44" s="2" t="s">
        <v>146</v>
      </c>
      <c r="S44" s="2" t="s">
        <v>11</v>
      </c>
    </row>
    <row r="45" spans="1:19" ht="21.75" customHeight="1" x14ac:dyDescent="0.3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11.68</v>
      </c>
      <c r="M45" s="2" t="str">
        <f t="shared" ref="M45:M54" si="4">D45&amp;" "&amp;E45</f>
        <v>합곡리 298-3</v>
      </c>
      <c r="N45" s="2">
        <v>10</v>
      </c>
      <c r="O45" s="2">
        <v>50</v>
      </c>
      <c r="P45" s="2">
        <v>0.3</v>
      </c>
      <c r="Q45" s="2">
        <v>11.68</v>
      </c>
      <c r="R45" s="2" t="s">
        <v>146</v>
      </c>
      <c r="S45" s="2" t="s">
        <v>11</v>
      </c>
    </row>
    <row r="46" spans="1:19" ht="21.75" customHeight="1" x14ac:dyDescent="0.3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12.68</v>
      </c>
      <c r="M46" s="2" t="str">
        <f t="shared" si="4"/>
        <v>합곡리 298-2</v>
      </c>
      <c r="N46" s="2">
        <v>30</v>
      </c>
      <c r="O46" s="2">
        <v>50</v>
      </c>
      <c r="P46" s="2">
        <v>0.5</v>
      </c>
      <c r="Q46" s="2">
        <v>12.68</v>
      </c>
      <c r="R46" s="2" t="s">
        <v>146</v>
      </c>
      <c r="S46" s="2" t="s">
        <v>11</v>
      </c>
    </row>
    <row r="47" spans="1:19" ht="21.75" customHeight="1" x14ac:dyDescent="0.3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13.68</v>
      </c>
      <c r="M47" s="2" t="str">
        <f t="shared" si="4"/>
        <v>합곡리 298-1</v>
      </c>
      <c r="N47" s="2">
        <v>20</v>
      </c>
      <c r="O47" s="2">
        <v>50</v>
      </c>
      <c r="P47" s="2">
        <v>0.5</v>
      </c>
      <c r="Q47" s="2">
        <v>13.68</v>
      </c>
      <c r="R47" s="2" t="s">
        <v>146</v>
      </c>
      <c r="S47" s="2" t="s">
        <v>11</v>
      </c>
    </row>
    <row r="48" spans="1:19" ht="21.75" customHeight="1" x14ac:dyDescent="0.3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14.68</v>
      </c>
      <c r="M48" s="2" t="str">
        <f t="shared" si="4"/>
        <v>합곡리 308</v>
      </c>
      <c r="N48" s="2">
        <v>15</v>
      </c>
      <c r="O48" s="2">
        <v>50</v>
      </c>
      <c r="P48" s="2">
        <v>0.3</v>
      </c>
      <c r="Q48" s="2">
        <v>14.68</v>
      </c>
      <c r="R48" s="2" t="s">
        <v>146</v>
      </c>
      <c r="S48" s="2" t="s">
        <v>11</v>
      </c>
    </row>
    <row r="49" spans="1:19" ht="21.75" customHeight="1" x14ac:dyDescent="0.3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15.68</v>
      </c>
      <c r="M49" s="2" t="str">
        <f t="shared" si="4"/>
        <v>합곡리 46</v>
      </c>
      <c r="N49" s="2">
        <v>20</v>
      </c>
      <c r="O49" s="2">
        <v>50</v>
      </c>
      <c r="P49" s="2">
        <v>0.5</v>
      </c>
      <c r="Q49" s="2">
        <v>15.68</v>
      </c>
      <c r="R49" s="2" t="s">
        <v>146</v>
      </c>
      <c r="S49" s="2" t="s">
        <v>11</v>
      </c>
    </row>
    <row r="50" spans="1:19" ht="21.75" customHeight="1" x14ac:dyDescent="0.3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16.68</v>
      </c>
      <c r="M50" s="2" t="str">
        <f t="shared" si="4"/>
        <v>합곡리 50</v>
      </c>
      <c r="N50" s="2">
        <v>20</v>
      </c>
      <c r="O50" s="2">
        <v>50</v>
      </c>
      <c r="P50" s="2">
        <v>0.3</v>
      </c>
      <c r="Q50" s="2">
        <v>16.68</v>
      </c>
      <c r="R50" s="2" t="s">
        <v>146</v>
      </c>
      <c r="S50" s="2" t="s">
        <v>11</v>
      </c>
    </row>
    <row r="51" spans="1:19" ht="21.75" customHeight="1" x14ac:dyDescent="0.3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17.68</v>
      </c>
      <c r="M51" s="2" t="str">
        <f t="shared" si="4"/>
        <v>합곡리 40-2</v>
      </c>
      <c r="N51" s="2">
        <v>20</v>
      </c>
      <c r="O51" s="2">
        <v>50</v>
      </c>
      <c r="P51" s="2">
        <v>0.3</v>
      </c>
      <c r="Q51" s="2">
        <v>17.68</v>
      </c>
      <c r="R51" s="2" t="s">
        <v>146</v>
      </c>
      <c r="S51" s="2" t="s">
        <v>11</v>
      </c>
    </row>
    <row r="52" spans="1:19" ht="21.75" customHeight="1" x14ac:dyDescent="0.3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18.68</v>
      </c>
      <c r="M52" s="2" t="str">
        <f t="shared" si="4"/>
        <v>합곡리 331</v>
      </c>
      <c r="N52" s="2">
        <v>20</v>
      </c>
      <c r="O52" s="2">
        <v>50</v>
      </c>
      <c r="P52" s="2">
        <v>0.3</v>
      </c>
      <c r="Q52" s="2">
        <v>18.68</v>
      </c>
      <c r="R52" s="2" t="s">
        <v>146</v>
      </c>
      <c r="S52" s="2" t="s">
        <v>11</v>
      </c>
    </row>
    <row r="53" spans="1:19" ht="21.75" customHeight="1" x14ac:dyDescent="0.3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19.68</v>
      </c>
      <c r="M53" s="2" t="str">
        <f t="shared" si="4"/>
        <v>합곡리 335</v>
      </c>
      <c r="N53" s="2">
        <v>20</v>
      </c>
      <c r="O53" s="2">
        <v>50</v>
      </c>
      <c r="P53" s="2">
        <v>0.3</v>
      </c>
      <c r="Q53" s="2">
        <v>19.68</v>
      </c>
      <c r="R53" s="2" t="s">
        <v>146</v>
      </c>
      <c r="S53" s="2" t="s">
        <v>11</v>
      </c>
    </row>
    <row r="54" spans="1:19" ht="21.75" customHeight="1" x14ac:dyDescent="0.3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20.68</v>
      </c>
      <c r="M54" s="2" t="str">
        <f t="shared" si="4"/>
        <v>합곡리 339-1</v>
      </c>
      <c r="N54" s="2">
        <v>20</v>
      </c>
      <c r="O54" s="2">
        <v>50</v>
      </c>
      <c r="P54" s="2">
        <v>0.3</v>
      </c>
      <c r="Q54" s="2">
        <v>20.68</v>
      </c>
      <c r="R54" s="2" t="s">
        <v>146</v>
      </c>
      <c r="S54" s="2" t="s">
        <v>11</v>
      </c>
    </row>
    <row r="55" spans="1:19" ht="21.75" customHeight="1" x14ac:dyDescent="0.3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21.68</v>
      </c>
      <c r="M55" s="2" t="str">
        <f t="shared" ref="M55:M64" si="5">D55&amp;" "&amp;E55</f>
        <v>합곡리 341</v>
      </c>
      <c r="N55" s="2">
        <v>30</v>
      </c>
      <c r="O55" s="2">
        <v>50</v>
      </c>
      <c r="P55" s="2">
        <v>0.5</v>
      </c>
      <c r="Q55" s="2">
        <v>21.68</v>
      </c>
      <c r="R55" s="2" t="s">
        <v>146</v>
      </c>
      <c r="S55" s="2" t="s">
        <v>11</v>
      </c>
    </row>
    <row r="56" spans="1:19" ht="21.75" customHeight="1" x14ac:dyDescent="0.3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22.68</v>
      </c>
      <c r="M56" s="2" t="str">
        <f t="shared" si="5"/>
        <v>합곡리 340-2</v>
      </c>
      <c r="N56" s="2">
        <v>20</v>
      </c>
      <c r="O56" s="2">
        <v>50</v>
      </c>
      <c r="P56" s="2">
        <v>0.3</v>
      </c>
      <c r="Q56" s="2">
        <v>22.68</v>
      </c>
      <c r="R56" s="2" t="s">
        <v>146</v>
      </c>
      <c r="S56" s="2" t="s">
        <v>11</v>
      </c>
    </row>
    <row r="57" spans="1:19" ht="21.75" customHeight="1" x14ac:dyDescent="0.3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23.68</v>
      </c>
      <c r="M57" s="2" t="str">
        <f t="shared" si="5"/>
        <v>합곡리 906-3</v>
      </c>
      <c r="N57" s="2">
        <v>25</v>
      </c>
      <c r="O57" s="2">
        <v>50</v>
      </c>
      <c r="P57" s="2">
        <v>0.5</v>
      </c>
      <c r="Q57" s="2">
        <v>23.68</v>
      </c>
      <c r="R57" s="2" t="s">
        <v>146</v>
      </c>
      <c r="S57" s="2" t="s">
        <v>11</v>
      </c>
    </row>
    <row r="58" spans="1:19" ht="21.75" customHeight="1" x14ac:dyDescent="0.3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24.68</v>
      </c>
      <c r="M58" s="2" t="str">
        <f t="shared" si="5"/>
        <v>합곡리 798-4</v>
      </c>
      <c r="N58" s="2">
        <v>30</v>
      </c>
      <c r="O58" s="2">
        <v>50</v>
      </c>
      <c r="P58" s="2">
        <v>0.5</v>
      </c>
      <c r="Q58" s="2">
        <v>24.68</v>
      </c>
      <c r="R58" s="2" t="s">
        <v>146</v>
      </c>
      <c r="S58" s="2" t="s">
        <v>11</v>
      </c>
    </row>
    <row r="59" spans="1:19" ht="21.75" customHeight="1" x14ac:dyDescent="0.3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25.68</v>
      </c>
      <c r="M59" s="2" t="str">
        <f t="shared" si="5"/>
        <v>합곡리 331</v>
      </c>
      <c r="N59" s="2">
        <v>20</v>
      </c>
      <c r="O59" s="2">
        <v>50</v>
      </c>
      <c r="P59" s="2">
        <v>0.3</v>
      </c>
      <c r="Q59" s="2">
        <v>25.68</v>
      </c>
      <c r="R59" s="2" t="s">
        <v>146</v>
      </c>
      <c r="S59" s="2" t="s">
        <v>11</v>
      </c>
    </row>
    <row r="60" spans="1:19" ht="21.75" customHeight="1" x14ac:dyDescent="0.3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26.68</v>
      </c>
      <c r="M60" s="2" t="str">
        <f t="shared" si="5"/>
        <v>합곡리 335</v>
      </c>
      <c r="N60" s="2">
        <v>20</v>
      </c>
      <c r="O60" s="2">
        <v>50</v>
      </c>
      <c r="P60" s="2">
        <v>0.3</v>
      </c>
      <c r="Q60" s="2">
        <v>26.68</v>
      </c>
      <c r="R60" s="2" t="s">
        <v>146</v>
      </c>
      <c r="S60" s="2" t="s">
        <v>11</v>
      </c>
    </row>
    <row r="61" spans="1:19" ht="21.75" customHeight="1" x14ac:dyDescent="0.3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27.68</v>
      </c>
      <c r="M61" s="2" t="str">
        <f t="shared" si="5"/>
        <v>합곡리 339-1</v>
      </c>
      <c r="N61" s="2">
        <v>20</v>
      </c>
      <c r="O61" s="2">
        <v>50</v>
      </c>
      <c r="P61" s="2">
        <v>0.3</v>
      </c>
      <c r="Q61" s="2">
        <v>27.68</v>
      </c>
      <c r="R61" s="2" t="s">
        <v>146</v>
      </c>
      <c r="S61" s="2" t="s">
        <v>11</v>
      </c>
    </row>
    <row r="62" spans="1:19" ht="21.75" customHeight="1" x14ac:dyDescent="0.3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28.68</v>
      </c>
      <c r="M62" s="2" t="str">
        <f t="shared" si="5"/>
        <v>합곡리 341</v>
      </c>
      <c r="N62" s="2">
        <v>30</v>
      </c>
      <c r="O62" s="2">
        <v>50</v>
      </c>
      <c r="P62" s="2">
        <v>0.5</v>
      </c>
      <c r="Q62" s="2">
        <v>28.68</v>
      </c>
      <c r="R62" s="2" t="s">
        <v>146</v>
      </c>
      <c r="S62" s="2" t="s">
        <v>11</v>
      </c>
    </row>
    <row r="63" spans="1:19" ht="21.75" customHeight="1" x14ac:dyDescent="0.3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29.68</v>
      </c>
      <c r="M63" s="2" t="str">
        <f t="shared" si="5"/>
        <v>합곡리 340-2</v>
      </c>
      <c r="N63" s="2">
        <v>20</v>
      </c>
      <c r="O63" s="2">
        <v>50</v>
      </c>
      <c r="P63" s="2">
        <v>0.3</v>
      </c>
      <c r="Q63" s="2">
        <v>29.68</v>
      </c>
      <c r="R63" s="2" t="s">
        <v>146</v>
      </c>
      <c r="S63" s="2" t="s">
        <v>11</v>
      </c>
    </row>
    <row r="64" spans="1:19" ht="21.75" customHeight="1" x14ac:dyDescent="0.3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30.68</v>
      </c>
      <c r="M64" s="2" t="str">
        <f t="shared" si="5"/>
        <v>합곡리 906-3</v>
      </c>
      <c r="N64" s="2">
        <v>25</v>
      </c>
      <c r="O64" s="2">
        <v>50</v>
      </c>
      <c r="P64" s="2">
        <v>0.5</v>
      </c>
      <c r="Q64" s="2">
        <v>30.68</v>
      </c>
      <c r="R64" s="2" t="s">
        <v>146</v>
      </c>
      <c r="S64" s="2" t="s">
        <v>11</v>
      </c>
    </row>
    <row r="65" spans="2:12" ht="21.75" customHeight="1" x14ac:dyDescent="0.3">
      <c r="B65" s="1"/>
      <c r="I65" s="2"/>
      <c r="J65" s="2"/>
      <c r="L65" s="6"/>
    </row>
    <row r="66" spans="2:12" ht="21.75" customHeight="1" x14ac:dyDescent="0.3">
      <c r="B66" s="1"/>
      <c r="I66" s="2"/>
      <c r="J66" s="2"/>
      <c r="L66" s="6"/>
    </row>
    <row r="67" spans="2:12" ht="21.75" customHeight="1" thickBot="1" x14ac:dyDescent="0.35">
      <c r="B67" s="1"/>
      <c r="I67" s="2"/>
      <c r="J67" s="2"/>
      <c r="L67" s="6"/>
    </row>
    <row r="68" spans="2:12" ht="21.75" customHeight="1" x14ac:dyDescent="0.3">
      <c r="B68" s="7" t="s">
        <v>252</v>
      </c>
      <c r="C68" s="51" t="s">
        <v>253</v>
      </c>
      <c r="D68" s="52"/>
      <c r="E68" s="51" t="s">
        <v>256</v>
      </c>
      <c r="F68" s="52"/>
      <c r="G68" s="51" t="s">
        <v>257</v>
      </c>
      <c r="H68" s="52"/>
      <c r="I68" s="51" t="s">
        <v>258</v>
      </c>
      <c r="J68" s="53"/>
      <c r="K68" s="2" t="s">
        <v>33</v>
      </c>
      <c r="L68" s="40">
        <f ca="1">SUM_SS_IN</f>
        <v>503.7600000000001</v>
      </c>
    </row>
    <row r="69" spans="2:12" ht="21.75" customHeight="1" x14ac:dyDescent="0.3">
      <c r="B69" s="12" t="s">
        <v>254</v>
      </c>
      <c r="C69" s="9">
        <f ca="1">E69+G69+I69</f>
        <v>78</v>
      </c>
      <c r="D69" s="9">
        <f ca="1">F69+H69+J69</f>
        <v>626.38000000000011</v>
      </c>
      <c r="E69" s="9">
        <f ca="1">IF(F69=0,0,COUNTIF(SS_INSIDE_AREA,"O"))</f>
        <v>57</v>
      </c>
      <c r="F69" s="9">
        <f ca="1">SUMIF(SS_INSIDE_AREA,"O",$L$2:$L$2)</f>
        <v>503.7600000000001</v>
      </c>
      <c r="G69" s="9">
        <f ca="1">IF(H69=0,0,COUNTIF(AA_INSIDE_AREA,"O"))</f>
        <v>21</v>
      </c>
      <c r="H69" s="9">
        <f ca="1">aa!$D$32</f>
        <v>122.61999999999996</v>
      </c>
      <c r="I69" s="9">
        <f ca="1">IF(J69=0,0,COUNTIF(II_INSIDE_AREA,"O"))</f>
        <v>0</v>
      </c>
      <c r="J69" s="13">
        <f ca="1">ii!$D$8</f>
        <v>0</v>
      </c>
      <c r="K69" s="2" t="s">
        <v>30</v>
      </c>
      <c r="L69" s="39">
        <f ca="1">L68+aa!D32+ii!L5</f>
        <v>626.38000000000011</v>
      </c>
    </row>
    <row r="70" spans="2:12" ht="21.75" customHeight="1" thickBot="1" x14ac:dyDescent="0.35">
      <c r="B70" s="8" t="s">
        <v>255</v>
      </c>
      <c r="C70" s="14">
        <f ca="1">E70+G70+I70</f>
        <v>12</v>
      </c>
      <c r="D70" s="14">
        <f ca="1">F70+H70+J70</f>
        <v>38.059999999999995</v>
      </c>
      <c r="E70" s="14">
        <f ca="1">IF(F70=0,0,COUNTIF(SS_INSIDE_AREA,"X"))</f>
        <v>6</v>
      </c>
      <c r="F70" s="14">
        <f ca="1">SUMIF(SS_INSIDE_AREA,"X",$L$2:$L$2)</f>
        <v>4.08</v>
      </c>
      <c r="G70" s="14">
        <f ca="1">IF(H70=0,0,COUNTIF(AA_INSIDE_AREA,"X"))</f>
        <v>6</v>
      </c>
      <c r="H70" s="14">
        <f ca="1">aa!$D$33</f>
        <v>33.979999999999997</v>
      </c>
      <c r="I70" s="14">
        <f ca="1">IF(J70=0,0,COUNTIF(II_INSIDE_AREA,"X"))</f>
        <v>0</v>
      </c>
      <c r="J70" s="15">
        <f ca="1">ii!$D$9</f>
        <v>0</v>
      </c>
    </row>
    <row r="71" spans="2:12" ht="21.75" customHeight="1" x14ac:dyDescent="0.3">
      <c r="B71"/>
      <c r="C71"/>
      <c r="D71"/>
      <c r="E71"/>
      <c r="F71"/>
      <c r="G71"/>
      <c r="H71"/>
      <c r="I71"/>
      <c r="K71" s="7" t="s">
        <v>31</v>
      </c>
      <c r="L71" s="28">
        <f ca="1">D69</f>
        <v>626.38000000000011</v>
      </c>
    </row>
    <row r="72" spans="2:12" ht="21.75" customHeight="1" thickBot="1" x14ac:dyDescent="0.35">
      <c r="B72"/>
      <c r="C72"/>
      <c r="D72"/>
      <c r="E72"/>
      <c r="F72"/>
      <c r="G72"/>
      <c r="H72"/>
      <c r="I72"/>
      <c r="K72" s="8" t="s">
        <v>32</v>
      </c>
      <c r="L72" s="29">
        <f ca="1">C69</f>
        <v>78</v>
      </c>
    </row>
    <row r="73" spans="2:12" ht="21.75" customHeight="1" x14ac:dyDescent="0.3">
      <c r="B73"/>
      <c r="C73"/>
      <c r="D73"/>
      <c r="E73"/>
      <c r="F73"/>
      <c r="G73"/>
      <c r="H73"/>
      <c r="I73"/>
    </row>
    <row r="74" spans="2:12" ht="21.75" customHeight="1" x14ac:dyDescent="0.3">
      <c r="B74"/>
      <c r="C74"/>
      <c r="D74"/>
      <c r="E74"/>
      <c r="F74"/>
      <c r="G74"/>
      <c r="H74"/>
      <c r="I74"/>
    </row>
    <row r="75" spans="2:12" ht="21.75" customHeight="1" x14ac:dyDescent="0.3">
      <c r="B75"/>
      <c r="C75"/>
      <c r="D75"/>
      <c r="E75"/>
      <c r="F75"/>
      <c r="G75"/>
      <c r="H75"/>
      <c r="I75"/>
    </row>
    <row r="76" spans="2:12" ht="21.75" customHeight="1" x14ac:dyDescent="0.3">
      <c r="B76"/>
      <c r="C76"/>
      <c r="D76"/>
      <c r="E76"/>
      <c r="F76"/>
      <c r="G76"/>
      <c r="H76"/>
      <c r="I76"/>
    </row>
    <row r="77" spans="2:12" ht="21.75" customHeight="1" x14ac:dyDescent="0.3">
      <c r="B77"/>
      <c r="C77"/>
      <c r="D77"/>
      <c r="E77"/>
      <c r="F77"/>
      <c r="G77"/>
      <c r="H77"/>
      <c r="I77"/>
    </row>
    <row r="78" spans="2:12" ht="21.75" customHeight="1" x14ac:dyDescent="0.3">
      <c r="B78"/>
      <c r="C78"/>
      <c r="D78"/>
      <c r="E78"/>
      <c r="F78"/>
      <c r="G78"/>
      <c r="H78"/>
      <c r="I78"/>
    </row>
    <row r="79" spans="2:12" ht="21.75" customHeight="1" x14ac:dyDescent="0.3">
      <c r="B79"/>
      <c r="C79"/>
      <c r="D79"/>
      <c r="E79"/>
      <c r="F79"/>
      <c r="G79"/>
      <c r="H79"/>
      <c r="I79"/>
    </row>
    <row r="80" spans="2:12" ht="21.75" customHeight="1" x14ac:dyDescent="0.3">
      <c r="B80"/>
      <c r="C80"/>
      <c r="D80"/>
      <c r="E80"/>
      <c r="F80"/>
      <c r="G80"/>
      <c r="H80"/>
      <c r="I80"/>
    </row>
    <row r="81" spans="2:17" ht="21.75" customHeight="1" x14ac:dyDescent="0.3">
      <c r="B81"/>
      <c r="C81"/>
      <c r="D81"/>
      <c r="E81"/>
      <c r="F81"/>
      <c r="G81"/>
      <c r="H81"/>
      <c r="I81"/>
    </row>
    <row r="86" spans="2:17" ht="21.75" customHeight="1" x14ac:dyDescent="0.3">
      <c r="K86"/>
      <c r="L86"/>
      <c r="M86"/>
      <c r="N86"/>
      <c r="O86"/>
      <c r="P86"/>
      <c r="Q86"/>
    </row>
    <row r="87" spans="2:17" ht="21.75" customHeight="1" x14ac:dyDescent="0.3">
      <c r="K87"/>
      <c r="L87"/>
      <c r="M87"/>
      <c r="N87"/>
      <c r="O87"/>
      <c r="P87"/>
      <c r="Q87"/>
    </row>
    <row r="88" spans="2:17" ht="21.75" customHeight="1" x14ac:dyDescent="0.3">
      <c r="K88"/>
      <c r="L88"/>
      <c r="M88"/>
      <c r="N88"/>
      <c r="O88"/>
      <c r="P88"/>
      <c r="Q88"/>
    </row>
  </sheetData>
  <dataConsolidate/>
  <mergeCells count="4">
    <mergeCell ref="C68:D68"/>
    <mergeCell ref="E68:F68"/>
    <mergeCell ref="G68:H68"/>
    <mergeCell ref="I68:J6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4"/>
  <sheetViews>
    <sheetView workbookViewId="0"/>
  </sheetViews>
  <sheetFormatPr defaultColWidth="9" defaultRowHeight="21.75" customHeight="1" x14ac:dyDescent="0.3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666</v>
      </c>
      <c r="D3" s="2" t="s">
        <v>668</v>
      </c>
      <c r="E3" s="42" t="s">
        <v>677</v>
      </c>
      <c r="F3" s="43">
        <v>20</v>
      </c>
      <c r="G3" s="43">
        <v>50</v>
      </c>
      <c r="H3" s="43">
        <v>0.5</v>
      </c>
      <c r="I3" s="43">
        <v>30</v>
      </c>
      <c r="J3" s="2">
        <v>16</v>
      </c>
      <c r="K3" s="2" t="s">
        <v>657</v>
      </c>
      <c r="L3" s="2">
        <v>3.3</v>
      </c>
      <c r="M3" s="2" t="str">
        <f t="shared" ref="M3:M21" si="0">D3&amp;" "&amp;E3</f>
        <v>합곡리 292</v>
      </c>
      <c r="N3" s="43">
        <v>20</v>
      </c>
      <c r="O3" s="43">
        <v>50</v>
      </c>
      <c r="P3" s="43">
        <v>0.5</v>
      </c>
      <c r="Q3" s="2">
        <v>3.3</v>
      </c>
      <c r="R3" s="2" t="s">
        <v>657</v>
      </c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666</v>
      </c>
      <c r="D4" s="2" t="s">
        <v>668</v>
      </c>
      <c r="E4" s="42" t="s">
        <v>678</v>
      </c>
      <c r="F4" s="43">
        <v>20</v>
      </c>
      <c r="G4" s="43">
        <v>50</v>
      </c>
      <c r="H4" s="43">
        <v>0.5</v>
      </c>
      <c r="I4" s="43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43">
        <v>20</v>
      </c>
      <c r="O4" s="43">
        <v>50</v>
      </c>
      <c r="P4" s="43">
        <v>0.5</v>
      </c>
      <c r="Q4" s="2">
        <v>6.08</v>
      </c>
      <c r="R4" s="2" t="s">
        <v>337</v>
      </c>
      <c r="S4" s="2" t="s">
        <v>11</v>
      </c>
    </row>
    <row r="5" spans="1:19" ht="21.75" customHeight="1" x14ac:dyDescent="0.3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 x14ac:dyDescent="0.3">
      <c r="A6" s="1" t="s">
        <v>648</v>
      </c>
      <c r="B6" s="1" t="s">
        <v>2</v>
      </c>
      <c r="C6" s="2" t="s">
        <v>666</v>
      </c>
      <c r="D6" s="2" t="s">
        <v>668</v>
      </c>
      <c r="E6" s="42" t="s">
        <v>712</v>
      </c>
      <c r="F6" s="43">
        <v>20</v>
      </c>
      <c r="G6" s="43">
        <v>50</v>
      </c>
      <c r="H6" s="43">
        <v>0.5</v>
      </c>
      <c r="I6" s="43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43">
        <v>20</v>
      </c>
      <c r="O6" s="43">
        <v>50</v>
      </c>
      <c r="P6" s="43">
        <v>0.5</v>
      </c>
      <c r="Q6" s="2">
        <v>3.08</v>
      </c>
      <c r="R6" s="2" t="s">
        <v>657</v>
      </c>
      <c r="S6" s="2" t="s">
        <v>11</v>
      </c>
    </row>
    <row r="7" spans="1:19" ht="21.75" customHeight="1" x14ac:dyDescent="0.3">
      <c r="A7" s="1" t="s">
        <v>649</v>
      </c>
      <c r="B7" s="1" t="s">
        <v>2</v>
      </c>
      <c r="C7" s="2" t="s">
        <v>666</v>
      </c>
      <c r="D7" s="2" t="s">
        <v>668</v>
      </c>
      <c r="E7" s="42" t="s">
        <v>713</v>
      </c>
      <c r="F7" s="43">
        <v>90</v>
      </c>
      <c r="G7" s="43">
        <v>150</v>
      </c>
      <c r="H7" s="43">
        <v>0.5</v>
      </c>
      <c r="I7" s="43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43">
        <v>90</v>
      </c>
      <c r="O7" s="43">
        <v>150</v>
      </c>
      <c r="P7" s="43">
        <v>0.5</v>
      </c>
      <c r="Q7" s="2">
        <v>4.62</v>
      </c>
      <c r="R7" s="2" t="s">
        <v>657</v>
      </c>
      <c r="S7" s="2" t="s">
        <v>11</v>
      </c>
    </row>
    <row r="8" spans="1:19" ht="21.75" customHeight="1" x14ac:dyDescent="0.3">
      <c r="A8" s="1" t="s">
        <v>650</v>
      </c>
      <c r="B8" s="1" t="s">
        <v>2</v>
      </c>
      <c r="C8" s="2" t="s">
        <v>666</v>
      </c>
      <c r="D8" s="2" t="s">
        <v>668</v>
      </c>
      <c r="E8" s="42" t="s">
        <v>714</v>
      </c>
      <c r="F8" s="43">
        <v>20</v>
      </c>
      <c r="G8" s="43">
        <v>50</v>
      </c>
      <c r="H8" s="43">
        <v>0.5</v>
      </c>
      <c r="I8" s="43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43">
        <v>20</v>
      </c>
      <c r="O8" s="43">
        <v>50</v>
      </c>
      <c r="P8" s="43">
        <v>0.5</v>
      </c>
      <c r="Q8" s="2">
        <v>3.74</v>
      </c>
      <c r="R8" s="2" t="s">
        <v>657</v>
      </c>
      <c r="S8" s="2" t="s">
        <v>11</v>
      </c>
    </row>
    <row r="9" spans="1:19" ht="21.75" customHeight="1" x14ac:dyDescent="0.3">
      <c r="A9" s="1" t="s">
        <v>651</v>
      </c>
      <c r="B9" s="1" t="s">
        <v>2</v>
      </c>
      <c r="C9" s="2" t="s">
        <v>666</v>
      </c>
      <c r="D9" s="2" t="s">
        <v>668</v>
      </c>
      <c r="E9" s="42" t="s">
        <v>720</v>
      </c>
      <c r="F9" s="43">
        <v>40</v>
      </c>
      <c r="G9" s="43">
        <v>100</v>
      </c>
      <c r="H9" s="43">
        <v>0.5</v>
      </c>
      <c r="I9" s="43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43">
        <v>40</v>
      </c>
      <c r="O9" s="43">
        <v>100</v>
      </c>
      <c r="P9" s="43">
        <v>0.5</v>
      </c>
      <c r="Q9" s="2">
        <v>6.08</v>
      </c>
      <c r="R9" s="2" t="s">
        <v>337</v>
      </c>
      <c r="S9" s="2" t="s">
        <v>849</v>
      </c>
    </row>
    <row r="10" spans="1:19" ht="21.75" customHeight="1" x14ac:dyDescent="0.3">
      <c r="A10" s="1" t="s">
        <v>652</v>
      </c>
      <c r="B10" s="1" t="s">
        <v>2</v>
      </c>
      <c r="C10" s="2" t="s">
        <v>666</v>
      </c>
      <c r="D10" s="2" t="s">
        <v>668</v>
      </c>
      <c r="E10" s="42" t="s">
        <v>721</v>
      </c>
      <c r="F10" s="43">
        <v>290</v>
      </c>
      <c r="G10" s="43">
        <v>150</v>
      </c>
      <c r="H10" s="43">
        <v>3</v>
      </c>
      <c r="I10" s="43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43">
        <v>290</v>
      </c>
      <c r="O10" s="43">
        <v>150</v>
      </c>
      <c r="P10" s="43">
        <v>3</v>
      </c>
      <c r="Q10" s="2">
        <v>6.2</v>
      </c>
      <c r="R10" s="2" t="s">
        <v>657</v>
      </c>
      <c r="S10" s="2" t="s">
        <v>11</v>
      </c>
    </row>
    <row r="11" spans="1:19" ht="21.75" customHeight="1" x14ac:dyDescent="0.3">
      <c r="A11" s="1" t="s">
        <v>653</v>
      </c>
      <c r="B11" s="1" t="s">
        <v>2</v>
      </c>
      <c r="C11" s="2" t="s">
        <v>666</v>
      </c>
      <c r="D11" s="2" t="s">
        <v>668</v>
      </c>
      <c r="E11" s="42" t="s">
        <v>722</v>
      </c>
      <c r="F11" s="43">
        <v>50</v>
      </c>
      <c r="G11" s="43">
        <v>125</v>
      </c>
      <c r="H11" s="43">
        <v>1</v>
      </c>
      <c r="I11" s="43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43">
        <v>50</v>
      </c>
      <c r="O11" s="43">
        <v>125</v>
      </c>
      <c r="P11" s="43">
        <v>1</v>
      </c>
      <c r="Q11" s="2">
        <v>3.56</v>
      </c>
      <c r="R11" s="2" t="s">
        <v>723</v>
      </c>
      <c r="S11" s="2" t="s">
        <v>11</v>
      </c>
    </row>
    <row r="12" spans="1:19" ht="21.75" customHeight="1" x14ac:dyDescent="0.3">
      <c r="A12" s="1" t="s">
        <v>654</v>
      </c>
      <c r="B12" s="1" t="s">
        <v>2</v>
      </c>
      <c r="C12" s="2" t="s">
        <v>666</v>
      </c>
      <c r="D12" s="2" t="s">
        <v>668</v>
      </c>
      <c r="E12" s="42" t="s">
        <v>724</v>
      </c>
      <c r="F12" s="43">
        <v>100</v>
      </c>
      <c r="G12" s="43">
        <v>150</v>
      </c>
      <c r="H12" s="43">
        <v>1</v>
      </c>
      <c r="I12" s="43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43">
        <v>100</v>
      </c>
      <c r="O12" s="43">
        <v>150</v>
      </c>
      <c r="P12" s="43">
        <v>1</v>
      </c>
      <c r="Q12" s="2">
        <v>3.56</v>
      </c>
      <c r="R12" s="2" t="s">
        <v>723</v>
      </c>
      <c r="S12" s="2" t="s">
        <v>11</v>
      </c>
    </row>
    <row r="13" spans="1:19" ht="21.75" customHeight="1" x14ac:dyDescent="0.3">
      <c r="A13" s="1" t="s">
        <v>655</v>
      </c>
      <c r="B13" s="1" t="s">
        <v>2</v>
      </c>
      <c r="C13" s="2" t="s">
        <v>666</v>
      </c>
      <c r="D13" s="2" t="s">
        <v>668</v>
      </c>
      <c r="E13" s="42" t="s">
        <v>725</v>
      </c>
      <c r="F13" s="43">
        <v>18</v>
      </c>
      <c r="G13" s="43">
        <v>50</v>
      </c>
      <c r="H13" s="43">
        <v>0.5</v>
      </c>
      <c r="I13" s="43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43">
        <v>18</v>
      </c>
      <c r="O13" s="43">
        <v>50</v>
      </c>
      <c r="P13" s="43">
        <v>0.5</v>
      </c>
      <c r="Q13" s="2">
        <v>6.36</v>
      </c>
      <c r="R13" s="2" t="s">
        <v>337</v>
      </c>
      <c r="S13" s="2" t="s">
        <v>849</v>
      </c>
    </row>
    <row r="14" spans="1:19" ht="21.75" customHeight="1" x14ac:dyDescent="0.3">
      <c r="A14" s="1" t="s">
        <v>658</v>
      </c>
      <c r="B14" s="1" t="s">
        <v>2</v>
      </c>
      <c r="C14" s="2" t="s">
        <v>666</v>
      </c>
      <c r="D14" s="2" t="s">
        <v>668</v>
      </c>
      <c r="E14" s="42" t="s">
        <v>726</v>
      </c>
      <c r="F14" s="43">
        <v>70</v>
      </c>
      <c r="G14" s="43">
        <v>150</v>
      </c>
      <c r="H14" s="43">
        <v>1</v>
      </c>
      <c r="I14" s="43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43">
        <v>70</v>
      </c>
      <c r="O14" s="43">
        <v>150</v>
      </c>
      <c r="P14" s="43">
        <v>1</v>
      </c>
      <c r="Q14" s="2">
        <v>6.36</v>
      </c>
      <c r="R14" s="2" t="s">
        <v>337</v>
      </c>
      <c r="S14" s="2" t="s">
        <v>849</v>
      </c>
    </row>
    <row r="15" spans="1:19" ht="21.75" customHeight="1" x14ac:dyDescent="0.3">
      <c r="A15" s="1" t="s">
        <v>659</v>
      </c>
      <c r="B15" s="1" t="s">
        <v>2</v>
      </c>
      <c r="C15" s="2" t="s">
        <v>666</v>
      </c>
      <c r="D15" s="2" t="s">
        <v>668</v>
      </c>
      <c r="E15" s="42" t="s">
        <v>727</v>
      </c>
      <c r="F15" s="43">
        <v>20</v>
      </c>
      <c r="G15" s="43">
        <v>50</v>
      </c>
      <c r="H15" s="43">
        <v>1</v>
      </c>
      <c r="I15" s="43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43">
        <v>20</v>
      </c>
      <c r="O15" s="43">
        <v>50</v>
      </c>
      <c r="P15" s="43">
        <v>1</v>
      </c>
      <c r="Q15" s="2">
        <v>3.74</v>
      </c>
      <c r="R15" s="2" t="s">
        <v>657</v>
      </c>
      <c r="S15" s="2" t="s">
        <v>849</v>
      </c>
    </row>
    <row r="16" spans="1:19" ht="21.75" customHeight="1" x14ac:dyDescent="0.3">
      <c r="A16" s="1" t="s">
        <v>660</v>
      </c>
      <c r="B16" s="1" t="s">
        <v>2</v>
      </c>
      <c r="C16" s="2" t="s">
        <v>666</v>
      </c>
      <c r="D16" s="2" t="s">
        <v>668</v>
      </c>
      <c r="E16" s="42" t="s">
        <v>728</v>
      </c>
      <c r="F16" s="43">
        <v>100</v>
      </c>
      <c r="G16" s="43">
        <v>150</v>
      </c>
      <c r="H16" s="43">
        <v>2</v>
      </c>
      <c r="I16" s="43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43">
        <v>100</v>
      </c>
      <c r="O16" s="43">
        <v>150</v>
      </c>
      <c r="P16" s="43">
        <v>2</v>
      </c>
      <c r="Q16" s="2">
        <v>5.5</v>
      </c>
      <c r="R16" s="2" t="s">
        <v>657</v>
      </c>
      <c r="S16" s="2" t="s">
        <v>849</v>
      </c>
    </row>
    <row r="17" spans="1:19" ht="21.75" customHeight="1" x14ac:dyDescent="0.3">
      <c r="A17" s="1" t="s">
        <v>661</v>
      </c>
      <c r="B17" s="1" t="s">
        <v>2</v>
      </c>
      <c r="C17" s="2" t="s">
        <v>666</v>
      </c>
      <c r="D17" s="2" t="s">
        <v>668</v>
      </c>
      <c r="E17" s="42" t="s">
        <v>729</v>
      </c>
      <c r="F17" s="43">
        <v>140</v>
      </c>
      <c r="G17" s="43">
        <v>150</v>
      </c>
      <c r="H17" s="43">
        <v>2</v>
      </c>
      <c r="I17" s="43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43">
        <v>140</v>
      </c>
      <c r="O17" s="43">
        <v>150</v>
      </c>
      <c r="P17" s="43">
        <v>2</v>
      </c>
      <c r="Q17" s="2">
        <v>5.94</v>
      </c>
      <c r="R17" s="2" t="s">
        <v>657</v>
      </c>
      <c r="S17" s="2" t="s">
        <v>849</v>
      </c>
    </row>
    <row r="18" spans="1:19" ht="21.75" customHeight="1" x14ac:dyDescent="0.3">
      <c r="A18" s="1" t="s">
        <v>662</v>
      </c>
      <c r="B18" s="1" t="s">
        <v>2</v>
      </c>
      <c r="C18" s="2" t="s">
        <v>666</v>
      </c>
      <c r="D18" s="2" t="s">
        <v>668</v>
      </c>
      <c r="E18" s="42" t="s">
        <v>730</v>
      </c>
      <c r="F18" s="43">
        <v>90</v>
      </c>
      <c r="G18" s="43">
        <v>200</v>
      </c>
      <c r="H18" s="43">
        <v>2</v>
      </c>
      <c r="I18" s="43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43">
        <v>90</v>
      </c>
      <c r="O18" s="43">
        <v>200</v>
      </c>
      <c r="P18" s="43">
        <v>2</v>
      </c>
      <c r="Q18" s="2">
        <v>7.26</v>
      </c>
      <c r="R18" s="2" t="s">
        <v>657</v>
      </c>
      <c r="S18" s="2" t="s">
        <v>11</v>
      </c>
    </row>
    <row r="19" spans="1:19" ht="21.75" customHeight="1" x14ac:dyDescent="0.3">
      <c r="A19" s="1" t="s">
        <v>663</v>
      </c>
      <c r="B19" s="1" t="s">
        <v>2</v>
      </c>
      <c r="C19" s="2" t="s">
        <v>666</v>
      </c>
      <c r="D19" s="2" t="s">
        <v>668</v>
      </c>
      <c r="E19" s="42" t="s">
        <v>731</v>
      </c>
      <c r="F19" s="43">
        <v>100</v>
      </c>
      <c r="G19" s="43">
        <v>200</v>
      </c>
      <c r="H19" s="43">
        <v>2</v>
      </c>
      <c r="I19" s="43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43">
        <v>100</v>
      </c>
      <c r="O19" s="43">
        <v>200</v>
      </c>
      <c r="P19" s="43">
        <v>2</v>
      </c>
      <c r="Q19" s="2">
        <v>5.94</v>
      </c>
      <c r="R19" s="2" t="s">
        <v>657</v>
      </c>
      <c r="S19" s="2" t="s">
        <v>11</v>
      </c>
    </row>
    <row r="20" spans="1:19" ht="21.75" customHeight="1" x14ac:dyDescent="0.3">
      <c r="A20" s="1" t="s">
        <v>664</v>
      </c>
      <c r="B20" s="1" t="s">
        <v>2</v>
      </c>
      <c r="C20" s="2" t="s">
        <v>666</v>
      </c>
      <c r="D20" s="2" t="s">
        <v>668</v>
      </c>
      <c r="E20" s="42" t="s">
        <v>732</v>
      </c>
      <c r="F20" s="43">
        <v>100</v>
      </c>
      <c r="G20" s="43">
        <v>200</v>
      </c>
      <c r="H20" s="43">
        <v>2</v>
      </c>
      <c r="I20" s="43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43">
        <v>100</v>
      </c>
      <c r="O20" s="43">
        <v>200</v>
      </c>
      <c r="P20" s="43">
        <v>2</v>
      </c>
      <c r="Q20" s="2">
        <v>7.26</v>
      </c>
      <c r="R20" s="2" t="s">
        <v>657</v>
      </c>
      <c r="S20" s="2" t="s">
        <v>11</v>
      </c>
    </row>
    <row r="21" spans="1:19" ht="21.75" customHeight="1" x14ac:dyDescent="0.3">
      <c r="A21" s="1" t="s">
        <v>665</v>
      </c>
      <c r="B21" s="1" t="s">
        <v>2</v>
      </c>
      <c r="C21" s="2" t="s">
        <v>666</v>
      </c>
      <c r="D21" s="2" t="s">
        <v>668</v>
      </c>
      <c r="E21" s="42" t="s">
        <v>734</v>
      </c>
      <c r="F21" s="43">
        <v>20</v>
      </c>
      <c r="G21" s="43">
        <v>50</v>
      </c>
      <c r="H21" s="43">
        <v>0.5</v>
      </c>
      <c r="I21" s="43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43">
        <v>20</v>
      </c>
      <c r="O21" s="43">
        <v>50</v>
      </c>
      <c r="P21" s="43">
        <v>0.5</v>
      </c>
      <c r="Q21" s="2">
        <v>3.74</v>
      </c>
      <c r="R21" s="2" t="s">
        <v>657</v>
      </c>
      <c r="S21" s="2" t="s">
        <v>11</v>
      </c>
    </row>
    <row r="22" spans="1:19" ht="21.75" customHeight="1" x14ac:dyDescent="0.3">
      <c r="A22" s="1" t="s">
        <v>910</v>
      </c>
      <c r="B22" s="1" t="s">
        <v>2</v>
      </c>
      <c r="C22" s="2" t="s">
        <v>666</v>
      </c>
      <c r="D22" s="2" t="s">
        <v>668</v>
      </c>
      <c r="E22" s="42" t="s">
        <v>729</v>
      </c>
      <c r="F22" s="43">
        <v>140</v>
      </c>
      <c r="G22" s="43">
        <v>150</v>
      </c>
      <c r="H22" s="43">
        <v>2</v>
      </c>
      <c r="I22" s="43">
        <v>90</v>
      </c>
      <c r="J22" s="2">
        <v>32</v>
      </c>
      <c r="K22" s="2" t="s">
        <v>657</v>
      </c>
      <c r="L22" s="2">
        <v>4.74</v>
      </c>
      <c r="M22" s="2" t="str">
        <f t="shared" ref="M22:M26" si="1">D22&amp;" "&amp;E22</f>
        <v>합곡리 895-4</v>
      </c>
      <c r="N22" s="43">
        <v>140</v>
      </c>
      <c r="O22" s="43">
        <v>150</v>
      </c>
      <c r="P22" s="43">
        <v>2</v>
      </c>
      <c r="Q22" s="2">
        <v>4.74</v>
      </c>
      <c r="R22" s="2" t="s">
        <v>657</v>
      </c>
      <c r="S22" s="2" t="s">
        <v>11</v>
      </c>
    </row>
    <row r="23" spans="1:19" ht="21.75" customHeight="1" x14ac:dyDescent="0.3">
      <c r="A23" s="1" t="s">
        <v>911</v>
      </c>
      <c r="B23" s="1" t="s">
        <v>2</v>
      </c>
      <c r="C23" s="2" t="s">
        <v>666</v>
      </c>
      <c r="D23" s="2" t="s">
        <v>668</v>
      </c>
      <c r="E23" s="42" t="s">
        <v>730</v>
      </c>
      <c r="F23" s="43">
        <v>90</v>
      </c>
      <c r="G23" s="43">
        <v>200</v>
      </c>
      <c r="H23" s="43">
        <v>2</v>
      </c>
      <c r="I23" s="43">
        <v>120</v>
      </c>
      <c r="J23" s="2">
        <v>32</v>
      </c>
      <c r="K23" s="2" t="s">
        <v>657</v>
      </c>
      <c r="L23" s="2">
        <v>5.74</v>
      </c>
      <c r="M23" s="2" t="str">
        <f t="shared" si="1"/>
        <v>합곡리 1023-3</v>
      </c>
      <c r="N23" s="43">
        <v>90</v>
      </c>
      <c r="O23" s="43">
        <v>200</v>
      </c>
      <c r="P23" s="43">
        <v>2</v>
      </c>
      <c r="Q23" s="2">
        <v>5.74</v>
      </c>
      <c r="R23" s="2" t="s">
        <v>657</v>
      </c>
      <c r="S23" s="2" t="s">
        <v>11</v>
      </c>
    </row>
    <row r="24" spans="1:19" ht="21.75" customHeight="1" x14ac:dyDescent="0.3">
      <c r="A24" s="1" t="s">
        <v>912</v>
      </c>
      <c r="B24" s="1" t="s">
        <v>2</v>
      </c>
      <c r="C24" s="2" t="s">
        <v>666</v>
      </c>
      <c r="D24" s="2" t="s">
        <v>668</v>
      </c>
      <c r="E24" s="42" t="s">
        <v>731</v>
      </c>
      <c r="F24" s="43">
        <v>100</v>
      </c>
      <c r="G24" s="43">
        <v>200</v>
      </c>
      <c r="H24" s="43">
        <v>2</v>
      </c>
      <c r="I24" s="43">
        <v>90</v>
      </c>
      <c r="J24" s="2">
        <v>32</v>
      </c>
      <c r="K24" s="2" t="s">
        <v>657</v>
      </c>
      <c r="L24" s="2">
        <v>6.74</v>
      </c>
      <c r="M24" s="2" t="str">
        <f t="shared" si="1"/>
        <v>합곡리 1025-4</v>
      </c>
      <c r="N24" s="43">
        <v>100</v>
      </c>
      <c r="O24" s="43">
        <v>200</v>
      </c>
      <c r="P24" s="43">
        <v>2</v>
      </c>
      <c r="Q24" s="2">
        <v>6.74</v>
      </c>
      <c r="R24" s="2" t="s">
        <v>657</v>
      </c>
      <c r="S24" s="2" t="s">
        <v>11</v>
      </c>
    </row>
    <row r="25" spans="1:19" ht="21.75" customHeight="1" x14ac:dyDescent="0.3">
      <c r="A25" s="1" t="s">
        <v>913</v>
      </c>
      <c r="B25" s="1" t="s">
        <v>2</v>
      </c>
      <c r="C25" s="2" t="s">
        <v>666</v>
      </c>
      <c r="D25" s="2" t="s">
        <v>668</v>
      </c>
      <c r="E25" s="42" t="s">
        <v>732</v>
      </c>
      <c r="F25" s="43">
        <v>100</v>
      </c>
      <c r="G25" s="43">
        <v>200</v>
      </c>
      <c r="H25" s="43">
        <v>2</v>
      </c>
      <c r="I25" s="43">
        <v>120</v>
      </c>
      <c r="J25" s="2">
        <v>32</v>
      </c>
      <c r="K25" s="2" t="s">
        <v>657</v>
      </c>
      <c r="L25" s="2">
        <v>7.74</v>
      </c>
      <c r="M25" s="2" t="str">
        <f t="shared" si="1"/>
        <v>합곡리 1022-2</v>
      </c>
      <c r="N25" s="43">
        <v>100</v>
      </c>
      <c r="O25" s="43">
        <v>200</v>
      </c>
      <c r="P25" s="43">
        <v>2</v>
      </c>
      <c r="Q25" s="2">
        <v>7.74</v>
      </c>
      <c r="R25" s="2" t="s">
        <v>657</v>
      </c>
      <c r="S25" s="2" t="s">
        <v>11</v>
      </c>
    </row>
    <row r="26" spans="1:19" ht="21.75" customHeight="1" x14ac:dyDescent="0.3">
      <c r="A26" s="1" t="s">
        <v>914</v>
      </c>
      <c r="B26" s="1" t="s">
        <v>2</v>
      </c>
      <c r="C26" s="2" t="s">
        <v>666</v>
      </c>
      <c r="D26" s="2" t="s">
        <v>668</v>
      </c>
      <c r="E26" s="42" t="s">
        <v>734</v>
      </c>
      <c r="F26" s="43">
        <v>20</v>
      </c>
      <c r="G26" s="43">
        <v>50</v>
      </c>
      <c r="H26" s="43">
        <v>0.5</v>
      </c>
      <c r="I26" s="43">
        <v>40</v>
      </c>
      <c r="J26" s="2">
        <v>20</v>
      </c>
      <c r="K26" s="2" t="s">
        <v>657</v>
      </c>
      <c r="L26" s="2">
        <v>8.74</v>
      </c>
      <c r="M26" s="2" t="str">
        <f t="shared" si="1"/>
        <v>합곡리 1018-1</v>
      </c>
      <c r="N26" s="43">
        <v>20</v>
      </c>
      <c r="O26" s="43">
        <v>50</v>
      </c>
      <c r="P26" s="43">
        <v>0.5</v>
      </c>
      <c r="Q26" s="2">
        <v>8.74</v>
      </c>
      <c r="R26" s="2" t="s">
        <v>657</v>
      </c>
      <c r="S26" s="2" t="s">
        <v>11</v>
      </c>
    </row>
    <row r="27" spans="1:19" ht="21.75" customHeight="1" x14ac:dyDescent="0.3">
      <c r="A27" s="1" t="s">
        <v>920</v>
      </c>
      <c r="B27" s="1" t="s">
        <v>2</v>
      </c>
      <c r="C27" s="2" t="s">
        <v>666</v>
      </c>
      <c r="D27" s="2" t="s">
        <v>668</v>
      </c>
      <c r="E27" s="42" t="s">
        <v>728</v>
      </c>
      <c r="F27" s="43">
        <v>100</v>
      </c>
      <c r="G27" s="43">
        <v>150</v>
      </c>
      <c r="H27" s="43">
        <v>2</v>
      </c>
      <c r="I27" s="43">
        <v>80</v>
      </c>
      <c r="J27" s="2">
        <v>32</v>
      </c>
      <c r="K27" s="2" t="s">
        <v>657</v>
      </c>
      <c r="L27" s="2">
        <v>9.74</v>
      </c>
      <c r="M27" s="2" t="str">
        <f t="shared" ref="M27:M28" si="2">D27&amp;" "&amp;E27</f>
        <v>합곡리 462</v>
      </c>
      <c r="N27" s="43">
        <v>100</v>
      </c>
      <c r="O27" s="43">
        <v>150</v>
      </c>
      <c r="P27" s="43">
        <v>2</v>
      </c>
      <c r="Q27" s="2">
        <v>9.74</v>
      </c>
      <c r="R27" s="2" t="s">
        <v>657</v>
      </c>
      <c r="S27" s="2" t="s">
        <v>11</v>
      </c>
    </row>
    <row r="28" spans="1:19" ht="21.75" customHeight="1" x14ac:dyDescent="0.3">
      <c r="A28" s="1" t="s">
        <v>921</v>
      </c>
      <c r="B28" s="1" t="s">
        <v>2</v>
      </c>
      <c r="C28" s="2" t="s">
        <v>666</v>
      </c>
      <c r="D28" s="2" t="s">
        <v>668</v>
      </c>
      <c r="E28" s="42" t="s">
        <v>729</v>
      </c>
      <c r="F28" s="43">
        <v>140</v>
      </c>
      <c r="G28" s="43">
        <v>150</v>
      </c>
      <c r="H28" s="43">
        <v>2</v>
      </c>
      <c r="I28" s="43">
        <v>90</v>
      </c>
      <c r="J28" s="2">
        <v>32</v>
      </c>
      <c r="K28" s="2" t="s">
        <v>657</v>
      </c>
      <c r="L28" s="2">
        <v>10.74</v>
      </c>
      <c r="M28" s="2" t="str">
        <f t="shared" si="2"/>
        <v>합곡리 895-4</v>
      </c>
      <c r="N28" s="43">
        <v>140</v>
      </c>
      <c r="O28" s="43">
        <v>150</v>
      </c>
      <c r="P28" s="43">
        <v>2</v>
      </c>
      <c r="Q28" s="2">
        <v>10.74</v>
      </c>
      <c r="R28" s="2" t="s">
        <v>657</v>
      </c>
      <c r="S28" s="2" t="s">
        <v>11</v>
      </c>
    </row>
    <row r="29" spans="1:19" ht="21.75" customHeight="1" x14ac:dyDescent="0.3">
      <c r="A29" s="1"/>
      <c r="B29" s="1"/>
      <c r="E29" s="5"/>
    </row>
    <row r="30" spans="1:19" ht="21.75" customHeight="1" thickBot="1" x14ac:dyDescent="0.35">
      <c r="A30" s="1"/>
      <c r="B30" s="1"/>
      <c r="E30" s="5"/>
    </row>
    <row r="31" spans="1:19" ht="21.75" customHeight="1" x14ac:dyDescent="0.3">
      <c r="A31" s="1"/>
      <c r="B31" s="7" t="s">
        <v>21</v>
      </c>
      <c r="C31" s="10" t="s">
        <v>20</v>
      </c>
      <c r="D31" s="11" t="s">
        <v>5</v>
      </c>
      <c r="E31" s="5"/>
    </row>
    <row r="32" spans="1:19" ht="21.75" customHeight="1" x14ac:dyDescent="0.3">
      <c r="A32" s="1"/>
      <c r="B32" s="12" t="s">
        <v>18</v>
      </c>
      <c r="C32" s="9">
        <f ca="1">COUNTIF(AA_INSIDE_AREA,"O")</f>
        <v>21</v>
      </c>
      <c r="D32" s="13">
        <f ca="1">SUMIF(AA_INSIDE_AREA,"O",$L$2:$L$2)</f>
        <v>122.61999999999996</v>
      </c>
    </row>
    <row r="33" spans="2:12" ht="21.75" customHeight="1" x14ac:dyDescent="0.3">
      <c r="B33" s="12" t="s">
        <v>19</v>
      </c>
      <c r="C33" s="9">
        <f ca="1">COUNTIF(AA_INSIDE_AREA,"X")</f>
        <v>6</v>
      </c>
      <c r="D33" s="13">
        <f ca="1">SUMIF(AA_INSIDE_AREA,"X",$L$2:$L$2)</f>
        <v>33.979999999999997</v>
      </c>
      <c r="L33" s="41"/>
    </row>
    <row r="34" spans="2:12" ht="21.75" customHeight="1" thickBot="1" x14ac:dyDescent="0.35">
      <c r="B34" s="8"/>
      <c r="C34" s="14"/>
      <c r="D34" s="15">
        <f ca="1">D32+D33</f>
        <v>156.59999999999997</v>
      </c>
      <c r="L34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J24" sqref="J24"/>
    </sheetView>
  </sheetViews>
  <sheetFormatPr defaultRowHeight="13.5" x14ac:dyDescent="0.3"/>
  <cols>
    <col min="1" max="3" width="9" style="44"/>
    <col min="4" max="4" width="11.25" style="44" customWidth="1"/>
    <col min="5" max="5" width="9" style="46"/>
    <col min="6" max="6" width="11" style="44" customWidth="1"/>
    <col min="7" max="7" width="9" style="44" customWidth="1"/>
    <col min="8" max="8" width="9.375" style="44" customWidth="1"/>
    <col min="9" max="10" width="9" style="44"/>
    <col min="11" max="11" width="14.75" style="44" customWidth="1"/>
    <col min="12" max="12" width="10.875" style="44" customWidth="1"/>
    <col min="13" max="13" width="19.875" style="45" customWidth="1"/>
    <col min="14" max="17" width="9" style="44"/>
    <col min="18" max="18" width="11.125" style="44" customWidth="1"/>
    <col min="19" max="19" width="9" style="44"/>
    <col min="20" max="20" width="9" style="45"/>
    <col min="21" max="21" width="11" style="45" customWidth="1"/>
    <col min="22" max="16384" width="9" style="45"/>
  </cols>
  <sheetData>
    <row r="1" spans="1:19" s="2" customFormat="1" ht="47.25" customHeight="1" x14ac:dyDescent="0.3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 x14ac:dyDescent="0.3">
      <c r="A2" s="44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44" t="s">
        <v>30</v>
      </c>
      <c r="L5" s="47">
        <f>SUM(L2:L4)</f>
        <v>0</v>
      </c>
      <c r="S5" s="41"/>
    </row>
    <row r="6" spans="1:19" ht="18.75" customHeight="1" thickBot="1" x14ac:dyDescent="0.35"/>
    <row r="7" spans="1:19" ht="18.75" customHeight="1" x14ac:dyDescent="0.3">
      <c r="B7" s="18" t="s">
        <v>29</v>
      </c>
      <c r="C7" s="10" t="s">
        <v>20</v>
      </c>
      <c r="D7" s="11" t="s">
        <v>5</v>
      </c>
      <c r="L7" s="41"/>
      <c r="S7" s="41"/>
    </row>
    <row r="8" spans="1:19" ht="18.75" customHeight="1" x14ac:dyDescent="0.3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41"/>
      <c r="S8" s="41"/>
    </row>
    <row r="9" spans="1:19" ht="18.75" customHeight="1" x14ac:dyDescent="0.3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 x14ac:dyDescent="0.35">
      <c r="B10" s="17"/>
      <c r="C10" s="14"/>
      <c r="D10" s="15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4" customWidth="1"/>
    <col min="4" max="4" width="9" style="4"/>
    <col min="5" max="5" width="28.125" style="22" customWidth="1"/>
  </cols>
  <sheetData>
    <row r="1" spans="1:10" ht="21.75" customHeight="1" x14ac:dyDescent="0.3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 x14ac:dyDescent="0.3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 x14ac:dyDescent="0.3">
      <c r="C3" s="4" t="s">
        <v>88</v>
      </c>
      <c r="D3" s="4" t="s">
        <v>35</v>
      </c>
      <c r="E3" s="22" t="s">
        <v>142</v>
      </c>
    </row>
    <row r="4" spans="1:10" ht="20.100000000000001" customHeight="1" x14ac:dyDescent="0.3">
      <c r="C4" s="4" t="s">
        <v>140</v>
      </c>
      <c r="D4" s="4" t="s">
        <v>36</v>
      </c>
      <c r="E4" s="22" t="s">
        <v>143</v>
      </c>
    </row>
    <row r="5" spans="1:10" ht="20.100000000000001" customHeight="1" x14ac:dyDescent="0.3">
      <c r="C5" s="4" t="s">
        <v>24</v>
      </c>
      <c r="D5" s="4" t="s">
        <v>37</v>
      </c>
      <c r="E5" s="22" t="s">
        <v>144</v>
      </c>
    </row>
    <row r="6" spans="1:10" ht="20.100000000000001" customHeight="1" x14ac:dyDescent="0.3">
      <c r="C6" s="4" t="s">
        <v>89</v>
      </c>
      <c r="D6" s="4" t="s">
        <v>38</v>
      </c>
      <c r="E6" s="22" t="s">
        <v>145</v>
      </c>
    </row>
    <row r="7" spans="1:10" ht="20.100000000000001" customHeight="1" x14ac:dyDescent="0.3">
      <c r="C7" s="4" t="s">
        <v>90</v>
      </c>
      <c r="D7" s="4" t="s">
        <v>39</v>
      </c>
      <c r="E7" s="22" t="s">
        <v>33</v>
      </c>
    </row>
    <row r="8" spans="1:10" ht="20.100000000000001" customHeight="1" x14ac:dyDescent="0.3">
      <c r="C8" s="4" t="s">
        <v>91</v>
      </c>
      <c r="D8" s="4" t="s">
        <v>40</v>
      </c>
      <c r="E8" s="22" t="s">
        <v>146</v>
      </c>
    </row>
    <row r="9" spans="1:10" ht="20.100000000000001" customHeight="1" x14ac:dyDescent="0.3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 x14ac:dyDescent="0.3">
      <c r="C10" s="4" t="s">
        <v>93</v>
      </c>
      <c r="D10" s="4" t="s">
        <v>42</v>
      </c>
      <c r="E10" s="22" t="s">
        <v>148</v>
      </c>
    </row>
    <row r="11" spans="1:10" ht="20.100000000000001" customHeight="1" x14ac:dyDescent="0.3">
      <c r="C11" s="4" t="s">
        <v>94</v>
      </c>
      <c r="D11" s="4" t="s">
        <v>43</v>
      </c>
      <c r="E11" s="22" t="s">
        <v>149</v>
      </c>
    </row>
    <row r="12" spans="1:10" ht="20.100000000000001" customHeight="1" x14ac:dyDescent="0.3">
      <c r="C12" s="4" t="s">
        <v>95</v>
      </c>
      <c r="D12" s="4" t="s">
        <v>44</v>
      </c>
      <c r="E12" s="22" t="s">
        <v>150</v>
      </c>
    </row>
    <row r="13" spans="1:10" ht="20.100000000000001" customHeight="1" x14ac:dyDescent="0.3">
      <c r="C13" s="4" t="s">
        <v>96</v>
      </c>
      <c r="D13" s="4" t="s">
        <v>45</v>
      </c>
      <c r="E13" s="22" t="s">
        <v>151</v>
      </c>
    </row>
    <row r="14" spans="1:10" ht="20.100000000000001" customHeight="1" x14ac:dyDescent="0.3">
      <c r="C14" s="4" t="s">
        <v>97</v>
      </c>
      <c r="D14" s="4" t="s">
        <v>46</v>
      </c>
      <c r="E14" s="22" t="s">
        <v>152</v>
      </c>
    </row>
    <row r="15" spans="1:10" ht="20.100000000000001" customHeight="1" x14ac:dyDescent="0.3">
      <c r="C15" s="4" t="s">
        <v>98</v>
      </c>
      <c r="D15" s="4" t="s">
        <v>47</v>
      </c>
      <c r="E15" s="22" t="s">
        <v>153</v>
      </c>
    </row>
    <row r="16" spans="1:10" ht="20.100000000000001" customHeight="1" x14ac:dyDescent="0.3">
      <c r="C16" s="4" t="s">
        <v>99</v>
      </c>
      <c r="D16" s="4" t="s">
        <v>48</v>
      </c>
      <c r="E16" s="22" t="s">
        <v>154</v>
      </c>
    </row>
    <row r="17" spans="3:5" ht="20.100000000000001" customHeight="1" x14ac:dyDescent="0.3">
      <c r="C17" s="4" t="s">
        <v>100</v>
      </c>
      <c r="D17" s="4" t="s">
        <v>49</v>
      </c>
      <c r="E17" s="22" t="s">
        <v>155</v>
      </c>
    </row>
    <row r="18" spans="3:5" ht="20.100000000000001" customHeight="1" x14ac:dyDescent="0.3">
      <c r="C18" s="4" t="s">
        <v>101</v>
      </c>
      <c r="D18" s="4" t="s">
        <v>50</v>
      </c>
      <c r="E18" s="22" t="s">
        <v>156</v>
      </c>
    </row>
    <row r="19" spans="3:5" ht="20.100000000000001" customHeight="1" x14ac:dyDescent="0.3">
      <c r="C19" s="4" t="s">
        <v>102</v>
      </c>
      <c r="D19" s="4" t="s">
        <v>51</v>
      </c>
      <c r="E19" s="22" t="s">
        <v>157</v>
      </c>
    </row>
    <row r="20" spans="3:5" ht="20.100000000000001" customHeight="1" x14ac:dyDescent="0.3">
      <c r="C20" s="4" t="s">
        <v>103</v>
      </c>
      <c r="D20" s="4" t="s">
        <v>52</v>
      </c>
      <c r="E20" s="22" t="s">
        <v>158</v>
      </c>
    </row>
    <row r="21" spans="3:5" ht="20.100000000000001" customHeight="1" x14ac:dyDescent="0.3">
      <c r="C21" s="4" t="s">
        <v>104</v>
      </c>
      <c r="D21" s="4" t="s">
        <v>53</v>
      </c>
      <c r="E21" s="22" t="s">
        <v>153</v>
      </c>
    </row>
    <row r="22" spans="3:5" ht="20.100000000000001" customHeight="1" x14ac:dyDescent="0.3">
      <c r="C22" s="4" t="s">
        <v>105</v>
      </c>
      <c r="D22" s="4" t="s">
        <v>54</v>
      </c>
      <c r="E22" s="22" t="s">
        <v>159</v>
      </c>
    </row>
    <row r="23" spans="3:5" ht="20.100000000000001" customHeight="1" x14ac:dyDescent="0.3">
      <c r="C23" s="4" t="s">
        <v>106</v>
      </c>
      <c r="D23" s="4" t="s">
        <v>55</v>
      </c>
      <c r="E23" s="22" t="s">
        <v>160</v>
      </c>
    </row>
    <row r="24" spans="3:5" ht="20.100000000000001" customHeight="1" x14ac:dyDescent="0.3">
      <c r="C24" s="4" t="s">
        <v>107</v>
      </c>
      <c r="D24" s="4" t="s">
        <v>56</v>
      </c>
      <c r="E24" s="22" t="s">
        <v>161</v>
      </c>
    </row>
    <row r="25" spans="3:5" ht="20.100000000000001" customHeight="1" x14ac:dyDescent="0.3">
      <c r="C25" s="4" t="s">
        <v>108</v>
      </c>
      <c r="D25" s="4" t="s">
        <v>57</v>
      </c>
      <c r="E25" s="22" t="s">
        <v>162</v>
      </c>
    </row>
    <row r="26" spans="3:5" ht="20.100000000000001" customHeight="1" x14ac:dyDescent="0.3">
      <c r="C26" s="4" t="s">
        <v>109</v>
      </c>
      <c r="D26" s="4" t="s">
        <v>58</v>
      </c>
      <c r="E26" s="22" t="s">
        <v>163</v>
      </c>
    </row>
    <row r="27" spans="3:5" ht="20.100000000000001" customHeight="1" x14ac:dyDescent="0.3">
      <c r="C27" s="4" t="s">
        <v>110</v>
      </c>
      <c r="D27" s="4" t="s">
        <v>59</v>
      </c>
      <c r="E27" s="22" t="s">
        <v>164</v>
      </c>
    </row>
    <row r="28" spans="3:5" ht="20.100000000000001" customHeight="1" x14ac:dyDescent="0.3">
      <c r="C28" s="4" t="s">
        <v>111</v>
      </c>
      <c r="D28" s="4" t="s">
        <v>60</v>
      </c>
      <c r="E28" s="22" t="s">
        <v>153</v>
      </c>
    </row>
    <row r="29" spans="3:5" ht="20.100000000000001" customHeight="1" x14ac:dyDescent="0.3">
      <c r="C29" s="4" t="s">
        <v>112</v>
      </c>
      <c r="D29" s="4" t="s">
        <v>61</v>
      </c>
      <c r="E29" s="22" t="s">
        <v>165</v>
      </c>
    </row>
    <row r="30" spans="3:5" ht="20.100000000000001" customHeight="1" x14ac:dyDescent="0.3">
      <c r="C30" s="4" t="s">
        <v>113</v>
      </c>
      <c r="D30" s="4" t="s">
        <v>62</v>
      </c>
      <c r="E30" s="22" t="s">
        <v>166</v>
      </c>
    </row>
    <row r="31" spans="3:5" ht="20.100000000000001" customHeight="1" x14ac:dyDescent="0.3">
      <c r="C31" s="4" t="s">
        <v>114</v>
      </c>
      <c r="D31" s="4" t="s">
        <v>63</v>
      </c>
      <c r="E31" s="22" t="s">
        <v>167</v>
      </c>
    </row>
    <row r="32" spans="3:5" ht="20.100000000000001" customHeight="1" x14ac:dyDescent="0.3">
      <c r="C32" s="4" t="s">
        <v>115</v>
      </c>
      <c r="D32" s="4" t="s">
        <v>64</v>
      </c>
      <c r="E32" s="24" t="s">
        <v>168</v>
      </c>
    </row>
    <row r="33" spans="3:7" ht="20.100000000000001" customHeight="1" x14ac:dyDescent="0.3">
      <c r="C33" s="4" t="s">
        <v>116</v>
      </c>
      <c r="D33" s="4" t="s">
        <v>65</v>
      </c>
      <c r="E33" s="24" t="s">
        <v>169</v>
      </c>
    </row>
    <row r="34" spans="3:7" ht="20.100000000000001" customHeight="1" x14ac:dyDescent="0.3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 x14ac:dyDescent="0.3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 x14ac:dyDescent="0.3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 x14ac:dyDescent="0.3">
      <c r="C37" s="4" t="s">
        <v>119</v>
      </c>
      <c r="D37" s="4" t="s">
        <v>69</v>
      </c>
      <c r="E37" s="22" t="s">
        <v>172</v>
      </c>
    </row>
    <row r="38" spans="3:7" ht="20.100000000000001" customHeight="1" x14ac:dyDescent="0.3">
      <c r="C38" s="4" t="s">
        <v>120</v>
      </c>
      <c r="D38" s="4" t="s">
        <v>70</v>
      </c>
      <c r="E38" s="22" t="s">
        <v>173</v>
      </c>
    </row>
    <row r="39" spans="3:7" ht="20.100000000000001" customHeight="1" x14ac:dyDescent="0.3">
      <c r="C39" s="4" t="s">
        <v>121</v>
      </c>
      <c r="D39" s="4" t="s">
        <v>71</v>
      </c>
      <c r="E39" s="24" t="s">
        <v>174</v>
      </c>
    </row>
    <row r="40" spans="3:7" ht="20.100000000000001" customHeight="1" x14ac:dyDescent="0.3">
      <c r="C40" s="4" t="s">
        <v>122</v>
      </c>
      <c r="D40" s="4" t="s">
        <v>72</v>
      </c>
      <c r="E40" s="24" t="s">
        <v>175</v>
      </c>
    </row>
    <row r="41" spans="3:7" ht="20.100000000000001" customHeight="1" x14ac:dyDescent="0.3">
      <c r="C41" s="4" t="s">
        <v>123</v>
      </c>
      <c r="D41" s="4" t="s">
        <v>73</v>
      </c>
      <c r="E41" s="24" t="s">
        <v>176</v>
      </c>
    </row>
    <row r="42" spans="3:7" ht="20.100000000000001" customHeight="1" x14ac:dyDescent="0.3">
      <c r="C42" s="4" t="s">
        <v>124</v>
      </c>
      <c r="D42" s="4" t="s">
        <v>74</v>
      </c>
      <c r="E42" s="24" t="s">
        <v>177</v>
      </c>
    </row>
    <row r="43" spans="3:7" ht="20.100000000000001" customHeight="1" x14ac:dyDescent="0.3">
      <c r="C43" s="4" t="s">
        <v>125</v>
      </c>
      <c r="D43" s="4" t="s">
        <v>75</v>
      </c>
      <c r="E43" s="22" t="s">
        <v>178</v>
      </c>
    </row>
    <row r="44" spans="3:7" ht="20.100000000000001" customHeight="1" x14ac:dyDescent="0.3">
      <c r="C44" s="4" t="s">
        <v>126</v>
      </c>
      <c r="D44" s="4" t="s">
        <v>76</v>
      </c>
      <c r="E44" s="22" t="s">
        <v>179</v>
      </c>
    </row>
    <row r="45" spans="3:7" ht="20.100000000000001" customHeight="1" x14ac:dyDescent="0.3">
      <c r="C45" s="4" t="s">
        <v>127</v>
      </c>
      <c r="D45" s="4" t="s">
        <v>77</v>
      </c>
      <c r="E45" s="22" t="s">
        <v>12</v>
      </c>
    </row>
    <row r="46" spans="3:7" ht="20.100000000000001" customHeight="1" x14ac:dyDescent="0.3">
      <c r="C46" s="4" t="s">
        <v>128</v>
      </c>
      <c r="D46" s="4" t="s">
        <v>78</v>
      </c>
      <c r="E46" s="22" t="s">
        <v>13</v>
      </c>
    </row>
    <row r="47" spans="3:7" ht="20.100000000000001" customHeight="1" x14ac:dyDescent="0.3">
      <c r="C47" s="4" t="s">
        <v>129</v>
      </c>
      <c r="D47" s="4" t="s">
        <v>79</v>
      </c>
      <c r="E47" s="22" t="s">
        <v>180</v>
      </c>
    </row>
    <row r="48" spans="3:7" ht="20.100000000000001" customHeight="1" x14ac:dyDescent="0.3">
      <c r="C48" s="4" t="s">
        <v>130</v>
      </c>
      <c r="D48" s="4" t="s">
        <v>80</v>
      </c>
      <c r="E48" s="22" t="s">
        <v>8</v>
      </c>
    </row>
    <row r="49" spans="3:5" ht="20.100000000000001" customHeight="1" x14ac:dyDescent="0.3">
      <c r="C49" s="4" t="s">
        <v>131</v>
      </c>
      <c r="D49" s="4" t="s">
        <v>81</v>
      </c>
      <c r="E49" s="22" t="s">
        <v>181</v>
      </c>
    </row>
    <row r="50" spans="3:5" ht="20.100000000000001" customHeight="1" x14ac:dyDescent="0.3">
      <c r="C50" s="4" t="s">
        <v>132</v>
      </c>
      <c r="D50" s="4" t="s">
        <v>82</v>
      </c>
      <c r="E50" s="24" t="s">
        <v>182</v>
      </c>
    </row>
    <row r="51" spans="3:5" ht="20.100000000000001" customHeight="1" x14ac:dyDescent="0.3">
      <c r="C51" s="4" t="s">
        <v>133</v>
      </c>
      <c r="D51" s="4" t="s">
        <v>83</v>
      </c>
      <c r="E51" s="24" t="s">
        <v>183</v>
      </c>
    </row>
    <row r="52" spans="3:5" ht="20.100000000000001" customHeight="1" x14ac:dyDescent="0.3">
      <c r="C52" s="4" t="s">
        <v>134</v>
      </c>
      <c r="D52" s="4" t="s">
        <v>84</v>
      </c>
      <c r="E52" s="24" t="s">
        <v>184</v>
      </c>
    </row>
    <row r="53" spans="3:5" ht="20.100000000000001" customHeight="1" x14ac:dyDescent="0.3">
      <c r="C53" s="4" t="s">
        <v>135</v>
      </c>
      <c r="D53" s="4" t="s">
        <v>85</v>
      </c>
      <c r="E53" s="24" t="s">
        <v>185</v>
      </c>
    </row>
    <row r="54" spans="3:5" ht="20.100000000000001" customHeight="1" x14ac:dyDescent="0.3">
      <c r="C54" s="4" t="s">
        <v>136</v>
      </c>
      <c r="D54" s="4" t="s">
        <v>86</v>
      </c>
      <c r="E54" s="24" t="s">
        <v>186</v>
      </c>
    </row>
    <row r="55" spans="3:5" ht="20.100000000000001" customHeight="1" x14ac:dyDescent="0.3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 x14ac:dyDescent="0.3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8" customFormat="1" ht="30.75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 x14ac:dyDescent="0.3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 x14ac:dyDescent="0.3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 x14ac:dyDescent="0.3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 x14ac:dyDescent="0.3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 x14ac:dyDescent="0.3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 x14ac:dyDescent="0.3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 x14ac:dyDescent="0.3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 x14ac:dyDescent="0.3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 x14ac:dyDescent="0.3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 x14ac:dyDescent="0.3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 x14ac:dyDescent="0.3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 x14ac:dyDescent="0.3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 x14ac:dyDescent="0.3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 x14ac:dyDescent="0.3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 x14ac:dyDescent="0.3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 x14ac:dyDescent="0.3">
      <c r="A18" s="2" t="s">
        <v>777</v>
      </c>
      <c r="B18" s="2" t="s">
        <v>810</v>
      </c>
      <c r="C18" s="43">
        <v>20</v>
      </c>
      <c r="D18" s="43">
        <v>50</v>
      </c>
      <c r="E18" s="43">
        <v>0.3</v>
      </c>
      <c r="F18" s="2">
        <v>0.68</v>
      </c>
      <c r="G18" s="2" t="s">
        <v>338</v>
      </c>
      <c r="H18" s="2" t="s">
        <v>326</v>
      </c>
    </row>
    <row r="19" spans="1:8" ht="18" customHeight="1" x14ac:dyDescent="0.3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 x14ac:dyDescent="0.3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 x14ac:dyDescent="0.3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 x14ac:dyDescent="0.3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 x14ac:dyDescent="0.3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 x14ac:dyDescent="0.3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 x14ac:dyDescent="0.3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 x14ac:dyDescent="0.3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 x14ac:dyDescent="0.3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 x14ac:dyDescent="0.3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 x14ac:dyDescent="0.3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 x14ac:dyDescent="0.3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 x14ac:dyDescent="0.3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 x14ac:dyDescent="0.3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 x14ac:dyDescent="0.3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 x14ac:dyDescent="0.3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 x14ac:dyDescent="0.3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 x14ac:dyDescent="0.3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 x14ac:dyDescent="0.3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 x14ac:dyDescent="0.3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 x14ac:dyDescent="0.3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 x14ac:dyDescent="0.3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 x14ac:dyDescent="0.3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 x14ac:dyDescent="0.3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 x14ac:dyDescent="0.3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 x14ac:dyDescent="0.3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 x14ac:dyDescent="0.3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 x14ac:dyDescent="0.3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 x14ac:dyDescent="0.3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 x14ac:dyDescent="0.3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 x14ac:dyDescent="0.3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 x14ac:dyDescent="0.3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 x14ac:dyDescent="0.3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 x14ac:dyDescent="0.3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 x14ac:dyDescent="0.3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 x14ac:dyDescent="0.3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 x14ac:dyDescent="0.3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 x14ac:dyDescent="0.3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 x14ac:dyDescent="0.3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 x14ac:dyDescent="0.3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 x14ac:dyDescent="0.3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 x14ac:dyDescent="0.3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 x14ac:dyDescent="0.3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 x14ac:dyDescent="0.3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 x14ac:dyDescent="0.3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 x14ac:dyDescent="0.3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  <row r="99" ht="18" customHeight="1" x14ac:dyDescent="0.3"/>
    <row r="100" ht="18" customHeight="1" x14ac:dyDescent="0.3"/>
    <row r="101" ht="18" customHeight="1" x14ac:dyDescent="0.3"/>
    <row r="102" ht="18" customHeight="1" x14ac:dyDescent="0.3"/>
    <row r="103" ht="18" customHeight="1" x14ac:dyDescent="0.3"/>
    <row r="104" ht="18" customHeight="1" x14ac:dyDescent="0.3"/>
    <row r="105" ht="18" customHeight="1" x14ac:dyDescent="0.3"/>
    <row r="106" ht="18" customHeight="1" x14ac:dyDescent="0.3"/>
    <row r="107" ht="18" customHeight="1" x14ac:dyDescent="0.3"/>
    <row r="108" ht="18" customHeight="1" x14ac:dyDescent="0.3"/>
    <row r="109" ht="18" customHeight="1" x14ac:dyDescent="0.3"/>
    <row r="110" ht="18" customHeight="1" x14ac:dyDescent="0.3"/>
    <row r="111" ht="18" customHeight="1" x14ac:dyDescent="0.3"/>
    <row r="112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  <row r="125" ht="18" customHeight="1" x14ac:dyDescent="0.3"/>
    <row r="126" ht="18" customHeight="1" x14ac:dyDescent="0.3"/>
    <row r="127" ht="18" customHeight="1" x14ac:dyDescent="0.3"/>
    <row r="128" ht="18" customHeight="1" x14ac:dyDescent="0.3"/>
    <row r="129" ht="18" customHeight="1" x14ac:dyDescent="0.3"/>
    <row r="130" ht="18" customHeight="1" x14ac:dyDescent="0.3"/>
    <row r="131" ht="18" customHeight="1" x14ac:dyDescent="0.3"/>
    <row r="132" ht="18" customHeight="1" x14ac:dyDescent="0.3"/>
    <row r="133" ht="18" customHeight="1" x14ac:dyDescent="0.3"/>
    <row r="134" ht="18" customHeight="1" x14ac:dyDescent="0.3"/>
    <row r="135" ht="18" customHeight="1" x14ac:dyDescent="0.3"/>
    <row r="136" ht="18" customHeight="1" x14ac:dyDescent="0.3"/>
    <row r="137" ht="18" customHeight="1" x14ac:dyDescent="0.3"/>
    <row r="138" ht="18" customHeight="1" x14ac:dyDescent="0.3"/>
    <row r="139" ht="18" customHeight="1" x14ac:dyDescent="0.3"/>
    <row r="140" ht="18" customHeight="1" x14ac:dyDescent="0.3"/>
    <row r="141" ht="18" customHeight="1" x14ac:dyDescent="0.3"/>
    <row r="142" ht="18" customHeight="1" x14ac:dyDescent="0.3"/>
    <row r="143" ht="18" customHeight="1" x14ac:dyDescent="0.3"/>
    <row r="144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 x14ac:dyDescent="0.3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 x14ac:dyDescent="0.3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 x14ac:dyDescent="0.3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 x14ac:dyDescent="0.3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 x14ac:dyDescent="0.3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 x14ac:dyDescent="0.3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 x14ac:dyDescent="0.3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 x14ac:dyDescent="0.3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 x14ac:dyDescent="0.3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 x14ac:dyDescent="0.3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 x14ac:dyDescent="0.3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 x14ac:dyDescent="0.3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 x14ac:dyDescent="0.3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 x14ac:dyDescent="0.3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 x14ac:dyDescent="0.3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 x14ac:dyDescent="0.3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 x14ac:dyDescent="0.3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 x14ac:dyDescent="0.3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 x14ac:dyDescent="0.3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 x14ac:dyDescent="0.3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 x14ac:dyDescent="0.3">
      <c r="A22" s="2" t="s">
        <v>915</v>
      </c>
      <c r="B22" s="2" t="s">
        <v>843</v>
      </c>
      <c r="C22" s="2">
        <v>140</v>
      </c>
      <c r="D22" s="2">
        <v>150</v>
      </c>
      <c r="E22" s="2">
        <v>2</v>
      </c>
      <c r="F22" s="2">
        <v>4.74</v>
      </c>
      <c r="G22" s="2" t="s">
        <v>828</v>
      </c>
      <c r="H22" s="2" t="s">
        <v>326</v>
      </c>
    </row>
    <row r="23" spans="1:8" ht="18" customHeight="1" x14ac:dyDescent="0.3">
      <c r="A23" s="2" t="s">
        <v>916</v>
      </c>
      <c r="B23" s="2" t="s">
        <v>844</v>
      </c>
      <c r="C23" s="2">
        <v>90</v>
      </c>
      <c r="D23" s="2">
        <v>200</v>
      </c>
      <c r="E23" s="2">
        <v>2</v>
      </c>
      <c r="F23" s="2">
        <v>5.74</v>
      </c>
      <c r="G23" s="2" t="s">
        <v>828</v>
      </c>
      <c r="H23" s="2" t="s">
        <v>326</v>
      </c>
    </row>
    <row r="24" spans="1:8" ht="18" customHeight="1" x14ac:dyDescent="0.3">
      <c r="A24" s="2" t="s">
        <v>917</v>
      </c>
      <c r="B24" s="2" t="s">
        <v>845</v>
      </c>
      <c r="C24" s="2">
        <v>100</v>
      </c>
      <c r="D24" s="2">
        <v>200</v>
      </c>
      <c r="E24" s="2">
        <v>2</v>
      </c>
      <c r="F24" s="2">
        <v>6.74</v>
      </c>
      <c r="G24" s="2" t="s">
        <v>828</v>
      </c>
      <c r="H24" s="2" t="s">
        <v>326</v>
      </c>
    </row>
    <row r="25" spans="1:8" ht="18" customHeight="1" x14ac:dyDescent="0.3">
      <c r="A25" s="2" t="s">
        <v>918</v>
      </c>
      <c r="B25" s="2" t="s">
        <v>846</v>
      </c>
      <c r="C25" s="2">
        <v>100</v>
      </c>
      <c r="D25" s="2">
        <v>200</v>
      </c>
      <c r="E25" s="2">
        <v>2</v>
      </c>
      <c r="F25" s="2">
        <v>7.74</v>
      </c>
      <c r="G25" s="2" t="s">
        <v>828</v>
      </c>
      <c r="H25" s="2" t="s">
        <v>326</v>
      </c>
    </row>
    <row r="26" spans="1:8" ht="18" customHeight="1" x14ac:dyDescent="0.3">
      <c r="A26" s="2" t="s">
        <v>919</v>
      </c>
      <c r="B26" s="2" t="s">
        <v>847</v>
      </c>
      <c r="C26" s="2">
        <v>20</v>
      </c>
      <c r="D26" s="2">
        <v>50</v>
      </c>
      <c r="E26" s="2">
        <v>0.5</v>
      </c>
      <c r="F26" s="2">
        <v>8.74</v>
      </c>
      <c r="G26" s="2" t="s">
        <v>828</v>
      </c>
      <c r="H26" s="2" t="s">
        <v>326</v>
      </c>
    </row>
    <row r="27" spans="1:8" ht="18" customHeight="1" x14ac:dyDescent="0.3">
      <c r="A27" s="2" t="s">
        <v>922</v>
      </c>
      <c r="B27" s="2" t="s">
        <v>842</v>
      </c>
      <c r="C27" s="2">
        <v>100</v>
      </c>
      <c r="D27" s="2">
        <v>150</v>
      </c>
      <c r="E27" s="2">
        <v>2</v>
      </c>
      <c r="F27" s="2">
        <v>9.74</v>
      </c>
      <c r="G27" s="2" t="s">
        <v>828</v>
      </c>
      <c r="H27" s="2" t="s">
        <v>326</v>
      </c>
    </row>
    <row r="28" spans="1:8" ht="18" customHeight="1" x14ac:dyDescent="0.3">
      <c r="A28" s="2" t="s">
        <v>923</v>
      </c>
      <c r="B28" s="2" t="s">
        <v>843</v>
      </c>
      <c r="C28" s="2">
        <v>140</v>
      </c>
      <c r="D28" s="2">
        <v>150</v>
      </c>
      <c r="E28" s="2">
        <v>2</v>
      </c>
      <c r="F28" s="2">
        <v>10.74</v>
      </c>
      <c r="G28" s="2" t="s">
        <v>828</v>
      </c>
      <c r="H28" s="2" t="s">
        <v>326</v>
      </c>
    </row>
    <row r="29" spans="1:8" ht="18" customHeight="1" x14ac:dyDescent="0.3"/>
    <row r="30" spans="1:8" ht="18" customHeight="1" x14ac:dyDescent="0.3"/>
    <row r="31" spans="1:8" ht="18" customHeight="1" x14ac:dyDescent="0.3"/>
    <row r="32" spans="1:8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  <row r="99" ht="18" customHeight="1" x14ac:dyDescent="0.3"/>
    <row r="100" ht="18" customHeight="1" x14ac:dyDescent="0.3"/>
    <row r="101" ht="18" customHeight="1" x14ac:dyDescent="0.3"/>
    <row r="102" ht="18" customHeight="1" x14ac:dyDescent="0.3"/>
    <row r="103" ht="18" customHeight="1" x14ac:dyDescent="0.3"/>
    <row r="104" ht="18" customHeight="1" x14ac:dyDescent="0.3"/>
    <row r="105" ht="18" customHeight="1" x14ac:dyDescent="0.3"/>
    <row r="106" ht="18" customHeight="1" x14ac:dyDescent="0.3"/>
    <row r="107" ht="18" customHeight="1" x14ac:dyDescent="0.3"/>
    <row r="108" ht="18" customHeight="1" x14ac:dyDescent="0.3"/>
    <row r="109" ht="18" customHeight="1" x14ac:dyDescent="0.3"/>
    <row r="110" ht="18" customHeight="1" x14ac:dyDescent="0.3"/>
    <row r="111" ht="18" customHeight="1" x14ac:dyDescent="0.3"/>
    <row r="112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  <row r="125" ht="18" customHeight="1" x14ac:dyDescent="0.3"/>
    <row r="126" ht="18" customHeight="1" x14ac:dyDescent="0.3"/>
    <row r="127" ht="18" customHeight="1" x14ac:dyDescent="0.3"/>
    <row r="128" ht="18" customHeight="1" x14ac:dyDescent="0.3"/>
    <row r="129" ht="18" customHeight="1" x14ac:dyDescent="0.3"/>
    <row r="130" ht="18" customHeight="1" x14ac:dyDescent="0.3"/>
    <row r="131" ht="18" customHeight="1" x14ac:dyDescent="0.3"/>
    <row r="132" ht="18" customHeight="1" x14ac:dyDescent="0.3"/>
    <row r="133" ht="18" customHeight="1" x14ac:dyDescent="0.3"/>
    <row r="134" ht="18" customHeight="1" x14ac:dyDescent="0.3"/>
    <row r="135" ht="18" customHeight="1" x14ac:dyDescent="0.3"/>
    <row r="136" ht="18" customHeight="1" x14ac:dyDescent="0.3"/>
    <row r="137" ht="18" customHeight="1" x14ac:dyDescent="0.3"/>
    <row r="138" ht="18" customHeight="1" x14ac:dyDescent="0.3"/>
    <row r="139" ht="18" customHeight="1" x14ac:dyDescent="0.3"/>
    <row r="140" ht="18" customHeight="1" x14ac:dyDescent="0.3"/>
    <row r="141" ht="18" customHeight="1" x14ac:dyDescent="0.3"/>
    <row r="142" ht="18" customHeight="1" x14ac:dyDescent="0.3"/>
    <row r="143" ht="18" customHeight="1" x14ac:dyDescent="0.3"/>
    <row r="144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  <row r="219" ht="18" customHeight="1" x14ac:dyDescent="0.3"/>
    <row r="220" ht="18" customHeight="1" x14ac:dyDescent="0.3"/>
    <row r="221" ht="18" customHeight="1" x14ac:dyDescent="0.3"/>
    <row r="222" ht="18" customHeight="1" x14ac:dyDescent="0.3"/>
    <row r="223" ht="18" customHeight="1" x14ac:dyDescent="0.3"/>
    <row r="224" ht="18" customHeight="1" x14ac:dyDescent="0.3"/>
    <row r="225" ht="18" customHeight="1" x14ac:dyDescent="0.3"/>
    <row r="226" ht="18" customHeight="1" x14ac:dyDescent="0.3"/>
    <row r="227" ht="18" customHeight="1" x14ac:dyDescent="0.3"/>
    <row r="228" ht="18" customHeight="1" x14ac:dyDescent="0.3"/>
    <row r="229" ht="18" customHeight="1" x14ac:dyDescent="0.3"/>
    <row r="230" ht="18" customHeight="1" x14ac:dyDescent="0.3"/>
    <row r="231" ht="18" customHeight="1" x14ac:dyDescent="0.3"/>
    <row r="232" ht="18" customHeight="1" x14ac:dyDescent="0.3"/>
    <row r="233" ht="18" customHeight="1" x14ac:dyDescent="0.3"/>
    <row r="234" ht="18" customHeight="1" x14ac:dyDescent="0.3"/>
    <row r="235" ht="18" customHeight="1" x14ac:dyDescent="0.3"/>
    <row r="236" ht="18" customHeight="1" x14ac:dyDescent="0.3"/>
    <row r="237" ht="18" customHeight="1" x14ac:dyDescent="0.3"/>
    <row r="238" ht="18" customHeight="1" x14ac:dyDescent="0.3"/>
    <row r="239" ht="18" customHeight="1" x14ac:dyDescent="0.3"/>
    <row r="240" ht="18" customHeight="1" x14ac:dyDescent="0.3"/>
    <row r="241" ht="18" customHeight="1" x14ac:dyDescent="0.3"/>
    <row r="242" ht="18" customHeight="1" x14ac:dyDescent="0.3"/>
    <row r="243" ht="18" customHeight="1" x14ac:dyDescent="0.3"/>
    <row r="244" ht="18" customHeight="1" x14ac:dyDescent="0.3"/>
    <row r="245" ht="18" customHeight="1" x14ac:dyDescent="0.3"/>
    <row r="246" ht="18" customHeight="1" x14ac:dyDescent="0.3"/>
    <row r="247" ht="18" customHeight="1" x14ac:dyDescent="0.3"/>
    <row r="248" ht="18" customHeight="1" x14ac:dyDescent="0.3"/>
    <row r="249" ht="18" customHeight="1" x14ac:dyDescent="0.3"/>
    <row r="250" ht="18" customHeight="1" x14ac:dyDescent="0.3"/>
    <row r="251" ht="18" customHeight="1" x14ac:dyDescent="0.3"/>
    <row r="252" ht="18" customHeight="1" x14ac:dyDescent="0.3"/>
    <row r="253" ht="18" customHeight="1" x14ac:dyDescent="0.3"/>
    <row r="254" ht="18" customHeight="1" x14ac:dyDescent="0.3"/>
    <row r="255" ht="18" customHeight="1" x14ac:dyDescent="0.3"/>
    <row r="256" ht="18" customHeight="1" x14ac:dyDescent="0.3"/>
    <row r="257" ht="18" customHeight="1" x14ac:dyDescent="0.3"/>
    <row r="258" ht="18" customHeight="1" x14ac:dyDescent="0.3"/>
    <row r="259" ht="18" customHeight="1" x14ac:dyDescent="0.3"/>
    <row r="260" ht="18" customHeight="1" x14ac:dyDescent="0.3"/>
    <row r="261" ht="18" customHeight="1" x14ac:dyDescent="0.3"/>
    <row r="262" ht="18" customHeight="1" x14ac:dyDescent="0.3"/>
    <row r="263" ht="18" customHeight="1" x14ac:dyDescent="0.3"/>
    <row r="264" ht="18" customHeight="1" x14ac:dyDescent="0.3"/>
    <row r="265" ht="18" customHeight="1" x14ac:dyDescent="0.3"/>
    <row r="266" ht="18" customHeight="1" x14ac:dyDescent="0.3"/>
    <row r="267" ht="18" customHeight="1" x14ac:dyDescent="0.3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 x14ac:dyDescent="0.3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 x14ac:dyDescent="0.3">
      <c r="A1" s="49" t="s">
        <v>740</v>
      </c>
      <c r="B1" s="49" t="s">
        <v>191</v>
      </c>
      <c r="C1" s="49" t="s">
        <v>193</v>
      </c>
      <c r="D1" s="49" t="s">
        <v>739</v>
      </c>
      <c r="E1" s="49" t="s">
        <v>195</v>
      </c>
      <c r="F1" s="49" t="s">
        <v>738</v>
      </c>
      <c r="G1" s="49" t="s">
        <v>737</v>
      </c>
      <c r="H1" s="49" t="s">
        <v>736</v>
      </c>
    </row>
    <row r="2" spans="1:8" ht="18" customHeight="1" x14ac:dyDescent="0.3"/>
    <row r="3" spans="1:8" ht="18" customHeight="1" x14ac:dyDescent="0.3"/>
    <row r="4" spans="1:8" ht="18" customHeight="1" x14ac:dyDescent="0.3"/>
    <row r="5" spans="1:8" ht="18" customHeight="1" x14ac:dyDescent="0.3"/>
    <row r="6" spans="1:8" ht="18" customHeight="1" x14ac:dyDescent="0.3"/>
    <row r="7" spans="1:8" ht="18" customHeight="1" x14ac:dyDescent="0.3"/>
    <row r="8" spans="1:8" ht="18" customHeight="1" x14ac:dyDescent="0.3"/>
    <row r="9" spans="1:8" ht="18" customHeight="1" x14ac:dyDescent="0.3"/>
    <row r="10" spans="1:8" ht="18" customHeight="1" x14ac:dyDescent="0.3"/>
    <row r="11" spans="1:8" ht="18" customHeight="1" x14ac:dyDescent="0.3"/>
    <row r="12" spans="1:8" ht="18" customHeight="1" x14ac:dyDescent="0.3"/>
    <row r="13" spans="1:8" ht="18" customHeight="1" x14ac:dyDescent="0.3"/>
    <row r="14" spans="1:8" ht="18" customHeight="1" x14ac:dyDescent="0.3"/>
    <row r="15" spans="1:8" ht="18" customHeight="1" x14ac:dyDescent="0.3"/>
    <row r="16" spans="1:8" ht="18" customHeight="1" x14ac:dyDescent="0.3"/>
    <row r="17" ht="18" customHeight="1" x14ac:dyDescent="0.3"/>
    <row r="18" ht="18" customHeight="1" x14ac:dyDescent="0.3"/>
    <row r="19" ht="18" customHeight="1" x14ac:dyDescent="0.3"/>
    <row r="20" ht="18" customHeight="1" x14ac:dyDescent="0.3"/>
    <row r="21" ht="18" customHeight="1" x14ac:dyDescent="0.3"/>
    <row r="22" ht="18" customHeight="1" x14ac:dyDescent="0.3"/>
    <row r="23" ht="18" customHeight="1" x14ac:dyDescent="0.3"/>
    <row r="24" ht="18" customHeight="1" x14ac:dyDescent="0.3"/>
    <row r="25" ht="18" customHeight="1" x14ac:dyDescent="0.3"/>
    <row r="26" ht="18" customHeight="1" x14ac:dyDescent="0.3"/>
    <row r="27" ht="18" customHeight="1" x14ac:dyDescent="0.3"/>
    <row r="28" ht="18" customHeight="1" x14ac:dyDescent="0.3"/>
    <row r="29" ht="18" customHeight="1" x14ac:dyDescent="0.3"/>
    <row r="30" ht="18" customHeight="1" x14ac:dyDescent="0.3"/>
    <row r="31" ht="18" customHeight="1" x14ac:dyDescent="0.3"/>
    <row r="32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  <row r="65" ht="18" customHeight="1" x14ac:dyDescent="0.3"/>
    <row r="66" ht="18" customHeight="1" x14ac:dyDescent="0.3"/>
    <row r="67" ht="18" customHeight="1" x14ac:dyDescent="0.3"/>
    <row r="68" ht="18" customHeight="1" x14ac:dyDescent="0.3"/>
    <row r="69" ht="18" customHeight="1" x14ac:dyDescent="0.3"/>
    <row r="70" ht="18" customHeight="1" x14ac:dyDescent="0.3"/>
    <row r="71" ht="18" customHeight="1" x14ac:dyDescent="0.3"/>
    <row r="72" ht="18" customHeight="1" x14ac:dyDescent="0.3"/>
    <row r="73" ht="18" customHeight="1" x14ac:dyDescent="0.3"/>
    <row r="74" ht="18" customHeight="1" x14ac:dyDescent="0.3"/>
    <row r="75" ht="18" customHeight="1" x14ac:dyDescent="0.3"/>
    <row r="76" ht="18" customHeight="1" x14ac:dyDescent="0.3"/>
    <row r="77" ht="18" customHeight="1" x14ac:dyDescent="0.3"/>
    <row r="78" ht="18" customHeight="1" x14ac:dyDescent="0.3"/>
    <row r="79" ht="18" customHeight="1" x14ac:dyDescent="0.3"/>
    <row r="80" ht="18" customHeight="1" x14ac:dyDescent="0.3"/>
    <row r="81" ht="18" customHeight="1" x14ac:dyDescent="0.3"/>
    <row r="82" ht="18" customHeight="1" x14ac:dyDescent="0.3"/>
    <row r="83" ht="18" customHeight="1" x14ac:dyDescent="0.3"/>
    <row r="84" ht="18" customHeight="1" x14ac:dyDescent="0.3"/>
    <row r="85" ht="18" customHeight="1" x14ac:dyDescent="0.3"/>
    <row r="86" ht="18" customHeight="1" x14ac:dyDescent="0.3"/>
    <row r="87" ht="18" customHeight="1" x14ac:dyDescent="0.3"/>
    <row r="88" ht="18" customHeight="1" x14ac:dyDescent="0.3"/>
    <row r="89" ht="18" customHeight="1" x14ac:dyDescent="0.3"/>
    <row r="90" ht="18" customHeight="1" x14ac:dyDescent="0.3"/>
    <row r="91" ht="18" customHeight="1" x14ac:dyDescent="0.3"/>
    <row r="92" ht="18" customHeight="1" x14ac:dyDescent="0.3"/>
    <row r="93" ht="18" customHeight="1" x14ac:dyDescent="0.3"/>
    <row r="94" ht="18" customHeight="1" x14ac:dyDescent="0.3"/>
    <row r="95" ht="18" customHeight="1" x14ac:dyDescent="0.3"/>
    <row r="96" ht="18" customHeight="1" x14ac:dyDescent="0.3"/>
    <row r="97" ht="18" customHeight="1" x14ac:dyDescent="0.3"/>
    <row r="98" ht="18" customHeight="1" x14ac:dyDescent="0.3"/>
    <row r="99" ht="18" customHeight="1" x14ac:dyDescent="0.3"/>
    <row r="100" ht="18" customHeight="1" x14ac:dyDescent="0.3"/>
    <row r="101" ht="18" customHeight="1" x14ac:dyDescent="0.3"/>
    <row r="102" ht="18" customHeight="1" x14ac:dyDescent="0.3"/>
    <row r="103" ht="18" customHeight="1" x14ac:dyDescent="0.3"/>
    <row r="104" ht="18" customHeight="1" x14ac:dyDescent="0.3"/>
    <row r="105" ht="18" customHeight="1" x14ac:dyDescent="0.3"/>
    <row r="106" ht="18" customHeight="1" x14ac:dyDescent="0.3"/>
    <row r="107" ht="18" customHeight="1" x14ac:dyDescent="0.3"/>
    <row r="108" ht="18" customHeight="1" x14ac:dyDescent="0.3"/>
    <row r="109" ht="18" customHeight="1" x14ac:dyDescent="0.3"/>
    <row r="110" ht="18" customHeight="1" x14ac:dyDescent="0.3"/>
    <row r="111" ht="18" customHeight="1" x14ac:dyDescent="0.3"/>
    <row r="112" ht="18" customHeight="1" x14ac:dyDescent="0.3"/>
    <row r="113" ht="18" customHeight="1" x14ac:dyDescent="0.3"/>
    <row r="114" ht="18" customHeight="1" x14ac:dyDescent="0.3"/>
    <row r="115" ht="18" customHeight="1" x14ac:dyDescent="0.3"/>
    <row r="116" ht="18" customHeight="1" x14ac:dyDescent="0.3"/>
    <row r="117" ht="18" customHeight="1" x14ac:dyDescent="0.3"/>
    <row r="118" ht="18" customHeight="1" x14ac:dyDescent="0.3"/>
    <row r="119" ht="18" customHeight="1" x14ac:dyDescent="0.3"/>
    <row r="120" ht="18" customHeight="1" x14ac:dyDescent="0.3"/>
    <row r="121" ht="18" customHeight="1" x14ac:dyDescent="0.3"/>
    <row r="122" ht="18" customHeight="1" x14ac:dyDescent="0.3"/>
    <row r="123" ht="18" customHeight="1" x14ac:dyDescent="0.3"/>
    <row r="124" ht="18" customHeight="1" x14ac:dyDescent="0.3"/>
    <row r="125" ht="18" customHeight="1" x14ac:dyDescent="0.3"/>
    <row r="126" ht="18" customHeight="1" x14ac:dyDescent="0.3"/>
    <row r="127" ht="18" customHeight="1" x14ac:dyDescent="0.3"/>
    <row r="128" ht="18" customHeight="1" x14ac:dyDescent="0.3"/>
    <row r="129" ht="18" customHeight="1" x14ac:dyDescent="0.3"/>
    <row r="130" ht="18" customHeight="1" x14ac:dyDescent="0.3"/>
    <row r="131" ht="18" customHeight="1" x14ac:dyDescent="0.3"/>
    <row r="132" ht="18" customHeight="1" x14ac:dyDescent="0.3"/>
    <row r="133" ht="18" customHeight="1" x14ac:dyDescent="0.3"/>
    <row r="134" ht="18" customHeight="1" x14ac:dyDescent="0.3"/>
    <row r="135" ht="18" customHeight="1" x14ac:dyDescent="0.3"/>
    <row r="136" ht="18" customHeight="1" x14ac:dyDescent="0.3"/>
    <row r="137" ht="18" customHeight="1" x14ac:dyDescent="0.3"/>
    <row r="138" ht="18" customHeight="1" x14ac:dyDescent="0.3"/>
    <row r="139" ht="18" customHeight="1" x14ac:dyDescent="0.3"/>
    <row r="140" ht="18" customHeight="1" x14ac:dyDescent="0.3"/>
    <row r="141" ht="18" customHeight="1" x14ac:dyDescent="0.3"/>
    <row r="142" ht="18" customHeight="1" x14ac:dyDescent="0.3"/>
    <row r="143" ht="18" customHeight="1" x14ac:dyDescent="0.3"/>
    <row r="144" ht="18" customHeight="1" x14ac:dyDescent="0.3"/>
    <row r="145" ht="18" customHeight="1" x14ac:dyDescent="0.3"/>
    <row r="146" ht="18" customHeight="1" x14ac:dyDescent="0.3"/>
    <row r="147" ht="18" customHeight="1" x14ac:dyDescent="0.3"/>
    <row r="148" ht="18" customHeight="1" x14ac:dyDescent="0.3"/>
    <row r="149" ht="18" customHeight="1" x14ac:dyDescent="0.3"/>
    <row r="150" ht="18" customHeight="1" x14ac:dyDescent="0.3"/>
    <row r="151" ht="18" customHeight="1" x14ac:dyDescent="0.3"/>
    <row r="152" ht="18" customHeight="1" x14ac:dyDescent="0.3"/>
    <row r="153" ht="18" customHeight="1" x14ac:dyDescent="0.3"/>
    <row r="154" ht="18" customHeight="1" x14ac:dyDescent="0.3"/>
    <row r="155" ht="18" customHeight="1" x14ac:dyDescent="0.3"/>
    <row r="156" ht="18" customHeight="1" x14ac:dyDescent="0.3"/>
    <row r="157" ht="18" customHeight="1" x14ac:dyDescent="0.3"/>
    <row r="158" ht="18" customHeight="1" x14ac:dyDescent="0.3"/>
    <row r="159" ht="18" customHeight="1" x14ac:dyDescent="0.3"/>
    <row r="160" ht="18" customHeight="1" x14ac:dyDescent="0.3"/>
    <row r="161" ht="18" customHeight="1" x14ac:dyDescent="0.3"/>
    <row r="162" ht="18" customHeight="1" x14ac:dyDescent="0.3"/>
    <row r="163" ht="18" customHeight="1" x14ac:dyDescent="0.3"/>
    <row r="164" ht="18" customHeight="1" x14ac:dyDescent="0.3"/>
    <row r="165" ht="18" customHeight="1" x14ac:dyDescent="0.3"/>
    <row r="166" ht="18" customHeight="1" x14ac:dyDescent="0.3"/>
    <row r="167" ht="18" customHeight="1" x14ac:dyDescent="0.3"/>
    <row r="168" ht="18" customHeight="1" x14ac:dyDescent="0.3"/>
    <row r="169" ht="18" customHeight="1" x14ac:dyDescent="0.3"/>
    <row r="170" ht="18" customHeight="1" x14ac:dyDescent="0.3"/>
    <row r="171" ht="18" customHeight="1" x14ac:dyDescent="0.3"/>
    <row r="172" ht="18" customHeight="1" x14ac:dyDescent="0.3"/>
    <row r="173" ht="18" customHeight="1" x14ac:dyDescent="0.3"/>
    <row r="174" ht="18" customHeight="1" x14ac:dyDescent="0.3"/>
    <row r="175" ht="18" customHeight="1" x14ac:dyDescent="0.3"/>
    <row r="176" ht="18" customHeight="1" x14ac:dyDescent="0.3"/>
    <row r="177" ht="18" customHeight="1" x14ac:dyDescent="0.3"/>
    <row r="178" ht="18" customHeight="1" x14ac:dyDescent="0.3"/>
    <row r="179" ht="18" customHeight="1" x14ac:dyDescent="0.3"/>
    <row r="180" ht="18" customHeight="1" x14ac:dyDescent="0.3"/>
    <row r="181" ht="18" customHeight="1" x14ac:dyDescent="0.3"/>
    <row r="182" ht="18" customHeight="1" x14ac:dyDescent="0.3"/>
    <row r="183" ht="18" customHeight="1" x14ac:dyDescent="0.3"/>
    <row r="184" ht="18" customHeight="1" x14ac:dyDescent="0.3"/>
    <row r="185" ht="18" customHeight="1" x14ac:dyDescent="0.3"/>
    <row r="186" ht="18" customHeight="1" x14ac:dyDescent="0.3"/>
    <row r="187" ht="18" customHeight="1" x14ac:dyDescent="0.3"/>
    <row r="188" ht="18" customHeight="1" x14ac:dyDescent="0.3"/>
    <row r="189" ht="18" customHeight="1" x14ac:dyDescent="0.3"/>
    <row r="190" ht="18" customHeight="1" x14ac:dyDescent="0.3"/>
    <row r="191" ht="18" customHeight="1" x14ac:dyDescent="0.3"/>
    <row r="192" ht="18" customHeight="1" x14ac:dyDescent="0.3"/>
    <row r="193" ht="18" customHeight="1" x14ac:dyDescent="0.3"/>
    <row r="194" ht="18" customHeight="1" x14ac:dyDescent="0.3"/>
    <row r="195" ht="18" customHeight="1" x14ac:dyDescent="0.3"/>
    <row r="196" ht="18" customHeight="1" x14ac:dyDescent="0.3"/>
    <row r="197" ht="18" customHeight="1" x14ac:dyDescent="0.3"/>
    <row r="198" ht="18" customHeight="1" x14ac:dyDescent="0.3"/>
    <row r="199" ht="18" customHeight="1" x14ac:dyDescent="0.3"/>
    <row r="200" ht="18" customHeight="1" x14ac:dyDescent="0.3"/>
    <row r="201" ht="18" customHeight="1" x14ac:dyDescent="0.3"/>
    <row r="202" ht="18" customHeight="1" x14ac:dyDescent="0.3"/>
    <row r="203" ht="18" customHeight="1" x14ac:dyDescent="0.3"/>
    <row r="204" ht="18" customHeight="1" x14ac:dyDescent="0.3"/>
    <row r="205" ht="18" customHeight="1" x14ac:dyDescent="0.3"/>
    <row r="206" ht="18" customHeight="1" x14ac:dyDescent="0.3"/>
    <row r="207" ht="18" customHeight="1" x14ac:dyDescent="0.3"/>
    <row r="208" ht="18" customHeight="1" x14ac:dyDescent="0.3"/>
    <row r="209" ht="18" customHeight="1" x14ac:dyDescent="0.3"/>
    <row r="210" ht="18" customHeight="1" x14ac:dyDescent="0.3"/>
    <row r="211" ht="18" customHeight="1" x14ac:dyDescent="0.3"/>
    <row r="212" ht="18" customHeight="1" x14ac:dyDescent="0.3"/>
    <row r="213" ht="18" customHeight="1" x14ac:dyDescent="0.3"/>
    <row r="214" ht="18" customHeight="1" x14ac:dyDescent="0.3"/>
    <row r="215" ht="18" customHeight="1" x14ac:dyDescent="0.3"/>
    <row r="216" ht="18" customHeight="1" x14ac:dyDescent="0.3"/>
    <row r="217" ht="18" customHeight="1" x14ac:dyDescent="0.3"/>
    <row r="218" ht="18" customHeight="1" x14ac:dyDescent="0.3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tabSelected="1" topLeftCell="A43" workbookViewId="0">
      <selection activeCell="M17" sqref="M17"/>
    </sheetView>
  </sheetViews>
  <sheetFormatPr defaultColWidth="9" defaultRowHeight="20.100000000000001" customHeight="1" x14ac:dyDescent="0.3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 x14ac:dyDescent="0.3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 x14ac:dyDescent="0.3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 x14ac:dyDescent="0.3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 x14ac:dyDescent="0.3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 x14ac:dyDescent="0.3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 x14ac:dyDescent="0.3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 x14ac:dyDescent="0.3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 x14ac:dyDescent="0.3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 x14ac:dyDescent="0.3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 x14ac:dyDescent="0.3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 x14ac:dyDescent="0.3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 x14ac:dyDescent="0.3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 x14ac:dyDescent="0.3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 x14ac:dyDescent="0.3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 x14ac:dyDescent="0.3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 x14ac:dyDescent="0.3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 x14ac:dyDescent="0.3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 x14ac:dyDescent="0.3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 x14ac:dyDescent="0.3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 x14ac:dyDescent="0.3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 x14ac:dyDescent="0.3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 x14ac:dyDescent="0.3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 x14ac:dyDescent="0.3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 x14ac:dyDescent="0.3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 x14ac:dyDescent="0.3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 x14ac:dyDescent="0.3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 x14ac:dyDescent="0.3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 x14ac:dyDescent="0.3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 x14ac:dyDescent="0.3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 x14ac:dyDescent="0.3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 x14ac:dyDescent="0.3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 x14ac:dyDescent="0.3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 x14ac:dyDescent="0.3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 x14ac:dyDescent="0.3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 x14ac:dyDescent="0.3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 x14ac:dyDescent="0.3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 x14ac:dyDescent="0.3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 x14ac:dyDescent="0.3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 x14ac:dyDescent="0.3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 x14ac:dyDescent="0.3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 x14ac:dyDescent="0.3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 x14ac:dyDescent="0.3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 x14ac:dyDescent="0.3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 x14ac:dyDescent="0.3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 x14ac:dyDescent="0.3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 x14ac:dyDescent="0.3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 x14ac:dyDescent="0.3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 x14ac:dyDescent="0.3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 x14ac:dyDescent="0.3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 x14ac:dyDescent="0.3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 x14ac:dyDescent="0.3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 x14ac:dyDescent="0.3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 x14ac:dyDescent="0.3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 x14ac:dyDescent="0.3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 x14ac:dyDescent="0.3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 x14ac:dyDescent="0.3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 x14ac:dyDescent="0.3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 x14ac:dyDescent="0.3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 x14ac:dyDescent="0.3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 x14ac:dyDescent="0.3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 x14ac:dyDescent="0.3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 x14ac:dyDescent="0.3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 x14ac:dyDescent="0.3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 x14ac:dyDescent="0.3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 x14ac:dyDescent="0.3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 x14ac:dyDescent="0.3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 x14ac:dyDescent="0.3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 x14ac:dyDescent="0.3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 x14ac:dyDescent="0.3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 x14ac:dyDescent="0.3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 x14ac:dyDescent="0.3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 x14ac:dyDescent="0.3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 x14ac:dyDescent="0.3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 x14ac:dyDescent="0.3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 x14ac:dyDescent="0.3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 x14ac:dyDescent="0.3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 x14ac:dyDescent="0.3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 x14ac:dyDescent="0.3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 x14ac:dyDescent="0.3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 x14ac:dyDescent="0.3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 x14ac:dyDescent="0.3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 x14ac:dyDescent="0.3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 x14ac:dyDescent="0.3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 x14ac:dyDescent="0.3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 x14ac:dyDescent="0.3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 x14ac:dyDescent="0.3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 x14ac:dyDescent="0.3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 x14ac:dyDescent="0.3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 x14ac:dyDescent="0.3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 x14ac:dyDescent="0.3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 x14ac:dyDescent="0.3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 x14ac:dyDescent="0.3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 x14ac:dyDescent="0.3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 x14ac:dyDescent="0.3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 x14ac:dyDescent="0.3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 x14ac:dyDescent="0.3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 x14ac:dyDescent="0.3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 x14ac:dyDescent="0.3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 x14ac:dyDescent="0.3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 x14ac:dyDescent="0.3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 x14ac:dyDescent="0.3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 x14ac:dyDescent="0.3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 x14ac:dyDescent="0.3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 x14ac:dyDescent="0.3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 x14ac:dyDescent="0.3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 x14ac:dyDescent="0.3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 x14ac:dyDescent="0.3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 x14ac:dyDescent="0.3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 x14ac:dyDescent="0.3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 x14ac:dyDescent="0.3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 x14ac:dyDescent="0.3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 x14ac:dyDescent="0.3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 x14ac:dyDescent="0.3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 x14ac:dyDescent="0.3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 x14ac:dyDescent="0.3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 x14ac:dyDescent="0.3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 x14ac:dyDescent="0.3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 x14ac:dyDescent="0.3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 x14ac:dyDescent="0.3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 x14ac:dyDescent="0.3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 x14ac:dyDescent="0.3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 x14ac:dyDescent="0.3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 x14ac:dyDescent="0.3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 x14ac:dyDescent="0.3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 x14ac:dyDescent="0.3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 x14ac:dyDescent="0.3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 x14ac:dyDescent="0.3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 x14ac:dyDescent="0.3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 x14ac:dyDescent="0.3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 x14ac:dyDescent="0.3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 x14ac:dyDescent="0.3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 x14ac:dyDescent="0.3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 x14ac:dyDescent="0.3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 x14ac:dyDescent="0.3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 x14ac:dyDescent="0.3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 x14ac:dyDescent="0.3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 x14ac:dyDescent="0.3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 x14ac:dyDescent="0.3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 x14ac:dyDescent="0.3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 x14ac:dyDescent="0.3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 x14ac:dyDescent="0.3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 x14ac:dyDescent="0.3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 x14ac:dyDescent="0.3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 x14ac:dyDescent="0.3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 x14ac:dyDescent="0.3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 x14ac:dyDescent="0.3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 x14ac:dyDescent="0.3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 x14ac:dyDescent="0.3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 x14ac:dyDescent="0.3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 x14ac:dyDescent="0.3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 x14ac:dyDescent="0.3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 x14ac:dyDescent="0.3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 x14ac:dyDescent="0.3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 x14ac:dyDescent="0.3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 x14ac:dyDescent="0.3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 x14ac:dyDescent="0.3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 x14ac:dyDescent="0.3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 x14ac:dyDescent="0.3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 x14ac:dyDescent="0.3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 x14ac:dyDescent="0.3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 x14ac:dyDescent="0.3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 x14ac:dyDescent="0.3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 x14ac:dyDescent="0.3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 x14ac:dyDescent="0.3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 x14ac:dyDescent="0.3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 x14ac:dyDescent="0.3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 x14ac:dyDescent="0.3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 x14ac:dyDescent="0.3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 x14ac:dyDescent="0.3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 x14ac:dyDescent="0.3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 x14ac:dyDescent="0.3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 x14ac:dyDescent="0.3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 x14ac:dyDescent="0.3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 x14ac:dyDescent="0.3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 x14ac:dyDescent="0.3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 x14ac:dyDescent="0.3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 x14ac:dyDescent="0.3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 x14ac:dyDescent="0.3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 x14ac:dyDescent="0.3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 x14ac:dyDescent="0.3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 x14ac:dyDescent="0.3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 x14ac:dyDescent="0.3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 x14ac:dyDescent="0.3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 x14ac:dyDescent="0.3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 x14ac:dyDescent="0.3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 x14ac:dyDescent="0.3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 x14ac:dyDescent="0.3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 x14ac:dyDescent="0.3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 x14ac:dyDescent="0.3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 x14ac:dyDescent="0.3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 x14ac:dyDescent="0.3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 x14ac:dyDescent="0.3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 x14ac:dyDescent="0.3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 x14ac:dyDescent="0.3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 x14ac:dyDescent="0.3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 x14ac:dyDescent="0.3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 x14ac:dyDescent="0.3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 x14ac:dyDescent="0.3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 x14ac:dyDescent="0.3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 x14ac:dyDescent="0.3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 x14ac:dyDescent="0.3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 x14ac:dyDescent="0.3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2025-05-15T18:49:43Z</dcterms:modified>
</cp:coreProperties>
</file>