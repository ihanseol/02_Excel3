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79EBE816-E61C-4FBA-AE0B-A51C8DC8BA0B}" xr6:coauthVersionLast="47" xr6:coauthVersionMax="47" xr10:uidLastSave="{00000000-0000-0000-0000-000000000000}"/>
  <bookViews>
    <workbookView xWindow="11745" yWindow="120" windowWidth="26025" windowHeight="2010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ss!$G$69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ss!$G$70</definedName>
    <definedName name="all_in_count">ss!$C$69</definedName>
    <definedName name="all_in_sum">ss!$D$69</definedName>
    <definedName name="all_out_count">ss!$C$70</definedName>
    <definedName name="all_out_sum">ss!$D$70</definedName>
    <definedName name="ii_in_count">ss!$I$69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ss!$I$70</definedName>
    <definedName name="ss_in_count">ss!$E$69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ss!$E$70</definedName>
    <definedName name="SUM_AA" localSheetId="7">#REF!</definedName>
    <definedName name="SUM_AA" localSheetId="8">#REF!</definedName>
    <definedName name="SUM_AA" localSheetId="6">#REF!</definedName>
    <definedName name="SUM_AA_IN">ss!$H$69</definedName>
    <definedName name="SUM_AA_OUT">ss!$H$70</definedName>
    <definedName name="SUM_II" localSheetId="7">#REF!</definedName>
    <definedName name="SUM_II" localSheetId="8">#REF!</definedName>
    <definedName name="SUM_II" localSheetId="6">#REF!</definedName>
    <definedName name="SUM_II_IN">ss!$J$69</definedName>
    <definedName name="SUM_II_OUT">ss!$J$70</definedName>
    <definedName name="SUM_SS" localSheetId="7">#REF!</definedName>
    <definedName name="SUM_SS" localSheetId="8">#REF!</definedName>
    <definedName name="SUM_SS" localSheetId="6">#REF!</definedName>
    <definedName name="SUM_SS_IN">ss!$F$69</definedName>
    <definedName name="SUM_SS_OUT">ss!$F$70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0" l="1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" i="10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2" i="8"/>
  <c r="D33" i="10" l="1"/>
  <c r="C33" i="10"/>
  <c r="D32" i="10"/>
  <c r="C32" i="10"/>
  <c r="H69" i="8" l="1"/>
  <c r="D34" i="10"/>
  <c r="F70" i="8" l="1"/>
  <c r="E70" i="8" s="1"/>
  <c r="F69" i="8"/>
  <c r="J9" i="12"/>
  <c r="E69" i="8" l="1"/>
  <c r="L68" i="8"/>
  <c r="D9" i="11"/>
  <c r="C9" i="11"/>
  <c r="D8" i="11"/>
  <c r="L5" i="11"/>
  <c r="M2" i="11"/>
  <c r="L69" i="8" l="1"/>
  <c r="C8" i="11"/>
  <c r="J70" i="8"/>
  <c r="I70" i="8" s="1"/>
  <c r="J69" i="8"/>
  <c r="I69" i="8" s="1"/>
  <c r="D10" i="11"/>
  <c r="H70" i="8" l="1"/>
  <c r="D70" i="8" l="1"/>
  <c r="G70" i="8"/>
  <c r="C70" i="8" s="1"/>
  <c r="D69" i="8"/>
  <c r="L71" i="8" s="1"/>
  <c r="G69" i="8"/>
  <c r="C69" i="8" s="1"/>
  <c r="L7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J1" authorId="0" shapeId="0" xr:uid="{444CB8BF-FBA6-4137-BD5A-6BD762752B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단축키
</t>
        </r>
        <r>
          <rPr>
            <sz val="9"/>
            <color indexed="81"/>
            <rFont val="Tahoma"/>
            <family val="2"/>
          </rPr>
          <t xml:space="preserve">Ctrl+I --&gt; InsertRow
Ctrl+D --&gt; Default All Operation
-&gt; B : Toggle </t>
        </r>
        <r>
          <rPr>
            <sz val="9"/>
            <color indexed="81"/>
            <rFont val="돋움"/>
            <family val="3"/>
            <charset val="129"/>
          </rPr>
          <t>허가공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 xml:space="preserve">신고공
</t>
        </r>
        <r>
          <rPr>
            <sz val="9"/>
            <color indexed="81"/>
            <rFont val="Tahoma"/>
            <family val="2"/>
          </rPr>
          <t xml:space="preserve">-&gt; C, D : Down Filll
-&gt; K : Select 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선택
</t>
        </r>
        <r>
          <rPr>
            <sz val="9"/>
            <color indexed="81"/>
            <rFont val="Tahoma"/>
            <family val="2"/>
          </rPr>
          <t>-&gt; L(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 xml:space="preserve">,Q)  --&gt; Compute Q
-&gt; M : </t>
        </r>
        <r>
          <rPr>
            <sz val="9"/>
            <color indexed="81"/>
            <rFont val="돋움"/>
            <family val="3"/>
            <charset val="129"/>
          </rPr>
          <t>번지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토글
</t>
        </r>
        <r>
          <rPr>
            <sz val="9"/>
            <color indexed="81"/>
            <rFont val="Tahoma"/>
            <family val="2"/>
          </rPr>
          <t xml:space="preserve">-&gt; N : ss_out, aa_out Generation
       :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반드시</t>
        </r>
        <r>
          <rPr>
            <sz val="9"/>
            <color indexed="81"/>
            <rFont val="Tahoma"/>
            <family val="2"/>
          </rPr>
          <t xml:space="preserve"> Copy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
Ctrl+Q --&gt; SS, AA Toggle Sheet
Ctrl+P --&gt; Print ( ss_out.xlsx, aa_out.xlsx)
Ctrl+R --&gt; SS &lt;-&gt; AA Transfer 
Ctrl+M --&gt; VBGit, Module Print
Ctrl+Shift+I --&gt; Initial Clear
Ctrl+Shift+F --&gt; Finalize
Ctrl+Shift+C --&gt; Copy All Sheet
Ctrl+Shift+D --&gt; Delete All Sheet
Ctrl+Shift+T --&gt; Toggle, Show and Hide hidden Sheet
</t>
        </r>
      </text>
    </comment>
    <comment ref="C69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69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69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69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69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69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69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69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70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70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70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70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70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70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70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70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<sst xmlns="http://schemas.openxmlformats.org/spreadsheetml/2006/main" count="6148" uniqueCount="924">
  <si>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</si>
  <si>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</si>
  <si>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</si>
  <si>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</si>
  <si>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</si>
  <si>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</si>
  <si>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</si>
  <si>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</si>
  <si>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</si>
  <si>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</si>
  <si>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</si>
  <si>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</si>
  <si>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</si>
  <si>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</si>
  <si>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</si>
  <si>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</si>
  <si>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</si>
  <si>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</si>
  <si>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</si>
  <si>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</si>
  <si>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</si>
  <si>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</si>
  <si>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</si>
  <si>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</si>
  <si>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</si>
  <si>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</si>
  <si>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</si>
  <si>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</si>
  <si>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</si>
  <si>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</si>
  <si>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</si>
  <si>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</si>
  <si>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</si>
  <si>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</si>
  <si>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</si>
  <si>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</si>
  <si>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</si>
  <si>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</si>
  <si>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</si>
  <si>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</si>
  <si>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</si>
  <si>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</si>
  <si>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</si>
  <si>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</si>
  <si>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</si>
  <si>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</si>
  <si>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</si>
  <si>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</si>
  <si>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</si>
  <si>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</si>
  <si>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</si>
  <si>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</si>
  <si>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</si>
  <si>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</si>
  <si>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</si>
  <si>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</si>
  <si>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</si>
  <si>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</si>
  <si>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</si>
  <si>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</si>
  <si>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</si>
  <si>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</si>
  <si>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</si>
  <si>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</si>
  <si>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</si>
  <si>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</si>
  <si>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</si>
  <si>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</si>
  <si>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</si>
  <si>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</si>
  <si>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</si>
  <si>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</si>
  <si>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</si>
  <si>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</si>
  <si>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</si>
  <si>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</si>
  <si>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</si>
  <si>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</si>
  <si>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</si>
  <si>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</si>
  <si>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</si>
  <si>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</si>
  <si>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</si>
  <si>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</si>
  <si>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</si>
  <si>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</si>
  <si>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</si>
  <si>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</si>
  <si>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</si>
  <si>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</si>
  <si>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</si>
  <si>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</si>
  <si>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</si>
  <si>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</si>
  <si>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</si>
  <si>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</si>
  <si>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</si>
  <si>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</si>
  <si>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</si>
  <si>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</si>
  <si>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</si>
  <si>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</si>
  <si>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</si>
  <si>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</si>
  <si>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</si>
  <si>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</si>
  <si>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</si>
  <si>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</si>
  <si>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</si>
  <si>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</si>
  <si>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</si>
  <si>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</si>
  <si>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</si>
  <si>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</si>
  <si>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</si>
  <si>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</si>
  <si>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</si>
  <si>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</si>
  <si>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</si>
  <si>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</si>
  <si>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</si>
  <si>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</si>
  <si>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</si>
  <si>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</si>
  <si>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</si>
  <si>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</si>
  <si>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</si>
  <si>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</si>
  <si>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</si>
  <si>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</si>
  <si>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</si>
  <si>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</si>
  <si>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</si>
  <si>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</si>
  <si>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</si>
  <si>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</si>
  <si>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</si>
  <si>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</si>
  <si>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</si>
  <si>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</si>
  <si>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</si>
  <si>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</si>
  <si>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</si>
  <si>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</si>
  <si>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</si>
  <si>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</si>
  <si>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</si>
  <si>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</si>
  <si>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</si>
  <si>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</si>
  <si>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</si>
  <si>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</si>
  <si>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</si>
  <si>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</si>
  <si>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</si>
  <si>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</si>
  <si>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</si>
  <si>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</si>
  <si>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</si>
  <si>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</si>
  <si>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</si>
  <si>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</si>
  <si>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</si>
  <si>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</si>
  <si>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</si>
  <si>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</si>
  <si>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</si>
  <si>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</si>
  <si>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</si>
  <si>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</si>
  <si>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</si>
  <si>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</si>
  <si>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</si>
  <si>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</si>
  <si>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</si>
  <si>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</si>
  <si>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</si>
  <si>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</si>
  <si>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</si>
  <si>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</si>
  <si>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</si>
  <si>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</si>
  <si>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</si>
  <si>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</si>
  <si>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</si>
  <si>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</si>
  <si>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</si>
  <si>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</si>
  <si>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</si>
  <si>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</si>
  <si>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</si>
  <si>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</si>
  <si>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</si>
  <si>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</si>
  <si>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</si>
  <si>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</si>
  <si>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</si>
  <si>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</si>
  <si>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</si>
  <si>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</si>
  <si>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</si>
  <si>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</si>
  <si>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</si>
  <si>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</si>
  <si>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</si>
  <si>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</si>
  <si>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</si>
  <si>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</si>
  <si>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</si>
  <si>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</si>
  <si>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</si>
  <si>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</si>
  <si>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</si>
  <si>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</si>
  <si>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</si>
  <si>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</si>
  <si>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</si>
  <si>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</si>
  <si>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</si>
  <si>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</si>
  <si>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</si>
  <si>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</si>
  <si>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</si>
  <si>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</si>
  <si>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</si>
  <si>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</si>
  <si>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</si>
  <si>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</si>
  <si>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</si>
  <si>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</si>
  <si>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</si>
  <si>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</si>
  <si>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</si>
  <si>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</si>
  <si>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</si>
  <si>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</si>
  <si>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</si>
  <si>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</si>
  <si>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</si>
  <si>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</si>
  <si>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</si>
  <si>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</si>
  <si>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</si>
  <si>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</si>
  <si>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</si>
  <si>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</si>
  <si>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</si>
  <si>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</si>
  <si>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</si>
  <si>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</si>
  <si>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</si>
  <si>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</si>
  <si>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</si>
  <si>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</si>
  <si>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</si>
  <si>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</si>
  <si>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</si>
  <si>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</si>
  <si>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</si>
  <si>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</si>
  <si>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</si>
  <si>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</si>
  <si>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</si>
  <si>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</si>
  <si>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</si>
  <si>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</si>
  <si>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</si>
  <si>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</si>
  <si>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</si>
  <si>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</si>
  <si>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</si>
  <si>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</si>
  <si>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</si>
  <si>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</si>
  <si>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</si>
  <si>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</si>
  <si>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</si>
  <si>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</si>
  <si>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</si>
  <si>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</si>
  <si>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</si>
  <si>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</si>
  <si>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</si>
  <si>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</si>
  <si>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</si>
  <si>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</si>
  <si>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</si>
  <si>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</si>
  <si>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</si>
  <si>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</si>
  <si>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</si>
  <si>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</si>
  <si>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</si>
  <si>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</si>
  <si>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</si>
  <si>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</si>
  <si>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</si>
  <si>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</si>
  <si>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</si>
  <si>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</si>
  <si>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</si>
  <si>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</si>
  <si>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</si>
  <si>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</si>
  <si>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</si>
  <si>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</si>
  <si>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</si>
  <si>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</si>
  <si>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</si>
  <si>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</si>
  <si>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</si>
  <si>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</si>
  <si>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</si>
  <si>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</si>
  <si>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</si>
  <si>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</si>
  <si>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</si>
  <si>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</si>
  <si>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</si>
  <si>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</si>
  <si>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</si>
  <si>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</si>
  <si>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</si>
  <si>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</si>
  <si>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</si>
  <si>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</si>
  <si>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</si>
  <si>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</si>
  <si>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</si>
  <si>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</si>
  <si>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</si>
  <si>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</si>
  <si>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</si>
  <si>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</si>
  <si>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</si>
  <si>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</si>
  <si>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</si>
  <si>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</si>
  <si>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</si>
  <si>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</si>
  <si>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</si>
  <si>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</si>
  <si>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</si>
  <si>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</si>
  <si>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</si>
  <si>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</si>
  <si>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</si>
  <si>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</si>
  <si>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</si>
  <si>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</si>
  <si>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</si>
  <si>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</si>
  <si>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</si>
  <si>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</si>
  <si>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</si>
  <si>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</si>
  <si>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</si>
  <si>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</si>
  <si>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</si>
  <si>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</si>
  <si>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</si>
  <si>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</si>
  <si>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</si>
  <si>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</si>
  <si>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</si>
  <si>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</si>
  <si>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</si>
  <si>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</si>
  <si>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</si>
  <si>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</si>
  <si>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</si>
  <si>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</si>
  <si>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</si>
  <si>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</si>
  <si>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</si>
  <si>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</si>
  <si>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</si>
  <si>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</si>
  <si>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</si>
  <si>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</si>
  <si>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</si>
  <si>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</si>
  <si>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</si>
  <si>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</si>
  <si>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</si>
  <si>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</si>
  <si>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</si>
  <si>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</si>
  <si>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</si>
  <si>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</si>
  <si>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</si>
  <si>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</si>
  <si>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</si>
  <si>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</si>
  <si>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</si>
  <si>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</si>
  <si>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</si>
  <si>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</si>
  <si>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</si>
  <si>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</si>
  <si>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</si>
  <si>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</si>
  <si>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</si>
  <si>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</si>
  <si>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</si>
  <si>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</si>
  <si>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</si>
  <si>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</si>
  <si>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</si>
  <si>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</si>
  <si>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</si>
  <si>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</si>
  <si>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</si>
  <si>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</si>
  <si>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</si>
  <si>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</si>
  <si>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</si>
  <si>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</si>
  <si>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</si>
  <si>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</si>
  <si>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</si>
  <si>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</si>
  <si>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</si>
  <si>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</si>
  <si>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</si>
  <si>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</si>
  <si>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</si>
  <si>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</si>
  <si>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</si>
  <si>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</si>
  <si>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</si>
  <si>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</si>
  <si>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</si>
  <si>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</si>
  <si>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</si>
  <si>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</si>
  <si>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</si>
  <si>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</si>
  <si>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</si>
  <si>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</si>
  <si>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</si>
  <si>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</si>
  <si>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</si>
  <si>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</si>
  <si>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</si>
  <si>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</si>
  <si>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</si>
  <si>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</si>
  <si>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</si>
  <si>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</si>
  <si>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</si>
  <si>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</si>
  <si>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</si>
  <si>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</si>
  <si>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</si>
  <si>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</si>
  <si>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</si>
  <si>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</si>
  <si>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</si>
  <si>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</si>
  <si>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</si>
  <si>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</si>
  <si>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</si>
  <si>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</si>
  <si>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</si>
  <si>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</si>
  <si>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</si>
  <si>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</si>
  <si>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</si>
  <si>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</si>
  <si>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</si>
  <si>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</si>
  <si>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</si>
  <si>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</si>
  <si>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</si>
  <si>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</si>
  <si>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</si>
  <si>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</si>
  <si>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</si>
  <si>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</si>
  <si>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</si>
  <si>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</si>
  <si>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</si>
  <si>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</si>
  <si>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</si>
  <si>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</si>
  <si>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</si>
  <si>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</si>
  <si>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</si>
  <si>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</si>
  <si>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</si>
  <si>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</si>
  <si>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</si>
  <si>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</si>
  <si>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</si>
  <si>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</si>
  <si>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</si>
  <si>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</si>
  <si>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</si>
  <si>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</si>
  <si>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</si>
  <si>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</si>
  <si>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</si>
  <si>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</si>
  <si>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</si>
  <si>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</si>
  <si>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</si>
  <si>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</si>
  <si>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</si>
  <si>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</si>
  <si>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</si>
  <si>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</si>
  <si>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</si>
  <si>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</si>
  <si>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</si>
  <si>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</si>
  <si>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</si>
  <si>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</si>
  <si>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</si>
  <si>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</si>
  <si>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</si>
  <si>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</si>
  <si>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</si>
  <si>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</si>
  <si>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</si>
  <si>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</si>
  <si>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</si>
  <si>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</si>
  <si>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</si>
  <si>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</si>
  <si>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</si>
  <si>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</si>
  <si>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</si>
  <si>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</si>
  <si>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</si>
  <si>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</si>
  <si>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</si>
  <si>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</si>
  <si>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</si>
  <si>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</si>
  <si>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</si>
  <si>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</si>
  <si>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</si>
  <si>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</si>
  <si>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</si>
  <si>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</si>
  <si>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</si>
  <si>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</si>
  <si>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</si>
  <si>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</si>
  <si>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</si>
  <si>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</si>
  <si>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</si>
  <si>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</si>
  <si>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</si>
  <si>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</si>
  <si>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</si>
  <si>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</si>
  <si>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</si>
  <si>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</si>
  <si>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</si>
  <si>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</si>
  <si>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</si>
  <si>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</si>
  <si>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</si>
  <si>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</si>
  <si>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</si>
  <si>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</si>
  <si>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</si>
  <si>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</si>
  <si>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</si>
  <si>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</si>
  <si>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</si>
  <si>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</si>
  <si>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</si>
  <si>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</si>
  <si>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</si>
  <si>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</si>
  <si>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</si>
  <si>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</si>
  <si>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</si>
  <si>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</si>
  <si>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</si>
  <si>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</si>
  <si>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</si>
  <si>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</si>
  <si>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</si>
  <si>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</si>
  <si>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</si>
  <si>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</si>
  <si>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</si>
  <si>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</si>
  <si>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</si>
  <si>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</si>
  <si>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</si>
  <si>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</si>
  <si>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</si>
  <si>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</si>
  <si>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</si>
  <si>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</si>
  <si>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</si>
  <si>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</si>
  <si>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</si>
  <si>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</si>
  <si>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</si>
  <si>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</si>
  <si>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</si>
  <si>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</si>
  <si>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</si>
  <si>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</si>
  <si>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</si>
  <si>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</si>
  <si>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</si>
  <si>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</si>
  <si>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</si>
  <si>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</si>
  <si>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</si>
  <si>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</si>
  <si>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</si>
  <si>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</si>
  <si>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</si>
  <si>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</si>
  <si>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</si>
  <si>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</si>
  <si>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</si>
  <si>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</si>
  <si>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</si>
  <si>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</si>
  <si>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</si>
  <si>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</si>
  <si>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</si>
  <si>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</si>
  <si>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</si>
  <si>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</si>
  <si>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</si>
  <si>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</si>
  <si>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</si>
  <si>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</si>
  <si>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</si>
  <si>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</si>
  <si>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</si>
  <si>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</si>
  <si>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</si>
  <si>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</si>
  <si>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</si>
  <si>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</si>
  <si>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</si>
  <si>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</si>
  <si>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</si>
  <si>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</si>
  <si>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</si>
  <si>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</si>
  <si>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</si>
  <si>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</si>
  <si>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</si>
  <si>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</si>
  <si>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</si>
  <si>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</si>
  <si>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</si>
  <si>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</si>
  <si>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</si>
  <si>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</si>
  <si>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</si>
  <si>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</si>
  <si>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</si>
  <si>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</si>
  <si>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</si>
  <si>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</si>
  <si>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</si>
  <si>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</si>
  <si>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</si>
  <si>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</si>
  <si>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</si>
  <si>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</si>
  <si>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</si>
  <si>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</si>
  <si>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</si>
  <si>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</si>
  <si>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</si>
  <si>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</si>
  <si>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</si>
  <si>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</si>
  <si>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</si>
  <si>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</si>
  <si>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</si>
  <si>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</si>
  <si>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</si>
  <si>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</si>
  <si>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</si>
  <si>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</si>
  <si>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</si>
  <si>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</si>
  <si>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</si>
  <si>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</si>
  <si>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</si>
  <si>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</si>
  <si>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</si>
  <si>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</si>
  <si>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</si>
  <si>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</si>
  <si>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</si>
  <si>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</si>
  <si>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</si>
  <si>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</si>
  <si>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</si>
  <si>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</si>
  <si>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</si>
  <si>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</si>
  <si>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</si>
  <si>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</si>
  <si>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</si>
  <si>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</si>
  <si>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</si>
  <si>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</si>
  <si>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</si>
  <si>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</si>
  <si>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</si>
  <si>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</si>
  <si>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</si>
  <si>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</si>
  <si>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</si>
  <si>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</si>
  <si>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</si>
  <si>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</si>
  <si>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</si>
  <si>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</si>
  <si>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</si>
  <si>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</si>
  <si>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</si>
  <si>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</si>
  <si>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</si>
  <si>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</si>
  <si>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</si>
  <si>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</si>
  <si>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</si>
  <si>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</si>
  <si>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</si>
  <si>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</si>
  <si>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</si>
  <si>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</si>
  <si>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</si>
  <si>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</si>
  <si>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</si>
  <si>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</si>
  <si>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</si>
  <si>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</si>
  <si>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</si>
  <si>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</si>
  <si>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</si>
  <si>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</si>
  <si>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</si>
  <si>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</si>
  <si>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</si>
  <si>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</si>
  <si>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</si>
  <si>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</si>
  <si>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</si>
  <si>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</si>
  <si>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</si>
  <si>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</si>
  <si>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</si>
  <si>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</si>
  <si>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</si>
  <si>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</si>
  <si>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</si>
  <si>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</si>
  <si>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</si>
  <si>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</si>
  <si>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</si>
  <si>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</si>
  <si>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</si>
  <si>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</si>
  <si>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</si>
  <si>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</si>
  <si>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</si>
  <si>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</si>
  <si>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</si>
  <si>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</si>
  <si>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</si>
  <si>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</si>
  <si>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</si>
  <si>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</si>
  <si>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</si>
  <si>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</si>
  <si>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</si>
  <si>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</si>
  <si>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</si>
  <si>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</si>
  <si>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</si>
  <si>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</si>
  <si>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</si>
  <si>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</si>
  <si>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</si>
  <si>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</si>
  <si>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</si>
  <si>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</si>
  <si>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</si>
  <si>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</si>
  <si>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</si>
  <si>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</si>
  <si>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</si>
  <si>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</si>
  <si>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</si>
  <si>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</si>
  <si>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</si>
  <si>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</si>
  <si>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</si>
  <si>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</si>
  <si>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</si>
  <si>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</si>
  <si>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</si>
  <si>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</si>
  <si>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</si>
  <si>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</si>
  <si>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</si>
  <si>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</si>
  <si>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</si>
  <si>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</si>
  <si>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</si>
  <si>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</si>
  <si>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</si>
  <si>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</si>
  <si>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</si>
  <si>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</si>
  <si>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</si>
  <si>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</si>
  <si>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</si>
  <si>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</si>
  <si>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</si>
  <si>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</si>
  <si>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</si>
  <si>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</si>
  <si>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</si>
  <si>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</si>
  <si>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</si>
  <si>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</si>
  <si>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</si>
  <si>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</si>
  <si>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</si>
  <si>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</si>
  <si>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</si>
  <si>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</si>
  <si>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</si>
  <si>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</si>
  <si>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</si>
  <si>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</si>
  <si>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</si>
  <si>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</si>
  <si>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</si>
  <si>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</si>
  <si>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</si>
  <si>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</si>
  <si>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</si>
  <si>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</si>
  <si>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</si>
  <si>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</si>
  <si>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</si>
  <si>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</si>
  <si>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</si>
  <si>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</si>
  <si>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</si>
  <si>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</si>
  <si>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</si>
  <si>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</si>
  <si>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</si>
  <si>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</si>
  <si>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</si>
  <si>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</si>
  <si>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</si>
  <si>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</si>
  <si>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</si>
  <si>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</si>
  <si>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</si>
  <si>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</si>
  <si>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</si>
  <si>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</si>
  <si>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</si>
  <si>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</si>
  <si>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</si>
  <si>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</si>
  <si>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</si>
  <si>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</si>
  <si>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</si>
  <si>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</si>
  <si>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</si>
  <si>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</si>
  <si>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</si>
  <si>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</si>
  <si>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</si>
  <si>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</si>
  <si>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</si>
  <si>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</si>
  <si>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</si>
  <si>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</si>
  <si>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</si>
  <si>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</si>
  <si>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</si>
  <si>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</si>
  <si>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</si>
  <si>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</si>
  <si>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</si>
  <si>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</si>
  <si>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</si>
  <si>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</si>
  <si>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</si>
  <si>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</si>
  <si>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</si>
  <si>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</si>
  <si>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</si>
  <si>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</si>
  <si>
    <t>a21</t>
  </si>
  <si>
    <t>a22</t>
  </si>
  <si>
    <t>a23</t>
  </si>
  <si>
    <t>a24</t>
  </si>
  <si>
    <t>a25</t>
  </si>
  <si>
    <t>A-21</t>
  </si>
  <si>
    <t>A-22</t>
  </si>
  <si>
    <t>A-23</t>
  </si>
  <si>
    <t>A-24</t>
  </si>
  <si>
    <t>A-25</t>
  </si>
  <si>
    <t>a26</t>
  </si>
  <si>
    <t>a27</t>
  </si>
  <si>
    <t>A-26</t>
  </si>
  <si>
    <t>A-27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</si>
</sst>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b/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8" fillId="34" borderId="25" xfId="0" applyNumberFormat="1" applyFont="1" applyFill="1" applyBorder="1" applyAlignment="1">
      <alignment horizontal="center" vertical="center"/>
    </xf>
    <xf numFmtId="176" fontId="28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8" fillId="34" borderId="25" xfId="0" applyFont="1" applyFill="1" applyBorder="1" applyAlignment="1">
      <alignment horizontal="center" vertical="center"/>
    </xf>
    <xf numFmtId="0" fontId="28" fillId="34" borderId="25" xfId="0" applyFont="1" applyFill="1" applyBorder="1" applyAlignment="1">
      <alignment horizontal="center" vertical="center" wrapText="1"/>
    </xf>
    <xf numFmtId="49" fontId="28" fillId="34" borderId="25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34" borderId="14" xfId="0" applyFont="1" applyFill="1" applyBorder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33" borderId="11" xfId="0" applyFont="1" applyFill="1" applyBorder="1" applyAlignment="1">
      <alignment horizontal="center" vertical="center"/>
    </xf>
    <xf numFmtId="0" fontId="33" fillId="33" borderId="13" xfId="0" applyFont="1" applyFill="1" applyBorder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>
      <c r="B1" s="27" t="s">
        <v>217</v>
      </c>
    </row>
    <row r="2" spans="1:16" ht="34.5" customHeight="1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>
      <c r="B1" s="27" t="s">
        <v>216</v>
      </c>
      <c r="C1" s="27"/>
    </row>
    <row r="2" spans="2:14" ht="34.5" customHeight="1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8"/>
  <sheetViews>
    <sheetView tabSelected="1" workbookViewId="0">
      <selection activeCell="H15" sqref="H15"/>
    </sheetView>
  </sheetViews>
  <sheetFormatPr defaultColWidth="9" defaultRowHeight="21.75" customHeight="1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0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1" t="s">
        <v>3</v>
      </c>
      <c r="B1" s="32" t="s">
        <v>0</v>
      </c>
      <c r="C1" s="32" t="s">
        <v>7</v>
      </c>
      <c r="D1" s="32" t="s">
        <v>6</v>
      </c>
      <c r="E1" s="32" t="s">
        <v>6</v>
      </c>
      <c r="F1" s="32" t="s">
        <v>250</v>
      </c>
      <c r="G1" s="32" t="s">
        <v>249</v>
      </c>
      <c r="H1" s="32" t="s">
        <v>251</v>
      </c>
      <c r="I1" s="32" t="s">
        <v>8</v>
      </c>
      <c r="J1" s="32" t="s">
        <v>192</v>
      </c>
      <c r="K1" s="31" t="s">
        <v>16</v>
      </c>
      <c r="L1" s="32" t="s">
        <v>5</v>
      </c>
      <c r="M1" s="33"/>
      <c r="N1" s="31" t="s">
        <v>12</v>
      </c>
      <c r="O1" s="31" t="s">
        <v>13</v>
      </c>
      <c r="P1" s="31" t="s">
        <v>14</v>
      </c>
      <c r="Q1" s="31" t="s">
        <v>15</v>
      </c>
      <c r="R1" s="31" t="s">
        <v>16</v>
      </c>
      <c r="S1" s="31" t="s">
        <v>10</v>
      </c>
    </row>
    <row r="2" spans="1:19" ht="21.75" customHeight="1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64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0">
        <v>25</v>
      </c>
      <c r="J17" s="40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666</v>
      </c>
      <c r="D18" s="2" t="s">
        <v>668</v>
      </c>
      <c r="E18" s="38" t="s">
        <v>702</v>
      </c>
      <c r="F18" s="39">
        <v>20</v>
      </c>
      <c r="G18" s="39">
        <v>50</v>
      </c>
      <c r="H18" s="39">
        <v>0.3</v>
      </c>
      <c r="I18" s="39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39">
        <v>20</v>
      </c>
      <c r="O18" s="39">
        <v>50</v>
      </c>
      <c r="P18" s="39">
        <v>0.3</v>
      </c>
      <c r="Q18" s="2">
        <v>0.68</v>
      </c>
      <c r="R18" s="2" t="s">
        <v>146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0">
        <v>25</v>
      </c>
      <c r="J19" s="40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849</v>
      </c>
    </row>
    <row r="20" spans="1:19" ht="21.75" customHeight="1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849</v>
      </c>
    </row>
    <row r="21" spans="1:19" ht="21.75" customHeight="1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849</v>
      </c>
    </row>
    <row r="22" spans="1:19" ht="21.75" customHeight="1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849</v>
      </c>
    </row>
    <row r="23" spans="1:19" ht="21.75" customHeight="1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si="0"/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849</v>
      </c>
    </row>
    <row r="24" spans="1:19" ht="21.75" customHeight="1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2" t="str">
        <f t="shared" si="0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0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849</v>
      </c>
    </row>
    <row r="26" spans="1:19" ht="21.75" customHeight="1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0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0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0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0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0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0"/>
        <v>합곡리 341</v>
      </c>
      <c r="N31" s="2">
        <v>30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0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si="0"/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0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>
      <c r="A35" s="2" t="s">
        <v>850</v>
      </c>
      <c r="B35" s="1" t="s">
        <v>22</v>
      </c>
      <c r="C35" s="2" t="s">
        <v>666</v>
      </c>
      <c r="D35" s="2" t="s">
        <v>668</v>
      </c>
      <c r="E35" s="3" t="s">
        <v>682</v>
      </c>
      <c r="F35" s="2">
        <v>20</v>
      </c>
      <c r="G35" s="2">
        <v>50</v>
      </c>
      <c r="H35" s="2">
        <v>0.5</v>
      </c>
      <c r="I35" s="2">
        <v>30</v>
      </c>
      <c r="J35" s="2">
        <v>16</v>
      </c>
      <c r="K35" s="2" t="s">
        <v>146</v>
      </c>
      <c r="L35" s="6">
        <v>0.68</v>
      </c>
      <c r="M35" s="2" t="str">
        <f t="shared" si="0"/>
        <v>합곡리 281-3</v>
      </c>
      <c r="N35" s="2">
        <v>20</v>
      </c>
      <c r="O35" s="2">
        <v>50</v>
      </c>
      <c r="P35" s="2">
        <v>0.5</v>
      </c>
      <c r="Q35" s="2">
        <v>0.68</v>
      </c>
      <c r="R35" s="2" t="s">
        <v>146</v>
      </c>
      <c r="S35" s="2" t="s">
        <v>11</v>
      </c>
    </row>
    <row r="36" spans="1:19" ht="21.75" customHeight="1">
      <c r="A36" s="2" t="s">
        <v>851</v>
      </c>
      <c r="B36" s="1" t="s">
        <v>22</v>
      </c>
      <c r="C36" s="2" t="s">
        <v>666</v>
      </c>
      <c r="D36" s="2" t="s">
        <v>668</v>
      </c>
      <c r="E36" s="3" t="s">
        <v>683</v>
      </c>
      <c r="F36" s="2">
        <v>20</v>
      </c>
      <c r="G36" s="2">
        <v>50</v>
      </c>
      <c r="H36" s="2">
        <v>0.5</v>
      </c>
      <c r="I36" s="2">
        <v>25</v>
      </c>
      <c r="J36" s="2">
        <v>16</v>
      </c>
      <c r="K36" s="2" t="s">
        <v>146</v>
      </c>
      <c r="L36" s="6">
        <v>0.68</v>
      </c>
      <c r="M36" s="2" t="str">
        <f t="shared" si="0"/>
        <v>합곡리 261-3</v>
      </c>
      <c r="N36" s="2">
        <v>20</v>
      </c>
      <c r="O36" s="2">
        <v>50</v>
      </c>
      <c r="P36" s="2">
        <v>0.5</v>
      </c>
      <c r="Q36" s="2">
        <v>0.68</v>
      </c>
      <c r="R36" s="2" t="s">
        <v>146</v>
      </c>
      <c r="S36" s="2" t="s">
        <v>11</v>
      </c>
    </row>
    <row r="37" spans="1:19" ht="21.75" customHeight="1">
      <c r="A37" s="2" t="s">
        <v>852</v>
      </c>
      <c r="B37" s="1" t="s">
        <v>22</v>
      </c>
      <c r="C37" s="2" t="s">
        <v>666</v>
      </c>
      <c r="D37" s="2" t="s">
        <v>668</v>
      </c>
      <c r="E37" s="3" t="s">
        <v>684</v>
      </c>
      <c r="F37" s="2">
        <v>20</v>
      </c>
      <c r="G37" s="2">
        <v>50</v>
      </c>
      <c r="H37" s="2">
        <v>0.3</v>
      </c>
      <c r="I37" s="2">
        <v>25</v>
      </c>
      <c r="J37" s="2">
        <v>16</v>
      </c>
      <c r="K37" s="2" t="s">
        <v>146</v>
      </c>
      <c r="L37" s="6">
        <v>0.68</v>
      </c>
      <c r="M37" s="2" t="str">
        <f t="shared" si="0"/>
        <v>합곡리 282-12</v>
      </c>
      <c r="N37" s="2">
        <v>20</v>
      </c>
      <c r="O37" s="2">
        <v>50</v>
      </c>
      <c r="P37" s="2">
        <v>0.3</v>
      </c>
      <c r="Q37" s="2">
        <v>0.68</v>
      </c>
      <c r="R37" s="2" t="s">
        <v>146</v>
      </c>
      <c r="S37" s="2" t="s">
        <v>11</v>
      </c>
    </row>
    <row r="38" spans="1:19" ht="21.75" customHeight="1">
      <c r="A38" s="2" t="s">
        <v>853</v>
      </c>
      <c r="B38" s="1" t="s">
        <v>22</v>
      </c>
      <c r="C38" s="2" t="s">
        <v>666</v>
      </c>
      <c r="D38" s="2" t="s">
        <v>668</v>
      </c>
      <c r="E38" s="3" t="s">
        <v>697</v>
      </c>
      <c r="F38" s="2">
        <v>20</v>
      </c>
      <c r="G38" s="2">
        <v>50</v>
      </c>
      <c r="H38" s="2">
        <v>0.3</v>
      </c>
      <c r="I38" s="2">
        <v>30</v>
      </c>
      <c r="J38" s="2">
        <v>16</v>
      </c>
      <c r="K38" s="2" t="s">
        <v>146</v>
      </c>
      <c r="L38" s="6">
        <v>0.68</v>
      </c>
      <c r="M38" s="2" t="str">
        <f t="shared" si="0"/>
        <v>합곡리 286-1</v>
      </c>
      <c r="N38" s="2">
        <v>20</v>
      </c>
      <c r="O38" s="2">
        <v>50</v>
      </c>
      <c r="P38" s="2">
        <v>0.3</v>
      </c>
      <c r="Q38" s="2">
        <v>0.68</v>
      </c>
      <c r="R38" s="2" t="s">
        <v>146</v>
      </c>
      <c r="S38" s="2" t="s">
        <v>11</v>
      </c>
    </row>
    <row r="39" spans="1:19" ht="21.75" customHeight="1">
      <c r="A39" s="2" t="s">
        <v>854</v>
      </c>
      <c r="B39" s="1" t="s">
        <v>22</v>
      </c>
      <c r="C39" s="2" t="s">
        <v>666</v>
      </c>
      <c r="D39" s="2" t="s">
        <v>668</v>
      </c>
      <c r="E39" s="3" t="s">
        <v>698</v>
      </c>
      <c r="F39" s="2">
        <v>15</v>
      </c>
      <c r="G39" s="2">
        <v>50</v>
      </c>
      <c r="H39" s="2">
        <v>0.3</v>
      </c>
      <c r="I39" s="2">
        <v>30</v>
      </c>
      <c r="J39" s="2">
        <v>16</v>
      </c>
      <c r="K39" s="2" t="s">
        <v>146</v>
      </c>
      <c r="L39" s="6">
        <v>0.68</v>
      </c>
      <c r="M39" s="2" t="str">
        <f t="shared" si="0"/>
        <v>합곡리 301</v>
      </c>
      <c r="N39" s="2">
        <v>15</v>
      </c>
      <c r="O39" s="2">
        <v>50</v>
      </c>
      <c r="P39" s="2">
        <v>0.3</v>
      </c>
      <c r="Q39" s="2">
        <v>0.68</v>
      </c>
      <c r="R39" s="2" t="s">
        <v>146</v>
      </c>
      <c r="S39" s="2" t="s">
        <v>11</v>
      </c>
    </row>
    <row r="40" spans="1:19" ht="21.75" customHeight="1">
      <c r="A40" s="2" t="s">
        <v>855</v>
      </c>
      <c r="B40" s="1" t="s">
        <v>22</v>
      </c>
      <c r="C40" s="2" t="s">
        <v>666</v>
      </c>
      <c r="D40" s="2" t="s">
        <v>668</v>
      </c>
      <c r="E40" s="3" t="s">
        <v>699</v>
      </c>
      <c r="F40" s="2">
        <v>20</v>
      </c>
      <c r="G40" s="2">
        <v>50</v>
      </c>
      <c r="H40" s="2">
        <v>0.3</v>
      </c>
      <c r="I40" s="2">
        <v>30</v>
      </c>
      <c r="J40" s="2">
        <v>16</v>
      </c>
      <c r="K40" s="2" t="s">
        <v>146</v>
      </c>
      <c r="L40" s="6">
        <v>0.68</v>
      </c>
      <c r="M40" s="2" t="str">
        <f t="shared" si="0"/>
        <v>합곡리 295</v>
      </c>
      <c r="N40" s="2">
        <v>20</v>
      </c>
      <c r="O40" s="2">
        <v>50</v>
      </c>
      <c r="P40" s="2">
        <v>0.3</v>
      </c>
      <c r="Q40" s="2">
        <v>0.68</v>
      </c>
      <c r="R40" s="2" t="s">
        <v>146</v>
      </c>
      <c r="S40" s="2" t="s">
        <v>11</v>
      </c>
    </row>
    <row r="41" spans="1:19" ht="21.75" customHeight="1">
      <c r="A41" s="2" t="s">
        <v>856</v>
      </c>
      <c r="B41" s="1" t="s">
        <v>22</v>
      </c>
      <c r="C41" s="2" t="s">
        <v>666</v>
      </c>
      <c r="D41" s="2" t="s">
        <v>668</v>
      </c>
      <c r="E41" s="3" t="s">
        <v>700</v>
      </c>
      <c r="F41" s="2">
        <v>16</v>
      </c>
      <c r="G41" s="2">
        <v>50</v>
      </c>
      <c r="H41" s="2">
        <v>0.3</v>
      </c>
      <c r="I41" s="40">
        <v>25</v>
      </c>
      <c r="J41" s="40">
        <v>16</v>
      </c>
      <c r="K41" s="2" t="s">
        <v>146</v>
      </c>
      <c r="L41" s="6">
        <v>0.68</v>
      </c>
      <c r="M41" s="2" t="str">
        <f t="shared" si="0"/>
        <v>합곡리 294</v>
      </c>
      <c r="N41" s="2">
        <v>16</v>
      </c>
      <c r="O41" s="2">
        <v>50</v>
      </c>
      <c r="P41" s="2">
        <v>0.3</v>
      </c>
      <c r="Q41" s="2">
        <v>0.68</v>
      </c>
      <c r="R41" s="2" t="s">
        <v>146</v>
      </c>
      <c r="S41" s="2" t="s">
        <v>11</v>
      </c>
    </row>
    <row r="42" spans="1:19" ht="21.75" customHeight="1">
      <c r="A42" s="2" t="s">
        <v>857</v>
      </c>
      <c r="B42" s="1" t="s">
        <v>22</v>
      </c>
      <c r="C42" s="2" t="s">
        <v>666</v>
      </c>
      <c r="D42" s="2" t="s">
        <v>668</v>
      </c>
      <c r="E42" s="38" t="s">
        <v>702</v>
      </c>
      <c r="F42" s="39">
        <v>20</v>
      </c>
      <c r="G42" s="39">
        <v>50</v>
      </c>
      <c r="H42" s="39">
        <v>0.3</v>
      </c>
      <c r="I42" s="39">
        <v>30</v>
      </c>
      <c r="J42" s="2">
        <v>16</v>
      </c>
      <c r="K42" s="2" t="s">
        <v>146</v>
      </c>
      <c r="L42" s="6">
        <v>0.68</v>
      </c>
      <c r="M42" s="2" t="str">
        <f t="shared" si="0"/>
        <v>합곡리 311-5</v>
      </c>
      <c r="N42" s="39">
        <v>20</v>
      </c>
      <c r="O42" s="39">
        <v>50</v>
      </c>
      <c r="P42" s="39">
        <v>0.3</v>
      </c>
      <c r="Q42" s="2">
        <v>0.68</v>
      </c>
      <c r="R42" s="2" t="s">
        <v>146</v>
      </c>
      <c r="S42" s="2" t="s">
        <v>11</v>
      </c>
    </row>
    <row r="43" spans="1:19" ht="21.75" customHeight="1">
      <c r="A43" s="2" t="s">
        <v>858</v>
      </c>
      <c r="B43" s="1" t="s">
        <v>22</v>
      </c>
      <c r="C43" s="2" t="s">
        <v>666</v>
      </c>
      <c r="D43" s="2" t="s">
        <v>668</v>
      </c>
      <c r="E43" s="3" t="s">
        <v>703</v>
      </c>
      <c r="F43" s="2">
        <v>20</v>
      </c>
      <c r="G43" s="2">
        <v>50</v>
      </c>
      <c r="H43" s="2">
        <v>0.3</v>
      </c>
      <c r="I43" s="40">
        <v>25</v>
      </c>
      <c r="J43" s="40">
        <v>16</v>
      </c>
      <c r="K43" s="2" t="s">
        <v>146</v>
      </c>
      <c r="L43" s="6">
        <v>0.68</v>
      </c>
      <c r="M43" s="2" t="str">
        <f t="shared" si="0"/>
        <v>합곡리 311-4</v>
      </c>
      <c r="N43" s="2">
        <v>20</v>
      </c>
      <c r="O43" s="2">
        <v>50</v>
      </c>
      <c r="P43" s="2">
        <v>0.3</v>
      </c>
      <c r="Q43" s="2">
        <v>0.68</v>
      </c>
      <c r="R43" s="2" t="s">
        <v>146</v>
      </c>
      <c r="S43" s="2" t="s">
        <v>11</v>
      </c>
    </row>
    <row r="44" spans="1:19" ht="21.75" customHeight="1">
      <c r="A44" s="2" t="s">
        <v>859</v>
      </c>
      <c r="B44" s="1" t="s">
        <v>22</v>
      </c>
      <c r="C44" s="2" t="s">
        <v>666</v>
      </c>
      <c r="D44" s="2" t="s">
        <v>668</v>
      </c>
      <c r="E44" s="3" t="s">
        <v>704</v>
      </c>
      <c r="F44" s="2">
        <v>20</v>
      </c>
      <c r="G44" s="2">
        <v>50</v>
      </c>
      <c r="H44" s="2">
        <v>0.3</v>
      </c>
      <c r="I44" s="2">
        <v>25</v>
      </c>
      <c r="J44" s="2">
        <v>16</v>
      </c>
      <c r="K44" s="2" t="s">
        <v>146</v>
      </c>
      <c r="L44" s="6">
        <v>0.68</v>
      </c>
      <c r="M44" s="2" t="str">
        <f t="shared" si="0"/>
        <v>합곡리 306-14</v>
      </c>
      <c r="N44" s="2">
        <v>20</v>
      </c>
      <c r="O44" s="2">
        <v>50</v>
      </c>
      <c r="P44" s="2">
        <v>0.3</v>
      </c>
      <c r="Q44" s="2">
        <v>0.68</v>
      </c>
      <c r="R44" s="2" t="s">
        <v>146</v>
      </c>
      <c r="S44" s="2" t="s">
        <v>11</v>
      </c>
    </row>
    <row r="45" spans="1:19" ht="21.75" customHeight="1">
      <c r="A45" s="2" t="s">
        <v>860</v>
      </c>
      <c r="B45" s="1" t="s">
        <v>22</v>
      </c>
      <c r="C45" s="2" t="s">
        <v>666</v>
      </c>
      <c r="D45" s="2" t="s">
        <v>668</v>
      </c>
      <c r="E45" s="3" t="s">
        <v>705</v>
      </c>
      <c r="F45" s="2">
        <v>10</v>
      </c>
      <c r="G45" s="2">
        <v>50</v>
      </c>
      <c r="H45" s="2">
        <v>0.3</v>
      </c>
      <c r="I45" s="2">
        <v>30</v>
      </c>
      <c r="J45" s="2">
        <v>16</v>
      </c>
      <c r="K45" s="2" t="s">
        <v>146</v>
      </c>
      <c r="L45" s="6">
        <v>0.68</v>
      </c>
      <c r="M45" s="2" t="str">
        <f t="shared" si="0"/>
        <v>합곡리 298-3</v>
      </c>
      <c r="N45" s="2">
        <v>10</v>
      </c>
      <c r="O45" s="2">
        <v>50</v>
      </c>
      <c r="P45" s="2">
        <v>0.3</v>
      </c>
      <c r="Q45" s="2">
        <v>0.68</v>
      </c>
      <c r="R45" s="2" t="s">
        <v>146</v>
      </c>
      <c r="S45" s="2" t="s">
        <v>11</v>
      </c>
    </row>
    <row r="46" spans="1:19" ht="21.75" customHeight="1">
      <c r="A46" s="2" t="s">
        <v>861</v>
      </c>
      <c r="B46" s="1" t="s">
        <v>22</v>
      </c>
      <c r="C46" s="2" t="s">
        <v>666</v>
      </c>
      <c r="D46" s="2" t="s">
        <v>668</v>
      </c>
      <c r="E46" s="3" t="s">
        <v>706</v>
      </c>
      <c r="F46" s="2">
        <v>30</v>
      </c>
      <c r="G46" s="2">
        <v>50</v>
      </c>
      <c r="H46" s="2">
        <v>0.5</v>
      </c>
      <c r="I46" s="2">
        <v>30</v>
      </c>
      <c r="J46" s="2">
        <v>16</v>
      </c>
      <c r="K46" s="2" t="s">
        <v>146</v>
      </c>
      <c r="L46" s="6">
        <v>0.68</v>
      </c>
      <c r="M46" s="2" t="str">
        <f t="shared" si="0"/>
        <v>합곡리 298-2</v>
      </c>
      <c r="N46" s="2">
        <v>30</v>
      </c>
      <c r="O46" s="2">
        <v>50</v>
      </c>
      <c r="P46" s="2">
        <v>0.5</v>
      </c>
      <c r="Q46" s="2">
        <v>0.68</v>
      </c>
      <c r="R46" s="2" t="s">
        <v>146</v>
      </c>
      <c r="S46" s="2" t="s">
        <v>11</v>
      </c>
    </row>
    <row r="47" spans="1:19" ht="21.75" customHeight="1">
      <c r="A47" s="2" t="s">
        <v>862</v>
      </c>
      <c r="B47" s="1" t="s">
        <v>22</v>
      </c>
      <c r="C47" s="2" t="s">
        <v>666</v>
      </c>
      <c r="D47" s="2" t="s">
        <v>668</v>
      </c>
      <c r="E47" s="3" t="s">
        <v>707</v>
      </c>
      <c r="F47" s="2">
        <v>20</v>
      </c>
      <c r="G47" s="2">
        <v>50</v>
      </c>
      <c r="H47" s="2">
        <v>0.5</v>
      </c>
      <c r="I47" s="2">
        <v>30</v>
      </c>
      <c r="J47" s="2">
        <v>16</v>
      </c>
      <c r="K47" s="2" t="s">
        <v>146</v>
      </c>
      <c r="L47" s="6">
        <v>0.68</v>
      </c>
      <c r="M47" s="2" t="str">
        <f t="shared" si="0"/>
        <v>합곡리 298-1</v>
      </c>
      <c r="N47" s="2">
        <v>20</v>
      </c>
      <c r="O47" s="2">
        <v>50</v>
      </c>
      <c r="P47" s="2">
        <v>0.5</v>
      </c>
      <c r="Q47" s="2">
        <v>0.68</v>
      </c>
      <c r="R47" s="2" t="s">
        <v>146</v>
      </c>
      <c r="S47" s="2" t="s">
        <v>11</v>
      </c>
    </row>
    <row r="48" spans="1:19" ht="21.75" customHeight="1">
      <c r="A48" s="2" t="s">
        <v>863</v>
      </c>
      <c r="B48" s="1" t="s">
        <v>22</v>
      </c>
      <c r="C48" s="2" t="s">
        <v>666</v>
      </c>
      <c r="D48" s="2" t="s">
        <v>668</v>
      </c>
      <c r="E48" s="3" t="s">
        <v>708</v>
      </c>
      <c r="F48" s="2">
        <v>15</v>
      </c>
      <c r="G48" s="2">
        <v>50</v>
      </c>
      <c r="H48" s="2">
        <v>0.3</v>
      </c>
      <c r="I48" s="2">
        <v>30</v>
      </c>
      <c r="J48" s="2">
        <v>16</v>
      </c>
      <c r="K48" s="2" t="s">
        <v>146</v>
      </c>
      <c r="L48" s="6">
        <v>0.68</v>
      </c>
      <c r="M48" s="2" t="str">
        <f t="shared" si="0"/>
        <v>합곡리 308</v>
      </c>
      <c r="N48" s="2">
        <v>15</v>
      </c>
      <c r="O48" s="2">
        <v>50</v>
      </c>
      <c r="P48" s="2">
        <v>0.3</v>
      </c>
      <c r="Q48" s="2">
        <v>0.68</v>
      </c>
      <c r="R48" s="2" t="s">
        <v>146</v>
      </c>
      <c r="S48" s="2" t="s">
        <v>11</v>
      </c>
    </row>
    <row r="49" spans="1:19" ht="21.75" customHeight="1">
      <c r="A49" s="2" t="s">
        <v>864</v>
      </c>
      <c r="B49" s="1" t="s">
        <v>22</v>
      </c>
      <c r="C49" s="2" t="s">
        <v>666</v>
      </c>
      <c r="D49" s="2" t="s">
        <v>668</v>
      </c>
      <c r="E49" s="3" t="s">
        <v>709</v>
      </c>
      <c r="F49" s="2">
        <v>20</v>
      </c>
      <c r="G49" s="2">
        <v>50</v>
      </c>
      <c r="H49" s="2">
        <v>0.5</v>
      </c>
      <c r="I49" s="2">
        <v>30</v>
      </c>
      <c r="J49" s="2">
        <v>16</v>
      </c>
      <c r="K49" s="2" t="s">
        <v>146</v>
      </c>
      <c r="L49" s="6">
        <v>0.68</v>
      </c>
      <c r="M49" s="2" t="str">
        <f t="shared" si="0"/>
        <v>합곡리 46</v>
      </c>
      <c r="N49" s="2">
        <v>20</v>
      </c>
      <c r="O49" s="2">
        <v>50</v>
      </c>
      <c r="P49" s="2">
        <v>0.5</v>
      </c>
      <c r="Q49" s="2">
        <v>0.68</v>
      </c>
      <c r="R49" s="2" t="s">
        <v>146</v>
      </c>
      <c r="S49" s="2" t="s">
        <v>11</v>
      </c>
    </row>
    <row r="50" spans="1:19" ht="21.75" customHeight="1">
      <c r="A50" s="2" t="s">
        <v>865</v>
      </c>
      <c r="B50" s="1" t="s">
        <v>22</v>
      </c>
      <c r="C50" s="2" t="s">
        <v>666</v>
      </c>
      <c r="D50" s="2" t="s">
        <v>668</v>
      </c>
      <c r="E50" s="3" t="s">
        <v>710</v>
      </c>
      <c r="F50" s="2">
        <v>20</v>
      </c>
      <c r="G50" s="2">
        <v>50</v>
      </c>
      <c r="H50" s="2">
        <v>0.3</v>
      </c>
      <c r="I50" s="2">
        <v>30</v>
      </c>
      <c r="J50" s="2">
        <v>16</v>
      </c>
      <c r="K50" s="2" t="s">
        <v>146</v>
      </c>
      <c r="L50" s="6">
        <v>0.68</v>
      </c>
      <c r="M50" s="2" t="str">
        <f t="shared" si="0"/>
        <v>합곡리 50</v>
      </c>
      <c r="N50" s="2">
        <v>20</v>
      </c>
      <c r="O50" s="2">
        <v>50</v>
      </c>
      <c r="P50" s="2">
        <v>0.3</v>
      </c>
      <c r="Q50" s="2">
        <v>0.68</v>
      </c>
      <c r="R50" s="2" t="s">
        <v>146</v>
      </c>
      <c r="S50" s="2" t="s">
        <v>11</v>
      </c>
    </row>
    <row r="51" spans="1:19" ht="21.75" customHeight="1">
      <c r="A51" s="2" t="s">
        <v>866</v>
      </c>
      <c r="B51" s="1" t="s">
        <v>22</v>
      </c>
      <c r="C51" s="2" t="s">
        <v>666</v>
      </c>
      <c r="D51" s="2" t="s">
        <v>668</v>
      </c>
      <c r="E51" s="3" t="s">
        <v>711</v>
      </c>
      <c r="F51" s="2">
        <v>20</v>
      </c>
      <c r="G51" s="2">
        <v>50</v>
      </c>
      <c r="H51" s="2">
        <v>0.3</v>
      </c>
      <c r="I51" s="2">
        <v>30</v>
      </c>
      <c r="J51" s="2">
        <v>16</v>
      </c>
      <c r="K51" s="2" t="s">
        <v>146</v>
      </c>
      <c r="L51" s="6">
        <v>0.68</v>
      </c>
      <c r="M51" s="2" t="str">
        <f t="shared" si="0"/>
        <v>합곡리 40-2</v>
      </c>
      <c r="N51" s="2">
        <v>20</v>
      </c>
      <c r="O51" s="2">
        <v>50</v>
      </c>
      <c r="P51" s="2">
        <v>0.3</v>
      </c>
      <c r="Q51" s="2">
        <v>0.68</v>
      </c>
      <c r="R51" s="2" t="s">
        <v>146</v>
      </c>
      <c r="S51" s="2" t="s">
        <v>11</v>
      </c>
    </row>
    <row r="52" spans="1:19" ht="21.75" customHeight="1">
      <c r="A52" s="2" t="s">
        <v>867</v>
      </c>
      <c r="B52" s="1" t="s">
        <v>22</v>
      </c>
      <c r="C52" s="2" t="s">
        <v>666</v>
      </c>
      <c r="D52" s="2" t="s">
        <v>668</v>
      </c>
      <c r="E52" s="3" t="s">
        <v>715</v>
      </c>
      <c r="F52" s="2">
        <v>20</v>
      </c>
      <c r="G52" s="2">
        <v>50</v>
      </c>
      <c r="H52" s="2">
        <v>0.3</v>
      </c>
      <c r="I52" s="2">
        <v>30</v>
      </c>
      <c r="J52" s="2">
        <v>16</v>
      </c>
      <c r="K52" s="2" t="s">
        <v>146</v>
      </c>
      <c r="L52" s="6">
        <v>0.68</v>
      </c>
      <c r="M52" s="2" t="str">
        <f t="shared" si="0"/>
        <v>합곡리 331</v>
      </c>
      <c r="N52" s="2">
        <v>20</v>
      </c>
      <c r="O52" s="2">
        <v>50</v>
      </c>
      <c r="P52" s="2">
        <v>0.3</v>
      </c>
      <c r="Q52" s="2">
        <v>0.68</v>
      </c>
      <c r="R52" s="2" t="s">
        <v>146</v>
      </c>
      <c r="S52" s="2" t="s">
        <v>11</v>
      </c>
    </row>
    <row r="53" spans="1:19" ht="21.75" customHeight="1">
      <c r="A53" s="2" t="s">
        <v>868</v>
      </c>
      <c r="B53" s="1" t="s">
        <v>22</v>
      </c>
      <c r="C53" s="2" t="s">
        <v>666</v>
      </c>
      <c r="D53" s="2" t="s">
        <v>668</v>
      </c>
      <c r="E53" s="3" t="s">
        <v>716</v>
      </c>
      <c r="F53" s="2">
        <v>20</v>
      </c>
      <c r="G53" s="2">
        <v>50</v>
      </c>
      <c r="H53" s="2">
        <v>0.3</v>
      </c>
      <c r="I53" s="2">
        <v>25</v>
      </c>
      <c r="J53" s="2">
        <v>16</v>
      </c>
      <c r="K53" s="2" t="s">
        <v>146</v>
      </c>
      <c r="L53" s="6">
        <v>0.68</v>
      </c>
      <c r="M53" s="2" t="str">
        <f t="shared" si="0"/>
        <v>합곡리 335</v>
      </c>
      <c r="N53" s="2">
        <v>20</v>
      </c>
      <c r="O53" s="2">
        <v>50</v>
      </c>
      <c r="P53" s="2">
        <v>0.3</v>
      </c>
      <c r="Q53" s="2">
        <v>0.68</v>
      </c>
      <c r="R53" s="2" t="s">
        <v>146</v>
      </c>
      <c r="S53" s="2" t="s">
        <v>11</v>
      </c>
    </row>
    <row r="54" spans="1:19" ht="21.75" customHeight="1">
      <c r="A54" s="2" t="s">
        <v>869</v>
      </c>
      <c r="B54" s="1" t="s">
        <v>22</v>
      </c>
      <c r="C54" s="2" t="s">
        <v>666</v>
      </c>
      <c r="D54" s="2" t="s">
        <v>668</v>
      </c>
      <c r="E54" s="3" t="s">
        <v>717</v>
      </c>
      <c r="F54" s="2">
        <v>20</v>
      </c>
      <c r="G54" s="2">
        <v>50</v>
      </c>
      <c r="H54" s="2">
        <v>0.3</v>
      </c>
      <c r="I54" s="2">
        <v>25</v>
      </c>
      <c r="J54" s="2">
        <v>16</v>
      </c>
      <c r="K54" s="2" t="s">
        <v>146</v>
      </c>
      <c r="L54" s="6">
        <v>0.68</v>
      </c>
      <c r="M54" s="2" t="str">
        <f t="shared" si="0"/>
        <v>합곡리 339-1</v>
      </c>
      <c r="N54" s="2">
        <v>20</v>
      </c>
      <c r="O54" s="2">
        <v>50</v>
      </c>
      <c r="P54" s="2">
        <v>0.3</v>
      </c>
      <c r="Q54" s="2">
        <v>0.68</v>
      </c>
      <c r="R54" s="2" t="s">
        <v>146</v>
      </c>
      <c r="S54" s="2" t="s">
        <v>11</v>
      </c>
    </row>
    <row r="55" spans="1:19" ht="21.75" customHeight="1">
      <c r="A55" s="2" t="s">
        <v>870</v>
      </c>
      <c r="B55" s="1" t="s">
        <v>22</v>
      </c>
      <c r="C55" s="2" t="s">
        <v>666</v>
      </c>
      <c r="D55" s="2" t="s">
        <v>668</v>
      </c>
      <c r="E55" s="3" t="s">
        <v>718</v>
      </c>
      <c r="F55" s="2">
        <v>30</v>
      </c>
      <c r="G55" s="2">
        <v>50</v>
      </c>
      <c r="H55" s="2">
        <v>0.5</v>
      </c>
      <c r="I55" s="2">
        <v>20</v>
      </c>
      <c r="J55" s="2">
        <v>16</v>
      </c>
      <c r="K55" s="2" t="s">
        <v>146</v>
      </c>
      <c r="L55" s="6">
        <v>0.68</v>
      </c>
      <c r="M55" s="2" t="str">
        <f t="shared" si="0"/>
        <v>합곡리 341</v>
      </c>
      <c r="N55" s="2">
        <v>30</v>
      </c>
      <c r="O55" s="2">
        <v>50</v>
      </c>
      <c r="P55" s="2">
        <v>0.5</v>
      </c>
      <c r="Q55" s="2">
        <v>0.68</v>
      </c>
      <c r="R55" s="2" t="s">
        <v>146</v>
      </c>
      <c r="S55" s="2" t="s">
        <v>11</v>
      </c>
    </row>
    <row r="56" spans="1:19" ht="21.75" customHeight="1">
      <c r="A56" s="2" t="s">
        <v>871</v>
      </c>
      <c r="B56" s="1" t="s">
        <v>22</v>
      </c>
      <c r="C56" s="2" t="s">
        <v>666</v>
      </c>
      <c r="D56" s="2" t="s">
        <v>668</v>
      </c>
      <c r="E56" s="3" t="s">
        <v>719</v>
      </c>
      <c r="F56" s="2">
        <v>20</v>
      </c>
      <c r="G56" s="2">
        <v>50</v>
      </c>
      <c r="H56" s="2">
        <v>0.3</v>
      </c>
      <c r="I56" s="2">
        <v>25</v>
      </c>
      <c r="J56" s="2">
        <v>16</v>
      </c>
      <c r="K56" s="2" t="s">
        <v>146</v>
      </c>
      <c r="L56" s="6">
        <v>0.68</v>
      </c>
      <c r="M56" s="2" t="str">
        <f t="shared" si="0"/>
        <v>합곡리 340-2</v>
      </c>
      <c r="N56" s="2">
        <v>20</v>
      </c>
      <c r="O56" s="2">
        <v>50</v>
      </c>
      <c r="P56" s="2">
        <v>0.3</v>
      </c>
      <c r="Q56" s="2">
        <v>0.68</v>
      </c>
      <c r="R56" s="2" t="s">
        <v>146</v>
      </c>
      <c r="S56" s="2" t="s">
        <v>11</v>
      </c>
    </row>
    <row r="57" spans="1:19" ht="21.75" customHeight="1">
      <c r="A57" s="2" t="s">
        <v>872</v>
      </c>
      <c r="B57" s="1" t="s">
        <v>22</v>
      </c>
      <c r="C57" s="2" t="s">
        <v>666</v>
      </c>
      <c r="D57" s="2" t="s">
        <v>668</v>
      </c>
      <c r="E57" s="3" t="s">
        <v>733</v>
      </c>
      <c r="F57" s="2">
        <v>25</v>
      </c>
      <c r="G57" s="2">
        <v>50</v>
      </c>
      <c r="H57" s="2">
        <v>0.5</v>
      </c>
      <c r="I57" s="2">
        <v>30</v>
      </c>
      <c r="J57" s="2">
        <v>15</v>
      </c>
      <c r="K57" s="2" t="s">
        <v>146</v>
      </c>
      <c r="L57" s="6">
        <v>0.68</v>
      </c>
      <c r="M57" s="2" t="str">
        <f t="shared" si="0"/>
        <v>합곡리 906-3</v>
      </c>
      <c r="N57" s="2">
        <v>25</v>
      </c>
      <c r="O57" s="2">
        <v>50</v>
      </c>
      <c r="P57" s="2">
        <v>0.5</v>
      </c>
      <c r="Q57" s="2">
        <v>0.68</v>
      </c>
      <c r="R57" s="2" t="s">
        <v>146</v>
      </c>
      <c r="S57" s="2" t="s">
        <v>11</v>
      </c>
    </row>
    <row r="58" spans="1:19" ht="21.75" customHeight="1">
      <c r="A58" s="2" t="s">
        <v>873</v>
      </c>
      <c r="B58" s="1" t="s">
        <v>22</v>
      </c>
      <c r="C58" s="2" t="s">
        <v>666</v>
      </c>
      <c r="D58" s="2" t="s">
        <v>668</v>
      </c>
      <c r="E58" s="3" t="s">
        <v>735</v>
      </c>
      <c r="F58" s="2">
        <v>30</v>
      </c>
      <c r="G58" s="2">
        <v>50</v>
      </c>
      <c r="H58" s="2">
        <v>0.5</v>
      </c>
      <c r="I58" s="2">
        <v>30</v>
      </c>
      <c r="J58" s="2">
        <v>15</v>
      </c>
      <c r="K58" s="2" t="s">
        <v>146</v>
      </c>
      <c r="L58" s="6">
        <v>0.68</v>
      </c>
      <c r="M58" s="2" t="str">
        <f t="shared" si="0"/>
        <v>합곡리 798-4</v>
      </c>
      <c r="N58" s="2">
        <v>30</v>
      </c>
      <c r="O58" s="2">
        <v>50</v>
      </c>
      <c r="P58" s="2">
        <v>0.5</v>
      </c>
      <c r="Q58" s="2">
        <v>0.68</v>
      </c>
      <c r="R58" s="2" t="s">
        <v>146</v>
      </c>
      <c r="S58" s="2" t="s">
        <v>11</v>
      </c>
    </row>
    <row r="59" spans="1:19" ht="21.75" customHeight="1">
      <c r="A59" s="2" t="s">
        <v>874</v>
      </c>
      <c r="B59" s="1" t="s">
        <v>22</v>
      </c>
      <c r="C59" s="2" t="s">
        <v>666</v>
      </c>
      <c r="D59" s="2" t="s">
        <v>668</v>
      </c>
      <c r="E59" s="3" t="s">
        <v>715</v>
      </c>
      <c r="F59" s="2">
        <v>20</v>
      </c>
      <c r="G59" s="2">
        <v>50</v>
      </c>
      <c r="H59" s="2">
        <v>0.3</v>
      </c>
      <c r="I59" s="2">
        <v>30</v>
      </c>
      <c r="J59" s="2">
        <v>16</v>
      </c>
      <c r="K59" s="2" t="s">
        <v>146</v>
      </c>
      <c r="L59" s="6">
        <v>0.68</v>
      </c>
      <c r="M59" s="2" t="str">
        <f t="shared" si="0"/>
        <v>합곡리 331</v>
      </c>
      <c r="N59" s="2">
        <v>20</v>
      </c>
      <c r="O59" s="2">
        <v>50</v>
      </c>
      <c r="P59" s="2">
        <v>0.3</v>
      </c>
      <c r="Q59" s="2">
        <v>0.68</v>
      </c>
      <c r="R59" s="2" t="s">
        <v>146</v>
      </c>
      <c r="S59" s="2" t="s">
        <v>11</v>
      </c>
    </row>
    <row r="60" spans="1:19" ht="21.75" customHeight="1">
      <c r="A60" s="2" t="s">
        <v>875</v>
      </c>
      <c r="B60" s="1" t="s">
        <v>22</v>
      </c>
      <c r="C60" s="2" t="s">
        <v>666</v>
      </c>
      <c r="D60" s="2" t="s">
        <v>668</v>
      </c>
      <c r="E60" s="3" t="s">
        <v>716</v>
      </c>
      <c r="F60" s="2">
        <v>20</v>
      </c>
      <c r="G60" s="2">
        <v>50</v>
      </c>
      <c r="H60" s="2">
        <v>0.3</v>
      </c>
      <c r="I60" s="2">
        <v>25</v>
      </c>
      <c r="J60" s="2">
        <v>16</v>
      </c>
      <c r="K60" s="2" t="s">
        <v>146</v>
      </c>
      <c r="L60" s="6">
        <v>0.68</v>
      </c>
      <c r="M60" s="2" t="str">
        <f t="shared" si="0"/>
        <v>합곡리 335</v>
      </c>
      <c r="N60" s="2">
        <v>20</v>
      </c>
      <c r="O60" s="2">
        <v>50</v>
      </c>
      <c r="P60" s="2">
        <v>0.3</v>
      </c>
      <c r="Q60" s="2">
        <v>0.68</v>
      </c>
      <c r="R60" s="2" t="s">
        <v>146</v>
      </c>
      <c r="S60" s="2" t="s">
        <v>11</v>
      </c>
    </row>
    <row r="61" spans="1:19" ht="21.75" customHeight="1">
      <c r="A61" s="2" t="s">
        <v>876</v>
      </c>
      <c r="B61" s="1" t="s">
        <v>22</v>
      </c>
      <c r="C61" s="2" t="s">
        <v>666</v>
      </c>
      <c r="D61" s="2" t="s">
        <v>668</v>
      </c>
      <c r="E61" s="3" t="s">
        <v>717</v>
      </c>
      <c r="F61" s="2">
        <v>20</v>
      </c>
      <c r="G61" s="2">
        <v>50</v>
      </c>
      <c r="H61" s="2">
        <v>0.3</v>
      </c>
      <c r="I61" s="2">
        <v>25</v>
      </c>
      <c r="J61" s="2">
        <v>16</v>
      </c>
      <c r="K61" s="2" t="s">
        <v>146</v>
      </c>
      <c r="L61" s="6">
        <v>0.68</v>
      </c>
      <c r="M61" s="2" t="str">
        <f t="shared" si="0"/>
        <v>합곡리 339-1</v>
      </c>
      <c r="N61" s="2">
        <v>20</v>
      </c>
      <c r="O61" s="2">
        <v>50</v>
      </c>
      <c r="P61" s="2">
        <v>0.3</v>
      </c>
      <c r="Q61" s="2">
        <v>0.68</v>
      </c>
      <c r="R61" s="2" t="s">
        <v>146</v>
      </c>
      <c r="S61" s="2" t="s">
        <v>11</v>
      </c>
    </row>
    <row r="62" spans="1:19" ht="21.75" customHeight="1">
      <c r="A62" s="2" t="s">
        <v>877</v>
      </c>
      <c r="B62" s="1" t="s">
        <v>22</v>
      </c>
      <c r="C62" s="2" t="s">
        <v>666</v>
      </c>
      <c r="D62" s="2" t="s">
        <v>668</v>
      </c>
      <c r="E62" s="3" t="s">
        <v>718</v>
      </c>
      <c r="F62" s="2">
        <v>30</v>
      </c>
      <c r="G62" s="2">
        <v>50</v>
      </c>
      <c r="H62" s="2">
        <v>0.5</v>
      </c>
      <c r="I62" s="2">
        <v>20</v>
      </c>
      <c r="J62" s="2">
        <v>16</v>
      </c>
      <c r="K62" s="2" t="s">
        <v>146</v>
      </c>
      <c r="L62" s="6">
        <v>0.68</v>
      </c>
      <c r="M62" s="2" t="str">
        <f t="shared" si="0"/>
        <v>합곡리 341</v>
      </c>
      <c r="N62" s="2">
        <v>30</v>
      </c>
      <c r="O62" s="2">
        <v>50</v>
      </c>
      <c r="P62" s="2">
        <v>0.5</v>
      </c>
      <c r="Q62" s="2">
        <v>0.68</v>
      </c>
      <c r="R62" s="2" t="s">
        <v>146</v>
      </c>
      <c r="S62" s="2" t="s">
        <v>11</v>
      </c>
    </row>
    <row r="63" spans="1:19" ht="21.75" customHeight="1">
      <c r="A63" s="2" t="s">
        <v>878</v>
      </c>
      <c r="B63" s="1" t="s">
        <v>22</v>
      </c>
      <c r="C63" s="2" t="s">
        <v>666</v>
      </c>
      <c r="D63" s="2" t="s">
        <v>668</v>
      </c>
      <c r="E63" s="3" t="s">
        <v>719</v>
      </c>
      <c r="F63" s="2">
        <v>20</v>
      </c>
      <c r="G63" s="2">
        <v>50</v>
      </c>
      <c r="H63" s="2">
        <v>0.3</v>
      </c>
      <c r="I63" s="2">
        <v>25</v>
      </c>
      <c r="J63" s="2">
        <v>16</v>
      </c>
      <c r="K63" s="2" t="s">
        <v>146</v>
      </c>
      <c r="L63" s="6">
        <v>0.68</v>
      </c>
      <c r="M63" s="2" t="str">
        <f t="shared" si="0"/>
        <v>합곡리 340-2</v>
      </c>
      <c r="N63" s="2">
        <v>20</v>
      </c>
      <c r="O63" s="2">
        <v>50</v>
      </c>
      <c r="P63" s="2">
        <v>0.3</v>
      </c>
      <c r="Q63" s="2">
        <v>0.68</v>
      </c>
      <c r="R63" s="2" t="s">
        <v>146</v>
      </c>
      <c r="S63" s="2" t="s">
        <v>11</v>
      </c>
    </row>
    <row r="64" spans="1:19" ht="21.75" customHeight="1">
      <c r="A64" s="2" t="s">
        <v>879</v>
      </c>
      <c r="B64" s="1" t="s">
        <v>22</v>
      </c>
      <c r="C64" s="2" t="s">
        <v>666</v>
      </c>
      <c r="D64" s="2" t="s">
        <v>668</v>
      </c>
      <c r="E64" s="3" t="s">
        <v>733</v>
      </c>
      <c r="F64" s="2">
        <v>25</v>
      </c>
      <c r="G64" s="2">
        <v>50</v>
      </c>
      <c r="H64" s="2">
        <v>0.5</v>
      </c>
      <c r="I64" s="2">
        <v>30</v>
      </c>
      <c r="J64" s="2">
        <v>15</v>
      </c>
      <c r="K64" s="2" t="s">
        <v>146</v>
      </c>
      <c r="L64" s="6">
        <v>0.68</v>
      </c>
      <c r="M64" s="2" t="str">
        <f t="shared" si="0"/>
        <v>합곡리 906-3</v>
      </c>
      <c r="N64" s="2">
        <v>25</v>
      </c>
      <c r="O64" s="2">
        <v>50</v>
      </c>
      <c r="P64" s="2">
        <v>0.5</v>
      </c>
      <c r="Q64" s="2">
        <v>0.68</v>
      </c>
      <c r="R64" s="2" t="s">
        <v>146</v>
      </c>
      <c r="S64" s="2" t="s">
        <v>11</v>
      </c>
    </row>
    <row r="65" spans="2:12" ht="21.75" customHeight="1">
      <c r="B65" s="1"/>
      <c r="I65" s="2"/>
      <c r="J65" s="2"/>
      <c r="L65" s="6"/>
    </row>
    <row r="66" spans="2:12" ht="21.75" customHeight="1">
      <c r="B66" s="1"/>
      <c r="I66" s="2"/>
      <c r="J66" s="2"/>
      <c r="L66" s="6"/>
    </row>
    <row r="67" spans="2:12" ht="21.75" customHeight="1" thickBot="1">
      <c r="B67" s="1"/>
      <c r="I67" s="2"/>
      <c r="J67" s="2"/>
      <c r="L67" s="6"/>
    </row>
    <row r="68" spans="2:12" ht="21.75" customHeight="1">
      <c r="B68" s="7" t="s">
        <v>252</v>
      </c>
      <c r="C68" s="50" t="s">
        <v>253</v>
      </c>
      <c r="D68" s="51"/>
      <c r="E68" s="50" t="s">
        <v>256</v>
      </c>
      <c r="F68" s="51"/>
      <c r="G68" s="50" t="s">
        <v>257</v>
      </c>
      <c r="H68" s="51"/>
      <c r="I68" s="50" t="s">
        <v>258</v>
      </c>
      <c r="J68" s="52"/>
      <c r="K68" s="2" t="s">
        <v>33</v>
      </c>
      <c r="L68" s="46">
        <f ca="1">SUM_SS_IN</f>
        <v>38.759999999999991</v>
      </c>
    </row>
    <row r="69" spans="2:12" ht="21.75" customHeight="1">
      <c r="B69" s="12" t="s">
        <v>254</v>
      </c>
      <c r="C69" s="9">
        <f ca="1">E69+G69+I69</f>
        <v>78</v>
      </c>
      <c r="D69" s="9">
        <f ca="1">F69+H69+J69</f>
        <v>148.77999999999997</v>
      </c>
      <c r="E69" s="9">
        <f ca="1">IF(F69=0,0,COUNTIF(SS_INSIDE_AREA,"O"))</f>
        <v>57</v>
      </c>
      <c r="F69" s="9">
        <f ca="1">SUMIF(SS_INSIDE_AREA,"O",$L$2:$L$2)</f>
        <v>38.759999999999991</v>
      </c>
      <c r="G69" s="9">
        <f ca="1">IF(H69=0,0,COUNTIF(AA_INSIDE_AREA,"O"))</f>
        <v>21</v>
      </c>
      <c r="H69" s="9">
        <f ca="1">aa!$D$32</f>
        <v>110.02</v>
      </c>
      <c r="I69" s="9">
        <f ca="1">IF(J69=0,0,COUNTIF(II_INSIDE_AREA,"O"))</f>
        <v>0</v>
      </c>
      <c r="J69" s="13">
        <f ca="1">ii!$D$8</f>
        <v>0</v>
      </c>
      <c r="K69" s="2" t="s">
        <v>30</v>
      </c>
      <c r="L69" s="47">
        <f ca="1">L68+aa!D32+ii!L5</f>
        <v>148.77999999999997</v>
      </c>
    </row>
    <row r="70" spans="2:12" ht="21.75" customHeight="1" thickBot="1">
      <c r="B70" s="8" t="s">
        <v>255</v>
      </c>
      <c r="C70" s="14">
        <f ca="1">E70+G70+I70</f>
        <v>12</v>
      </c>
      <c r="D70" s="14">
        <f ca="1">F70+H70+J70</f>
        <v>38.059999999999995</v>
      </c>
      <c r="E70" s="14">
        <f ca="1">IF(F70=0,0,COUNTIF(SS_INSIDE_AREA,"X"))</f>
        <v>6</v>
      </c>
      <c r="F70" s="14">
        <f ca="1">SUMIF(SS_INSIDE_AREA,"X",$L$2:$L$2)</f>
        <v>4.08</v>
      </c>
      <c r="G70" s="14">
        <f ca="1">IF(H70=0,0,COUNTIF(AA_INSIDE_AREA,"X"))</f>
        <v>6</v>
      </c>
      <c r="H70" s="14">
        <f ca="1">aa!$D$33</f>
        <v>33.979999999999997</v>
      </c>
      <c r="I70" s="14">
        <f ca="1">IF(J70=0,0,COUNTIF(II_INSIDE_AREA,"X"))</f>
        <v>0</v>
      </c>
      <c r="J70" s="15">
        <f ca="1">ii!$D$9</f>
        <v>0</v>
      </c>
    </row>
    <row r="71" spans="2:12" ht="21.75" customHeight="1">
      <c r="B71" s="41"/>
      <c r="C71" s="41"/>
      <c r="D71" s="41"/>
      <c r="E71" s="41"/>
      <c r="F71" s="41"/>
      <c r="G71" s="41"/>
      <c r="H71" s="41"/>
      <c r="I71" s="41"/>
      <c r="K71" s="7" t="s">
        <v>31</v>
      </c>
      <c r="L71" s="48">
        <f ca="1">D69</f>
        <v>148.77999999999997</v>
      </c>
    </row>
    <row r="72" spans="2:12" ht="21.75" customHeight="1" thickBot="1">
      <c r="B72" s="41"/>
      <c r="C72" s="41"/>
      <c r="D72" s="41"/>
      <c r="E72" s="41"/>
      <c r="F72" s="41"/>
      <c r="G72" s="41"/>
      <c r="H72" s="41"/>
      <c r="I72" s="41"/>
      <c r="K72" s="8" t="s">
        <v>32</v>
      </c>
      <c r="L72" s="49">
        <f ca="1">C69</f>
        <v>78</v>
      </c>
    </row>
    <row r="73" spans="2:12" ht="21.75" customHeight="1">
      <c r="B73" s="41"/>
      <c r="C73" s="41"/>
      <c r="D73" s="41"/>
      <c r="E73" s="41"/>
      <c r="F73" s="41"/>
      <c r="G73" s="41"/>
      <c r="H73" s="41"/>
      <c r="I73" s="41"/>
    </row>
    <row r="74" spans="2:12" ht="21.75" customHeight="1">
      <c r="B74" s="41"/>
      <c r="C74" s="41"/>
      <c r="D74" s="41"/>
      <c r="E74" s="41"/>
      <c r="F74" s="41"/>
      <c r="G74" s="41"/>
      <c r="H74" s="41"/>
      <c r="I74" s="41"/>
    </row>
    <row r="75" spans="2:12" ht="21.75" customHeight="1">
      <c r="B75" s="41"/>
      <c r="C75" s="41"/>
      <c r="D75" s="41"/>
      <c r="E75" s="41"/>
      <c r="F75" s="41"/>
      <c r="G75" s="41"/>
      <c r="H75" s="41"/>
      <c r="I75" s="41"/>
    </row>
    <row r="76" spans="2:12" ht="21.75" customHeight="1">
      <c r="B76" s="41"/>
      <c r="C76" s="41"/>
      <c r="D76" s="41"/>
      <c r="E76" s="41"/>
      <c r="F76" s="41"/>
      <c r="G76" s="41"/>
      <c r="H76" s="41"/>
      <c r="I76" s="41"/>
    </row>
    <row r="77" spans="2:12" ht="21.75" customHeight="1">
      <c r="B77" s="41"/>
      <c r="C77" s="41"/>
      <c r="D77" s="41"/>
      <c r="E77" s="41"/>
      <c r="F77" s="41"/>
      <c r="G77" s="41"/>
      <c r="H77" s="41"/>
      <c r="I77" s="41"/>
    </row>
    <row r="78" spans="2:12" ht="21.75" customHeight="1">
      <c r="B78" s="41"/>
      <c r="C78" s="41"/>
      <c r="D78" s="41"/>
      <c r="E78" s="41"/>
      <c r="F78" s="41"/>
      <c r="G78" s="41"/>
      <c r="H78" s="41"/>
      <c r="I78" s="41"/>
    </row>
    <row r="79" spans="2:12" ht="21.75" customHeight="1">
      <c r="B79" s="41"/>
      <c r="C79" s="41"/>
      <c r="D79" s="41"/>
      <c r="E79" s="41"/>
      <c r="F79" s="41"/>
      <c r="G79" s="41"/>
      <c r="H79" s="41"/>
      <c r="I79" s="41"/>
    </row>
    <row r="80" spans="2:12" ht="21.75" customHeight="1">
      <c r="B80" s="41"/>
      <c r="C80" s="41"/>
      <c r="D80" s="41"/>
      <c r="E80" s="41"/>
      <c r="F80" s="41"/>
      <c r="G80" s="41"/>
      <c r="H80" s="41"/>
      <c r="I80" s="41"/>
    </row>
    <row r="81" spans="2:17" ht="21.75" customHeight="1">
      <c r="B81" s="41"/>
      <c r="C81" s="41"/>
      <c r="D81" s="41"/>
      <c r="E81" s="41"/>
      <c r="F81" s="41"/>
      <c r="G81" s="41"/>
      <c r="H81" s="41"/>
      <c r="I81" s="41"/>
    </row>
    <row r="86" spans="2:17" ht="21.75" customHeight="1">
      <c r="K86" s="41"/>
      <c r="L86" s="41"/>
      <c r="M86" s="41"/>
      <c r="N86" s="41"/>
      <c r="O86" s="41"/>
      <c r="P86" s="41"/>
      <c r="Q86" s="41"/>
    </row>
    <row r="87" spans="2:17" ht="21.75" customHeight="1">
      <c r="K87" s="41"/>
      <c r="L87" s="41"/>
      <c r="M87" s="41"/>
      <c r="N87" s="41"/>
      <c r="O87" s="41"/>
      <c r="P87" s="41"/>
      <c r="Q87" s="41"/>
    </row>
    <row r="88" spans="2:17" ht="21.75" customHeight="1">
      <c r="K88" s="41"/>
      <c r="L88" s="41"/>
      <c r="M88" s="41"/>
      <c r="N88" s="41"/>
      <c r="O88" s="41"/>
      <c r="P88" s="41"/>
      <c r="Q88" s="41"/>
    </row>
  </sheetData>
  <dataConsolidate/>
  <mergeCells count="4">
    <mergeCell ref="C68:D68"/>
    <mergeCell ref="E68:F68"/>
    <mergeCell ref="G68:H68"/>
    <mergeCell ref="I68:J6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34"/>
  <sheetViews>
    <sheetView workbookViewId="0">
      <selection activeCell="N14" sqref="N14"/>
    </sheetView>
  </sheetViews>
  <sheetFormatPr defaultColWidth="9" defaultRowHeight="21.75" customHeight="1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34" t="s">
        <v>3</v>
      </c>
      <c r="B1" s="34" t="s">
        <v>0</v>
      </c>
      <c r="C1" s="35" t="s">
        <v>6</v>
      </c>
      <c r="D1" s="35" t="s">
        <v>6</v>
      </c>
      <c r="E1" s="36" t="s">
        <v>6</v>
      </c>
      <c r="F1" s="35" t="s">
        <v>1</v>
      </c>
      <c r="G1" s="32" t="s">
        <v>249</v>
      </c>
      <c r="H1" s="32" t="s">
        <v>251</v>
      </c>
      <c r="I1" s="35" t="s">
        <v>8</v>
      </c>
      <c r="J1" s="35" t="s">
        <v>192</v>
      </c>
      <c r="K1" s="34" t="s">
        <v>16</v>
      </c>
      <c r="L1" s="35" t="s">
        <v>5</v>
      </c>
      <c r="M1" s="35" t="s">
        <v>6</v>
      </c>
      <c r="N1" s="34" t="s">
        <v>12</v>
      </c>
      <c r="O1" s="34" t="s">
        <v>13</v>
      </c>
      <c r="P1" s="34" t="s">
        <v>17</v>
      </c>
      <c r="Q1" s="34" t="s">
        <v>15</v>
      </c>
      <c r="R1" s="34" t="s">
        <v>16</v>
      </c>
      <c r="S1" s="34" t="s">
        <v>10</v>
      </c>
    </row>
    <row r="2" spans="1:19" ht="21.75" customHeight="1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3.74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666</v>
      </c>
      <c r="D3" s="2" t="s">
        <v>668</v>
      </c>
      <c r="E3" s="38" t="s">
        <v>677</v>
      </c>
      <c r="F3" s="39">
        <v>20</v>
      </c>
      <c r="G3" s="39">
        <v>50</v>
      </c>
      <c r="H3" s="39">
        <v>0.5</v>
      </c>
      <c r="I3" s="39">
        <v>30</v>
      </c>
      <c r="J3" s="2">
        <v>16</v>
      </c>
      <c r="K3" s="2" t="s">
        <v>657</v>
      </c>
      <c r="L3" s="2">
        <v>3.3</v>
      </c>
      <c r="M3" s="2" t="str">
        <f t="shared" ref="M3:M28" si="0">D3&amp;" "&amp;E3</f>
        <v>합곡리 292</v>
      </c>
      <c r="N3" s="39">
        <v>20</v>
      </c>
      <c r="O3" s="39">
        <v>50</v>
      </c>
      <c r="P3" s="39">
        <v>0.5</v>
      </c>
      <c r="Q3" s="2">
        <v>3.3</v>
      </c>
      <c r="R3" s="2" t="s">
        <v>657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666</v>
      </c>
      <c r="D4" s="2" t="s">
        <v>668</v>
      </c>
      <c r="E4" s="38" t="s">
        <v>678</v>
      </c>
      <c r="F4" s="39">
        <v>20</v>
      </c>
      <c r="G4" s="39">
        <v>50</v>
      </c>
      <c r="H4" s="39">
        <v>0.5</v>
      </c>
      <c r="I4" s="39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39">
        <v>20</v>
      </c>
      <c r="O4" s="39">
        <v>50</v>
      </c>
      <c r="P4" s="39">
        <v>0.5</v>
      </c>
      <c r="Q4" s="2">
        <v>6.08</v>
      </c>
      <c r="R4" s="2" t="s">
        <v>337</v>
      </c>
      <c r="S4" s="2" t="s">
        <v>11</v>
      </c>
    </row>
    <row r="5" spans="1:19" ht="21.75" customHeight="1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>
      <c r="A6" s="1" t="s">
        <v>648</v>
      </c>
      <c r="B6" s="1" t="s">
        <v>2</v>
      </c>
      <c r="C6" s="2" t="s">
        <v>666</v>
      </c>
      <c r="D6" s="2" t="s">
        <v>668</v>
      </c>
      <c r="E6" s="38" t="s">
        <v>712</v>
      </c>
      <c r="F6" s="39">
        <v>20</v>
      </c>
      <c r="G6" s="39">
        <v>50</v>
      </c>
      <c r="H6" s="39">
        <v>0.5</v>
      </c>
      <c r="I6" s="39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39">
        <v>20</v>
      </c>
      <c r="O6" s="39">
        <v>50</v>
      </c>
      <c r="P6" s="39">
        <v>0.5</v>
      </c>
      <c r="Q6" s="2">
        <v>3.08</v>
      </c>
      <c r="R6" s="2" t="s">
        <v>657</v>
      </c>
      <c r="S6" s="2" t="s">
        <v>11</v>
      </c>
    </row>
    <row r="7" spans="1:19" ht="21.75" customHeight="1">
      <c r="A7" s="1" t="s">
        <v>649</v>
      </c>
      <c r="B7" s="1" t="s">
        <v>2</v>
      </c>
      <c r="C7" s="2" t="s">
        <v>666</v>
      </c>
      <c r="D7" s="2" t="s">
        <v>668</v>
      </c>
      <c r="E7" s="38" t="s">
        <v>713</v>
      </c>
      <c r="F7" s="39">
        <v>90</v>
      </c>
      <c r="G7" s="39">
        <v>150</v>
      </c>
      <c r="H7" s="39">
        <v>0.5</v>
      </c>
      <c r="I7" s="39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39">
        <v>90</v>
      </c>
      <c r="O7" s="39">
        <v>150</v>
      </c>
      <c r="P7" s="39">
        <v>0.5</v>
      </c>
      <c r="Q7" s="2">
        <v>4.62</v>
      </c>
      <c r="R7" s="2" t="s">
        <v>657</v>
      </c>
      <c r="S7" s="2" t="s">
        <v>11</v>
      </c>
    </row>
    <row r="8" spans="1:19" ht="21.75" customHeight="1">
      <c r="A8" s="1" t="s">
        <v>650</v>
      </c>
      <c r="B8" s="1" t="s">
        <v>2</v>
      </c>
      <c r="C8" s="2" t="s">
        <v>666</v>
      </c>
      <c r="D8" s="2" t="s">
        <v>668</v>
      </c>
      <c r="E8" s="38" t="s">
        <v>714</v>
      </c>
      <c r="F8" s="39">
        <v>20</v>
      </c>
      <c r="G8" s="39">
        <v>50</v>
      </c>
      <c r="H8" s="39">
        <v>0.5</v>
      </c>
      <c r="I8" s="39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39">
        <v>20</v>
      </c>
      <c r="O8" s="39">
        <v>50</v>
      </c>
      <c r="P8" s="39">
        <v>0.5</v>
      </c>
      <c r="Q8" s="2">
        <v>3.74</v>
      </c>
      <c r="R8" s="2" t="s">
        <v>657</v>
      </c>
      <c r="S8" s="2" t="s">
        <v>11</v>
      </c>
    </row>
    <row r="9" spans="1:19" ht="21.75" customHeight="1">
      <c r="A9" s="1" t="s">
        <v>651</v>
      </c>
      <c r="B9" s="1" t="s">
        <v>2</v>
      </c>
      <c r="C9" s="2" t="s">
        <v>666</v>
      </c>
      <c r="D9" s="2" t="s">
        <v>668</v>
      </c>
      <c r="E9" s="38" t="s">
        <v>720</v>
      </c>
      <c r="F9" s="39">
        <v>40</v>
      </c>
      <c r="G9" s="39">
        <v>100</v>
      </c>
      <c r="H9" s="39">
        <v>0.5</v>
      </c>
      <c r="I9" s="39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39">
        <v>40</v>
      </c>
      <c r="O9" s="39">
        <v>100</v>
      </c>
      <c r="P9" s="39">
        <v>0.5</v>
      </c>
      <c r="Q9" s="2">
        <v>6.08</v>
      </c>
      <c r="R9" s="2" t="s">
        <v>337</v>
      </c>
      <c r="S9" s="2" t="s">
        <v>849</v>
      </c>
    </row>
    <row r="10" spans="1:19" ht="21.75" customHeight="1">
      <c r="A10" s="1" t="s">
        <v>652</v>
      </c>
      <c r="B10" s="1" t="s">
        <v>2</v>
      </c>
      <c r="C10" s="2" t="s">
        <v>666</v>
      </c>
      <c r="D10" s="2" t="s">
        <v>668</v>
      </c>
      <c r="E10" s="38" t="s">
        <v>721</v>
      </c>
      <c r="F10" s="39">
        <v>290</v>
      </c>
      <c r="G10" s="39">
        <v>150</v>
      </c>
      <c r="H10" s="39">
        <v>3</v>
      </c>
      <c r="I10" s="39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39">
        <v>290</v>
      </c>
      <c r="O10" s="39">
        <v>150</v>
      </c>
      <c r="P10" s="39">
        <v>3</v>
      </c>
      <c r="Q10" s="2">
        <v>6.2</v>
      </c>
      <c r="R10" s="2" t="s">
        <v>657</v>
      </c>
      <c r="S10" s="2" t="s">
        <v>11</v>
      </c>
    </row>
    <row r="11" spans="1:19" ht="21.75" customHeight="1">
      <c r="A11" s="1" t="s">
        <v>653</v>
      </c>
      <c r="B11" s="1" t="s">
        <v>2</v>
      </c>
      <c r="C11" s="2" t="s">
        <v>666</v>
      </c>
      <c r="D11" s="2" t="s">
        <v>668</v>
      </c>
      <c r="E11" s="38" t="s">
        <v>722</v>
      </c>
      <c r="F11" s="39">
        <v>50</v>
      </c>
      <c r="G11" s="39">
        <v>125</v>
      </c>
      <c r="H11" s="39">
        <v>1</v>
      </c>
      <c r="I11" s="39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39">
        <v>50</v>
      </c>
      <c r="O11" s="39">
        <v>125</v>
      </c>
      <c r="P11" s="39">
        <v>1</v>
      </c>
      <c r="Q11" s="2">
        <v>3.56</v>
      </c>
      <c r="R11" s="2" t="s">
        <v>723</v>
      </c>
      <c r="S11" s="2" t="s">
        <v>11</v>
      </c>
    </row>
    <row r="12" spans="1:19" ht="21.75" customHeight="1">
      <c r="A12" s="1" t="s">
        <v>654</v>
      </c>
      <c r="B12" s="1" t="s">
        <v>2</v>
      </c>
      <c r="C12" s="2" t="s">
        <v>666</v>
      </c>
      <c r="D12" s="2" t="s">
        <v>668</v>
      </c>
      <c r="E12" s="38" t="s">
        <v>724</v>
      </c>
      <c r="F12" s="39">
        <v>100</v>
      </c>
      <c r="G12" s="39">
        <v>150</v>
      </c>
      <c r="H12" s="39">
        <v>1</v>
      </c>
      <c r="I12" s="39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39">
        <v>100</v>
      </c>
      <c r="O12" s="39">
        <v>150</v>
      </c>
      <c r="P12" s="39">
        <v>1</v>
      </c>
      <c r="Q12" s="2">
        <v>3.56</v>
      </c>
      <c r="R12" s="2" t="s">
        <v>723</v>
      </c>
      <c r="S12" s="2" t="s">
        <v>11</v>
      </c>
    </row>
    <row r="13" spans="1:19" ht="21.75" customHeight="1">
      <c r="A13" s="1" t="s">
        <v>655</v>
      </c>
      <c r="B13" s="1" t="s">
        <v>2</v>
      </c>
      <c r="C13" s="2" t="s">
        <v>666</v>
      </c>
      <c r="D13" s="2" t="s">
        <v>668</v>
      </c>
      <c r="E13" s="38" t="s">
        <v>725</v>
      </c>
      <c r="F13" s="39">
        <v>18</v>
      </c>
      <c r="G13" s="39">
        <v>50</v>
      </c>
      <c r="H13" s="39">
        <v>0.5</v>
      </c>
      <c r="I13" s="39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39">
        <v>18</v>
      </c>
      <c r="O13" s="39">
        <v>50</v>
      </c>
      <c r="P13" s="39">
        <v>0.5</v>
      </c>
      <c r="Q13" s="2">
        <v>6.36</v>
      </c>
      <c r="R13" s="2" t="s">
        <v>337</v>
      </c>
      <c r="S13" s="2" t="s">
        <v>849</v>
      </c>
    </row>
    <row r="14" spans="1:19" ht="21.75" customHeight="1">
      <c r="A14" s="1" t="s">
        <v>658</v>
      </c>
      <c r="B14" s="1" t="s">
        <v>2</v>
      </c>
      <c r="C14" s="2" t="s">
        <v>666</v>
      </c>
      <c r="D14" s="2" t="s">
        <v>668</v>
      </c>
      <c r="E14" s="38" t="s">
        <v>726</v>
      </c>
      <c r="F14" s="39">
        <v>70</v>
      </c>
      <c r="G14" s="39">
        <v>150</v>
      </c>
      <c r="H14" s="39">
        <v>1</v>
      </c>
      <c r="I14" s="39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39">
        <v>70</v>
      </c>
      <c r="O14" s="39">
        <v>150</v>
      </c>
      <c r="P14" s="39">
        <v>1</v>
      </c>
      <c r="Q14" s="2">
        <v>6.36</v>
      </c>
      <c r="R14" s="2" t="s">
        <v>337</v>
      </c>
      <c r="S14" s="2" t="s">
        <v>849</v>
      </c>
    </row>
    <row r="15" spans="1:19" ht="21.75" customHeight="1">
      <c r="A15" s="1" t="s">
        <v>659</v>
      </c>
      <c r="B15" s="1" t="s">
        <v>2</v>
      </c>
      <c r="C15" s="2" t="s">
        <v>666</v>
      </c>
      <c r="D15" s="2" t="s">
        <v>668</v>
      </c>
      <c r="E15" s="38" t="s">
        <v>727</v>
      </c>
      <c r="F15" s="39">
        <v>20</v>
      </c>
      <c r="G15" s="39">
        <v>50</v>
      </c>
      <c r="H15" s="39">
        <v>1</v>
      </c>
      <c r="I15" s="39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39">
        <v>20</v>
      </c>
      <c r="O15" s="39">
        <v>50</v>
      </c>
      <c r="P15" s="39">
        <v>1</v>
      </c>
      <c r="Q15" s="2">
        <v>3.74</v>
      </c>
      <c r="R15" s="2" t="s">
        <v>657</v>
      </c>
      <c r="S15" s="2" t="s">
        <v>849</v>
      </c>
    </row>
    <row r="16" spans="1:19" ht="21.75" customHeight="1">
      <c r="A16" s="1" t="s">
        <v>660</v>
      </c>
      <c r="B16" s="1" t="s">
        <v>2</v>
      </c>
      <c r="C16" s="2" t="s">
        <v>666</v>
      </c>
      <c r="D16" s="2" t="s">
        <v>668</v>
      </c>
      <c r="E16" s="38" t="s">
        <v>728</v>
      </c>
      <c r="F16" s="39">
        <v>100</v>
      </c>
      <c r="G16" s="39">
        <v>150</v>
      </c>
      <c r="H16" s="39">
        <v>2</v>
      </c>
      <c r="I16" s="39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39">
        <v>100</v>
      </c>
      <c r="O16" s="39">
        <v>150</v>
      </c>
      <c r="P16" s="39">
        <v>2</v>
      </c>
      <c r="Q16" s="2">
        <v>5.5</v>
      </c>
      <c r="R16" s="2" t="s">
        <v>657</v>
      </c>
      <c r="S16" s="2" t="s">
        <v>849</v>
      </c>
    </row>
    <row r="17" spans="1:19" ht="21.75" customHeight="1">
      <c r="A17" s="1" t="s">
        <v>661</v>
      </c>
      <c r="B17" s="1" t="s">
        <v>2</v>
      </c>
      <c r="C17" s="2" t="s">
        <v>666</v>
      </c>
      <c r="D17" s="2" t="s">
        <v>668</v>
      </c>
      <c r="E17" s="38" t="s">
        <v>729</v>
      </c>
      <c r="F17" s="39">
        <v>140</v>
      </c>
      <c r="G17" s="39">
        <v>150</v>
      </c>
      <c r="H17" s="39">
        <v>2</v>
      </c>
      <c r="I17" s="39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39">
        <v>140</v>
      </c>
      <c r="O17" s="39">
        <v>150</v>
      </c>
      <c r="P17" s="39">
        <v>2</v>
      </c>
      <c r="Q17" s="2">
        <v>5.94</v>
      </c>
      <c r="R17" s="2" t="s">
        <v>657</v>
      </c>
      <c r="S17" s="2" t="s">
        <v>849</v>
      </c>
    </row>
    <row r="18" spans="1:19" ht="21.75" customHeight="1">
      <c r="A18" s="1" t="s">
        <v>662</v>
      </c>
      <c r="B18" s="1" t="s">
        <v>2</v>
      </c>
      <c r="C18" s="2" t="s">
        <v>666</v>
      </c>
      <c r="D18" s="2" t="s">
        <v>668</v>
      </c>
      <c r="E18" s="38" t="s">
        <v>730</v>
      </c>
      <c r="F18" s="39">
        <v>90</v>
      </c>
      <c r="G18" s="39">
        <v>200</v>
      </c>
      <c r="H18" s="39">
        <v>2</v>
      </c>
      <c r="I18" s="39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39">
        <v>90</v>
      </c>
      <c r="O18" s="39">
        <v>200</v>
      </c>
      <c r="P18" s="39">
        <v>2</v>
      </c>
      <c r="Q18" s="2">
        <v>7.26</v>
      </c>
      <c r="R18" s="2" t="s">
        <v>657</v>
      </c>
      <c r="S18" s="2" t="s">
        <v>11</v>
      </c>
    </row>
    <row r="19" spans="1:19" ht="21.75" customHeight="1">
      <c r="A19" s="1" t="s">
        <v>663</v>
      </c>
      <c r="B19" s="1" t="s">
        <v>2</v>
      </c>
      <c r="C19" s="2" t="s">
        <v>666</v>
      </c>
      <c r="D19" s="2" t="s">
        <v>668</v>
      </c>
      <c r="E19" s="38" t="s">
        <v>731</v>
      </c>
      <c r="F19" s="39">
        <v>100</v>
      </c>
      <c r="G19" s="39">
        <v>200</v>
      </c>
      <c r="H19" s="39">
        <v>2</v>
      </c>
      <c r="I19" s="39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39">
        <v>100</v>
      </c>
      <c r="O19" s="39">
        <v>200</v>
      </c>
      <c r="P19" s="39">
        <v>2</v>
      </c>
      <c r="Q19" s="2">
        <v>5.94</v>
      </c>
      <c r="R19" s="2" t="s">
        <v>657</v>
      </c>
      <c r="S19" s="2" t="s">
        <v>11</v>
      </c>
    </row>
    <row r="20" spans="1:19" ht="21.75" customHeight="1">
      <c r="A20" s="1" t="s">
        <v>664</v>
      </c>
      <c r="B20" s="1" t="s">
        <v>2</v>
      </c>
      <c r="C20" s="2" t="s">
        <v>666</v>
      </c>
      <c r="D20" s="2" t="s">
        <v>668</v>
      </c>
      <c r="E20" s="38" t="s">
        <v>732</v>
      </c>
      <c r="F20" s="39">
        <v>100</v>
      </c>
      <c r="G20" s="39">
        <v>200</v>
      </c>
      <c r="H20" s="39">
        <v>2</v>
      </c>
      <c r="I20" s="39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39">
        <v>100</v>
      </c>
      <c r="O20" s="39">
        <v>200</v>
      </c>
      <c r="P20" s="39">
        <v>2</v>
      </c>
      <c r="Q20" s="2">
        <v>7.26</v>
      </c>
      <c r="R20" s="2" t="s">
        <v>657</v>
      </c>
      <c r="S20" s="2" t="s">
        <v>11</v>
      </c>
    </row>
    <row r="21" spans="1:19" ht="21.75" customHeight="1">
      <c r="A21" s="1" t="s">
        <v>665</v>
      </c>
      <c r="B21" s="1" t="s">
        <v>2</v>
      </c>
      <c r="C21" s="2" t="s">
        <v>666</v>
      </c>
      <c r="D21" s="2" t="s">
        <v>668</v>
      </c>
      <c r="E21" s="38" t="s">
        <v>734</v>
      </c>
      <c r="F21" s="39">
        <v>20</v>
      </c>
      <c r="G21" s="39">
        <v>50</v>
      </c>
      <c r="H21" s="39">
        <v>0.5</v>
      </c>
      <c r="I21" s="39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39">
        <v>20</v>
      </c>
      <c r="O21" s="39">
        <v>50</v>
      </c>
      <c r="P21" s="39">
        <v>0.5</v>
      </c>
      <c r="Q21" s="2">
        <v>3.74</v>
      </c>
      <c r="R21" s="2" t="s">
        <v>657</v>
      </c>
      <c r="S21" s="2" t="s">
        <v>11</v>
      </c>
    </row>
    <row r="22" spans="1:19" ht="21.75" customHeight="1">
      <c r="A22" s="1" t="s">
        <v>910</v>
      </c>
      <c r="B22" s="1" t="s">
        <v>2</v>
      </c>
      <c r="C22" s="2" t="s">
        <v>666</v>
      </c>
      <c r="D22" s="2" t="s">
        <v>668</v>
      </c>
      <c r="E22" s="38" t="s">
        <v>729</v>
      </c>
      <c r="F22" s="39">
        <v>140</v>
      </c>
      <c r="G22" s="39">
        <v>150</v>
      </c>
      <c r="H22" s="39">
        <v>2</v>
      </c>
      <c r="I22" s="39">
        <v>90</v>
      </c>
      <c r="J22" s="2">
        <v>32</v>
      </c>
      <c r="K22" s="2" t="s">
        <v>657</v>
      </c>
      <c r="L22" s="2">
        <v>5.94</v>
      </c>
      <c r="M22" s="2" t="str">
        <f t="shared" si="0"/>
        <v>합곡리 895-4</v>
      </c>
      <c r="N22" s="39">
        <v>140</v>
      </c>
      <c r="O22" s="39">
        <v>150</v>
      </c>
      <c r="P22" s="39">
        <v>2</v>
      </c>
      <c r="Q22" s="2">
        <v>5.94</v>
      </c>
      <c r="R22" s="2" t="s">
        <v>657</v>
      </c>
      <c r="S22" s="2" t="s">
        <v>11</v>
      </c>
    </row>
    <row r="23" spans="1:19" ht="21.75" customHeight="1">
      <c r="A23" s="1" t="s">
        <v>911</v>
      </c>
      <c r="B23" s="1" t="s">
        <v>2</v>
      </c>
      <c r="C23" s="2" t="s">
        <v>666</v>
      </c>
      <c r="D23" s="2" t="s">
        <v>668</v>
      </c>
      <c r="E23" s="38" t="s">
        <v>730</v>
      </c>
      <c r="F23" s="39">
        <v>90</v>
      </c>
      <c r="G23" s="39">
        <v>200</v>
      </c>
      <c r="H23" s="39">
        <v>2</v>
      </c>
      <c r="I23" s="39">
        <v>120</v>
      </c>
      <c r="J23" s="2">
        <v>32</v>
      </c>
      <c r="K23" s="2" t="s">
        <v>657</v>
      </c>
      <c r="L23" s="2">
        <v>7.26</v>
      </c>
      <c r="M23" s="2" t="str">
        <f t="shared" si="0"/>
        <v>합곡리 1023-3</v>
      </c>
      <c r="N23" s="39">
        <v>90</v>
      </c>
      <c r="O23" s="39">
        <v>200</v>
      </c>
      <c r="P23" s="39">
        <v>2</v>
      </c>
      <c r="Q23" s="2">
        <v>7.26</v>
      </c>
      <c r="R23" s="2" t="s">
        <v>657</v>
      </c>
      <c r="S23" s="2" t="s">
        <v>11</v>
      </c>
    </row>
    <row r="24" spans="1:19" ht="21.75" customHeight="1">
      <c r="A24" s="1" t="s">
        <v>912</v>
      </c>
      <c r="B24" s="1" t="s">
        <v>2</v>
      </c>
      <c r="C24" s="2" t="s">
        <v>666</v>
      </c>
      <c r="D24" s="2" t="s">
        <v>668</v>
      </c>
      <c r="E24" s="38" t="s">
        <v>731</v>
      </c>
      <c r="F24" s="39">
        <v>100</v>
      </c>
      <c r="G24" s="39">
        <v>200</v>
      </c>
      <c r="H24" s="39">
        <v>2</v>
      </c>
      <c r="I24" s="39">
        <v>90</v>
      </c>
      <c r="J24" s="2">
        <v>32</v>
      </c>
      <c r="K24" s="2" t="s">
        <v>657</v>
      </c>
      <c r="L24" s="2">
        <v>5.94</v>
      </c>
      <c r="M24" s="2" t="str">
        <f t="shared" si="0"/>
        <v>합곡리 1025-4</v>
      </c>
      <c r="N24" s="39">
        <v>100</v>
      </c>
      <c r="O24" s="39">
        <v>200</v>
      </c>
      <c r="P24" s="39">
        <v>2</v>
      </c>
      <c r="Q24" s="2">
        <v>5.94</v>
      </c>
      <c r="R24" s="2" t="s">
        <v>657</v>
      </c>
      <c r="S24" s="2" t="s">
        <v>11</v>
      </c>
    </row>
    <row r="25" spans="1:19" ht="21.75" customHeight="1">
      <c r="A25" s="1" t="s">
        <v>913</v>
      </c>
      <c r="B25" s="1" t="s">
        <v>2</v>
      </c>
      <c r="C25" s="2" t="s">
        <v>666</v>
      </c>
      <c r="D25" s="2" t="s">
        <v>668</v>
      </c>
      <c r="E25" s="38" t="s">
        <v>732</v>
      </c>
      <c r="F25" s="39">
        <v>100</v>
      </c>
      <c r="G25" s="39">
        <v>200</v>
      </c>
      <c r="H25" s="39">
        <v>2</v>
      </c>
      <c r="I25" s="39">
        <v>120</v>
      </c>
      <c r="J25" s="2">
        <v>32</v>
      </c>
      <c r="K25" s="2" t="s">
        <v>657</v>
      </c>
      <c r="L25" s="2">
        <v>7.26</v>
      </c>
      <c r="M25" s="2" t="str">
        <f t="shared" si="0"/>
        <v>합곡리 1022-2</v>
      </c>
      <c r="N25" s="39">
        <v>100</v>
      </c>
      <c r="O25" s="39">
        <v>200</v>
      </c>
      <c r="P25" s="39">
        <v>2</v>
      </c>
      <c r="Q25" s="2">
        <v>7.26</v>
      </c>
      <c r="R25" s="2" t="s">
        <v>657</v>
      </c>
      <c r="S25" s="2" t="s">
        <v>11</v>
      </c>
    </row>
    <row r="26" spans="1:19" ht="21.75" customHeight="1">
      <c r="A26" s="1" t="s">
        <v>914</v>
      </c>
      <c r="B26" s="1" t="s">
        <v>2</v>
      </c>
      <c r="C26" s="2" t="s">
        <v>666</v>
      </c>
      <c r="D26" s="2" t="s">
        <v>668</v>
      </c>
      <c r="E26" s="38" t="s">
        <v>734</v>
      </c>
      <c r="F26" s="39">
        <v>20</v>
      </c>
      <c r="G26" s="39">
        <v>50</v>
      </c>
      <c r="H26" s="39">
        <v>0.5</v>
      </c>
      <c r="I26" s="39">
        <v>40</v>
      </c>
      <c r="J26" s="2">
        <v>20</v>
      </c>
      <c r="K26" s="2" t="s">
        <v>657</v>
      </c>
      <c r="L26" s="2">
        <v>3.74</v>
      </c>
      <c r="M26" s="2" t="str">
        <f t="shared" si="0"/>
        <v>합곡리 1018-1</v>
      </c>
      <c r="N26" s="39">
        <v>20</v>
      </c>
      <c r="O26" s="39">
        <v>50</v>
      </c>
      <c r="P26" s="39">
        <v>0.5</v>
      </c>
      <c r="Q26" s="2">
        <v>3.74</v>
      </c>
      <c r="R26" s="2" t="s">
        <v>657</v>
      </c>
      <c r="S26" s="2" t="s">
        <v>11</v>
      </c>
    </row>
    <row r="27" spans="1:19" ht="21.75" customHeight="1">
      <c r="A27" s="1" t="s">
        <v>920</v>
      </c>
      <c r="B27" s="1" t="s">
        <v>2</v>
      </c>
      <c r="C27" s="2" t="s">
        <v>666</v>
      </c>
      <c r="D27" s="2" t="s">
        <v>668</v>
      </c>
      <c r="E27" s="38" t="s">
        <v>728</v>
      </c>
      <c r="F27" s="39">
        <v>100</v>
      </c>
      <c r="G27" s="39">
        <v>150</v>
      </c>
      <c r="H27" s="39">
        <v>2</v>
      </c>
      <c r="I27" s="39">
        <v>80</v>
      </c>
      <c r="J27" s="2">
        <v>32</v>
      </c>
      <c r="K27" s="2" t="s">
        <v>657</v>
      </c>
      <c r="L27" s="2">
        <v>5.5</v>
      </c>
      <c r="M27" s="2" t="str">
        <f t="shared" si="0"/>
        <v>합곡리 462</v>
      </c>
      <c r="N27" s="39">
        <v>100</v>
      </c>
      <c r="O27" s="39">
        <v>150</v>
      </c>
      <c r="P27" s="39">
        <v>2</v>
      </c>
      <c r="Q27" s="2">
        <v>5.5</v>
      </c>
      <c r="R27" s="2" t="s">
        <v>657</v>
      </c>
      <c r="S27" s="2" t="s">
        <v>11</v>
      </c>
    </row>
    <row r="28" spans="1:19" ht="21.75" customHeight="1">
      <c r="A28" s="1" t="s">
        <v>921</v>
      </c>
      <c r="B28" s="1" t="s">
        <v>2</v>
      </c>
      <c r="C28" s="2" t="s">
        <v>666</v>
      </c>
      <c r="D28" s="2" t="s">
        <v>668</v>
      </c>
      <c r="E28" s="38" t="s">
        <v>729</v>
      </c>
      <c r="F28" s="39">
        <v>140</v>
      </c>
      <c r="G28" s="39">
        <v>150</v>
      </c>
      <c r="H28" s="39">
        <v>2</v>
      </c>
      <c r="I28" s="39">
        <v>90</v>
      </c>
      <c r="J28" s="2">
        <v>32</v>
      </c>
      <c r="K28" s="2" t="s">
        <v>657</v>
      </c>
      <c r="L28" s="2">
        <v>5.94</v>
      </c>
      <c r="M28" s="2" t="str">
        <f t="shared" si="0"/>
        <v>합곡리 895-4</v>
      </c>
      <c r="N28" s="39">
        <v>140</v>
      </c>
      <c r="O28" s="39">
        <v>150</v>
      </c>
      <c r="P28" s="39">
        <v>2</v>
      </c>
      <c r="Q28" s="2">
        <v>5.94</v>
      </c>
      <c r="R28" s="2" t="s">
        <v>657</v>
      </c>
      <c r="S28" s="2" t="s">
        <v>11</v>
      </c>
    </row>
    <row r="29" spans="1:19" ht="21.75" customHeight="1">
      <c r="A29" s="1"/>
      <c r="B29" s="1"/>
      <c r="E29" s="5"/>
    </row>
    <row r="30" spans="1:19" ht="21.75" customHeight="1" thickBot="1">
      <c r="A30" s="1"/>
      <c r="B30" s="1"/>
      <c r="E30" s="5"/>
    </row>
    <row r="31" spans="1:19" ht="21.75" customHeight="1">
      <c r="A31" s="1"/>
      <c r="B31" s="7" t="s">
        <v>21</v>
      </c>
      <c r="C31" s="10" t="s">
        <v>20</v>
      </c>
      <c r="D31" s="11" t="s">
        <v>5</v>
      </c>
      <c r="E31" s="5"/>
    </row>
    <row r="32" spans="1:19" ht="21.75" customHeight="1">
      <c r="A32" s="1"/>
      <c r="B32" s="12" t="s">
        <v>18</v>
      </c>
      <c r="C32" s="9">
        <f ca="1">COUNTIF(AA_INSIDE_AREA,"O")</f>
        <v>21</v>
      </c>
      <c r="D32" s="13">
        <f ca="1">SUMIF(AA_INSIDE_AREA,"O",$L$2:$L$2)</f>
        <v>110.02</v>
      </c>
    </row>
    <row r="33" spans="2:12" ht="21.75" customHeight="1">
      <c r="B33" s="12" t="s">
        <v>19</v>
      </c>
      <c r="C33" s="9">
        <f ca="1">COUNTIF(AA_INSIDE_AREA,"X")</f>
        <v>6</v>
      </c>
      <c r="D33" s="13">
        <f ca="1">SUMIF(AA_INSIDE_AREA,"X",$L$2:$L$2)</f>
        <v>33.979999999999997</v>
      </c>
      <c r="L33" s="37"/>
    </row>
    <row r="34" spans="2:12" ht="21.75" customHeight="1" thickBot="1">
      <c r="B34" s="8"/>
      <c r="C34" s="14"/>
      <c r="D34" s="15">
        <f ca="1">D32+D33</f>
        <v>144</v>
      </c>
      <c r="L34" s="37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N14" sqref="N14"/>
    </sheetView>
  </sheetViews>
  <sheetFormatPr defaultRowHeight="13.5"/>
  <cols>
    <col min="1" max="3" width="9" style="40"/>
    <col min="4" max="4" width="11.25" style="40" customWidth="1"/>
    <col min="5" max="5" width="9" style="42"/>
    <col min="6" max="6" width="11" style="40" customWidth="1"/>
    <col min="7" max="7" width="9" style="40" customWidth="1"/>
    <col min="8" max="8" width="9.375" style="40" customWidth="1"/>
    <col min="9" max="10" width="9" style="40"/>
    <col min="11" max="11" width="14.75" style="40" customWidth="1"/>
    <col min="12" max="12" width="10.875" style="40" customWidth="1"/>
    <col min="13" max="13" width="19.875" style="41" customWidth="1"/>
    <col min="14" max="17" width="9" style="40"/>
    <col min="18" max="18" width="11.125" style="40" customWidth="1"/>
    <col min="19" max="19" width="9" style="40"/>
    <col min="20" max="20" width="9" style="41"/>
    <col min="21" max="21" width="11" style="41" customWidth="1"/>
    <col min="22" max="16384" width="9" style="41"/>
  </cols>
  <sheetData>
    <row r="1" spans="1:19" s="2" customFormat="1" ht="47.25" customHeight="1">
      <c r="A1" s="34" t="s">
        <v>3</v>
      </c>
      <c r="B1" s="35" t="s">
        <v>0</v>
      </c>
      <c r="C1" s="35" t="s">
        <v>6</v>
      </c>
      <c r="D1" s="35" t="s">
        <v>6</v>
      </c>
      <c r="E1" s="36" t="s">
        <v>6</v>
      </c>
      <c r="F1" s="35" t="s">
        <v>1</v>
      </c>
      <c r="G1" s="32" t="s">
        <v>249</v>
      </c>
      <c r="H1" s="32" t="s">
        <v>251</v>
      </c>
      <c r="I1" s="35" t="s">
        <v>8</v>
      </c>
      <c r="J1" s="35" t="s">
        <v>192</v>
      </c>
      <c r="K1" s="34"/>
      <c r="L1" s="35" t="s">
        <v>5</v>
      </c>
      <c r="M1" s="35" t="s">
        <v>6</v>
      </c>
      <c r="N1" s="34" t="s">
        <v>12</v>
      </c>
      <c r="O1" s="34" t="s">
        <v>13</v>
      </c>
      <c r="P1" s="34" t="s">
        <v>17</v>
      </c>
      <c r="Q1" s="34" t="s">
        <v>5</v>
      </c>
      <c r="R1" s="34" t="s">
        <v>16</v>
      </c>
      <c r="S1" s="34" t="s">
        <v>10</v>
      </c>
    </row>
    <row r="2" spans="1:19" ht="21.75" customHeight="1">
      <c r="A2" s="40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>
        <v>0</v>
      </c>
      <c r="R2" s="2" t="s">
        <v>158</v>
      </c>
      <c r="S2" s="2" t="s">
        <v>11</v>
      </c>
    </row>
    <row r="3" spans="1:19" ht="21.75" customHeight="1"/>
    <row r="4" spans="1:19" ht="21.75" customHeight="1"/>
    <row r="5" spans="1:19" ht="21.75" customHeight="1">
      <c r="K5" s="40" t="s">
        <v>30</v>
      </c>
      <c r="L5" s="43">
        <f>SUM(L2:L4)</f>
        <v>0</v>
      </c>
      <c r="S5" s="37"/>
    </row>
    <row r="6" spans="1:19" ht="18.75" customHeight="1" thickBot="1"/>
    <row r="7" spans="1:19" ht="18.75" customHeight="1">
      <c r="B7" s="18" t="s">
        <v>29</v>
      </c>
      <c r="C7" s="10" t="s">
        <v>20</v>
      </c>
      <c r="D7" s="11" t="s">
        <v>5</v>
      </c>
      <c r="L7" s="37"/>
      <c r="S7" s="37"/>
    </row>
    <row r="8" spans="1:19" ht="18.75" customHeight="1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37"/>
      <c r="S8" s="37"/>
    </row>
    <row r="9" spans="1:19" ht="18.75" customHeight="1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>
      <c r="B10" s="17"/>
      <c r="C10" s="14"/>
      <c r="D10" s="15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4" customWidth="1"/>
    <col min="4" max="4" width="9" style="4"/>
    <col min="5" max="5" width="28.125" style="22" customWidth="1"/>
  </cols>
  <sheetData>
    <row r="1" spans="1:10" ht="21.75" customHeight="1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>
      <c r="C3" s="4" t="s">
        <v>88</v>
      </c>
      <c r="D3" s="4" t="s">
        <v>35</v>
      </c>
      <c r="E3" s="22" t="s">
        <v>142</v>
      </c>
    </row>
    <row r="4" spans="1:10" ht="20.100000000000001" customHeight="1">
      <c r="C4" s="4" t="s">
        <v>140</v>
      </c>
      <c r="D4" s="4" t="s">
        <v>36</v>
      </c>
      <c r="E4" s="22" t="s">
        <v>143</v>
      </c>
    </row>
    <row r="5" spans="1:10" ht="20.100000000000001" customHeight="1">
      <c r="C5" s="4" t="s">
        <v>24</v>
      </c>
      <c r="D5" s="4" t="s">
        <v>37</v>
      </c>
      <c r="E5" s="22" t="s">
        <v>144</v>
      </c>
    </row>
    <row r="6" spans="1:10" ht="20.100000000000001" customHeight="1">
      <c r="C6" s="4" t="s">
        <v>89</v>
      </c>
      <c r="D6" s="4" t="s">
        <v>38</v>
      </c>
      <c r="E6" s="22" t="s">
        <v>145</v>
      </c>
    </row>
    <row r="7" spans="1:10" ht="20.100000000000001" customHeight="1">
      <c r="C7" s="4" t="s">
        <v>90</v>
      </c>
      <c r="D7" s="4" t="s">
        <v>39</v>
      </c>
      <c r="E7" s="22" t="s">
        <v>33</v>
      </c>
    </row>
    <row r="8" spans="1:10" ht="20.100000000000001" customHeight="1">
      <c r="C8" s="4" t="s">
        <v>91</v>
      </c>
      <c r="D8" s="4" t="s">
        <v>40</v>
      </c>
      <c r="E8" s="22" t="s">
        <v>146</v>
      </c>
    </row>
    <row r="9" spans="1:10" ht="20.100000000000001" customHeight="1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>
      <c r="C10" s="4" t="s">
        <v>93</v>
      </c>
      <c r="D10" s="4" t="s">
        <v>42</v>
      </c>
      <c r="E10" s="22" t="s">
        <v>148</v>
      </c>
    </row>
    <row r="11" spans="1:10" ht="20.100000000000001" customHeight="1">
      <c r="C11" s="4" t="s">
        <v>94</v>
      </c>
      <c r="D11" s="4" t="s">
        <v>43</v>
      </c>
      <c r="E11" s="22" t="s">
        <v>149</v>
      </c>
    </row>
    <row r="12" spans="1:10" ht="20.100000000000001" customHeight="1">
      <c r="C12" s="4" t="s">
        <v>95</v>
      </c>
      <c r="D12" s="4" t="s">
        <v>44</v>
      </c>
      <c r="E12" s="22" t="s">
        <v>150</v>
      </c>
    </row>
    <row r="13" spans="1:10" ht="20.100000000000001" customHeight="1">
      <c r="C13" s="4" t="s">
        <v>96</v>
      </c>
      <c r="D13" s="4" t="s">
        <v>45</v>
      </c>
      <c r="E13" s="22" t="s">
        <v>151</v>
      </c>
    </row>
    <row r="14" spans="1:10" ht="20.100000000000001" customHeight="1">
      <c r="C14" s="4" t="s">
        <v>97</v>
      </c>
      <c r="D14" s="4" t="s">
        <v>46</v>
      </c>
      <c r="E14" s="22" t="s">
        <v>152</v>
      </c>
    </row>
    <row r="15" spans="1:10" ht="20.100000000000001" customHeight="1">
      <c r="C15" s="4" t="s">
        <v>98</v>
      </c>
      <c r="D15" s="4" t="s">
        <v>47</v>
      </c>
      <c r="E15" s="22" t="s">
        <v>153</v>
      </c>
    </row>
    <row r="16" spans="1:10" ht="20.100000000000001" customHeight="1">
      <c r="C16" s="4" t="s">
        <v>99</v>
      </c>
      <c r="D16" s="4" t="s">
        <v>48</v>
      </c>
      <c r="E16" s="22" t="s">
        <v>154</v>
      </c>
    </row>
    <row r="17" spans="3:5" ht="20.100000000000001" customHeight="1">
      <c r="C17" s="4" t="s">
        <v>100</v>
      </c>
      <c r="D17" s="4" t="s">
        <v>49</v>
      </c>
      <c r="E17" s="22" t="s">
        <v>155</v>
      </c>
    </row>
    <row r="18" spans="3:5" ht="20.100000000000001" customHeight="1">
      <c r="C18" s="4" t="s">
        <v>101</v>
      </c>
      <c r="D18" s="4" t="s">
        <v>50</v>
      </c>
      <c r="E18" s="22" t="s">
        <v>156</v>
      </c>
    </row>
    <row r="19" spans="3:5" ht="20.100000000000001" customHeight="1">
      <c r="C19" s="4" t="s">
        <v>102</v>
      </c>
      <c r="D19" s="4" t="s">
        <v>51</v>
      </c>
      <c r="E19" s="22" t="s">
        <v>157</v>
      </c>
    </row>
    <row r="20" spans="3:5" ht="20.100000000000001" customHeight="1">
      <c r="C20" s="4" t="s">
        <v>103</v>
      </c>
      <c r="D20" s="4" t="s">
        <v>52</v>
      </c>
      <c r="E20" s="22" t="s">
        <v>158</v>
      </c>
    </row>
    <row r="21" spans="3:5" ht="20.100000000000001" customHeight="1">
      <c r="C21" s="4" t="s">
        <v>104</v>
      </c>
      <c r="D21" s="4" t="s">
        <v>53</v>
      </c>
      <c r="E21" s="22" t="s">
        <v>153</v>
      </c>
    </row>
    <row r="22" spans="3:5" ht="20.100000000000001" customHeight="1">
      <c r="C22" s="4" t="s">
        <v>105</v>
      </c>
      <c r="D22" s="4" t="s">
        <v>54</v>
      </c>
      <c r="E22" s="22" t="s">
        <v>159</v>
      </c>
    </row>
    <row r="23" spans="3:5" ht="20.100000000000001" customHeight="1">
      <c r="C23" s="4" t="s">
        <v>106</v>
      </c>
      <c r="D23" s="4" t="s">
        <v>55</v>
      </c>
      <c r="E23" s="22" t="s">
        <v>160</v>
      </c>
    </row>
    <row r="24" spans="3:5" ht="20.100000000000001" customHeight="1">
      <c r="C24" s="4" t="s">
        <v>107</v>
      </c>
      <c r="D24" s="4" t="s">
        <v>56</v>
      </c>
      <c r="E24" s="22" t="s">
        <v>161</v>
      </c>
    </row>
    <row r="25" spans="3:5" ht="20.100000000000001" customHeight="1">
      <c r="C25" s="4" t="s">
        <v>108</v>
      </c>
      <c r="D25" s="4" t="s">
        <v>57</v>
      </c>
      <c r="E25" s="22" t="s">
        <v>162</v>
      </c>
    </row>
    <row r="26" spans="3:5" ht="20.100000000000001" customHeight="1">
      <c r="C26" s="4" t="s">
        <v>109</v>
      </c>
      <c r="D26" s="4" t="s">
        <v>58</v>
      </c>
      <c r="E26" s="22" t="s">
        <v>163</v>
      </c>
    </row>
    <row r="27" spans="3:5" ht="20.100000000000001" customHeight="1">
      <c r="C27" s="4" t="s">
        <v>110</v>
      </c>
      <c r="D27" s="4" t="s">
        <v>59</v>
      </c>
      <c r="E27" s="22" t="s">
        <v>164</v>
      </c>
    </row>
    <row r="28" spans="3:5" ht="20.100000000000001" customHeight="1">
      <c r="C28" s="4" t="s">
        <v>111</v>
      </c>
      <c r="D28" s="4" t="s">
        <v>60</v>
      </c>
      <c r="E28" s="22" t="s">
        <v>153</v>
      </c>
    </row>
    <row r="29" spans="3:5" ht="20.100000000000001" customHeight="1">
      <c r="C29" s="4" t="s">
        <v>112</v>
      </c>
      <c r="D29" s="4" t="s">
        <v>61</v>
      </c>
      <c r="E29" s="22" t="s">
        <v>165</v>
      </c>
    </row>
    <row r="30" spans="3:5" ht="20.100000000000001" customHeight="1">
      <c r="C30" s="4" t="s">
        <v>113</v>
      </c>
      <c r="D30" s="4" t="s">
        <v>62</v>
      </c>
      <c r="E30" s="22" t="s">
        <v>166</v>
      </c>
    </row>
    <row r="31" spans="3:5" ht="20.100000000000001" customHeight="1">
      <c r="C31" s="4" t="s">
        <v>114</v>
      </c>
      <c r="D31" s="4" t="s">
        <v>63</v>
      </c>
      <c r="E31" s="22" t="s">
        <v>167</v>
      </c>
    </row>
    <row r="32" spans="3:5" ht="20.100000000000001" customHeight="1">
      <c r="C32" s="4" t="s">
        <v>115</v>
      </c>
      <c r="D32" s="4" t="s">
        <v>64</v>
      </c>
      <c r="E32" s="24" t="s">
        <v>168</v>
      </c>
    </row>
    <row r="33" spans="3:7" ht="20.100000000000001" customHeight="1">
      <c r="C33" s="4" t="s">
        <v>116</v>
      </c>
      <c r="D33" s="4" t="s">
        <v>65</v>
      </c>
      <c r="E33" s="24" t="s">
        <v>169</v>
      </c>
    </row>
    <row r="34" spans="3:7" ht="20.100000000000001" customHeight="1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>
      <c r="C37" s="4" t="s">
        <v>119</v>
      </c>
      <c r="D37" s="4" t="s">
        <v>69</v>
      </c>
      <c r="E37" s="22" t="s">
        <v>172</v>
      </c>
    </row>
    <row r="38" spans="3:7" ht="20.100000000000001" customHeight="1">
      <c r="C38" s="4" t="s">
        <v>120</v>
      </c>
      <c r="D38" s="4" t="s">
        <v>70</v>
      </c>
      <c r="E38" s="22" t="s">
        <v>173</v>
      </c>
    </row>
    <row r="39" spans="3:7" ht="20.100000000000001" customHeight="1">
      <c r="C39" s="4" t="s">
        <v>121</v>
      </c>
      <c r="D39" s="4" t="s">
        <v>71</v>
      </c>
      <c r="E39" s="24" t="s">
        <v>174</v>
      </c>
    </row>
    <row r="40" spans="3:7" ht="20.100000000000001" customHeight="1">
      <c r="C40" s="4" t="s">
        <v>122</v>
      </c>
      <c r="D40" s="4" t="s">
        <v>72</v>
      </c>
      <c r="E40" s="24" t="s">
        <v>175</v>
      </c>
    </row>
    <row r="41" spans="3:7" ht="20.100000000000001" customHeight="1">
      <c r="C41" s="4" t="s">
        <v>123</v>
      </c>
      <c r="D41" s="4" t="s">
        <v>73</v>
      </c>
      <c r="E41" s="24" t="s">
        <v>176</v>
      </c>
    </row>
    <row r="42" spans="3:7" ht="20.100000000000001" customHeight="1">
      <c r="C42" s="4" t="s">
        <v>124</v>
      </c>
      <c r="D42" s="4" t="s">
        <v>74</v>
      </c>
      <c r="E42" s="24" t="s">
        <v>177</v>
      </c>
    </row>
    <row r="43" spans="3:7" ht="20.100000000000001" customHeight="1">
      <c r="C43" s="4" t="s">
        <v>125</v>
      </c>
      <c r="D43" s="4" t="s">
        <v>75</v>
      </c>
      <c r="E43" s="22" t="s">
        <v>178</v>
      </c>
    </row>
    <row r="44" spans="3:7" ht="20.100000000000001" customHeight="1">
      <c r="C44" s="4" t="s">
        <v>126</v>
      </c>
      <c r="D44" s="4" t="s">
        <v>76</v>
      </c>
      <c r="E44" s="22" t="s">
        <v>179</v>
      </c>
    </row>
    <row r="45" spans="3:7" ht="20.100000000000001" customHeight="1">
      <c r="C45" s="4" t="s">
        <v>127</v>
      </c>
      <c r="D45" s="4" t="s">
        <v>77</v>
      </c>
      <c r="E45" s="22" t="s">
        <v>12</v>
      </c>
    </row>
    <row r="46" spans="3:7" ht="20.100000000000001" customHeight="1">
      <c r="C46" s="4" t="s">
        <v>128</v>
      </c>
      <c r="D46" s="4" t="s">
        <v>78</v>
      </c>
      <c r="E46" s="22" t="s">
        <v>13</v>
      </c>
    </row>
    <row r="47" spans="3:7" ht="20.100000000000001" customHeight="1">
      <c r="C47" s="4" t="s">
        <v>129</v>
      </c>
      <c r="D47" s="4" t="s">
        <v>79</v>
      </c>
      <c r="E47" s="22" t="s">
        <v>180</v>
      </c>
    </row>
    <row r="48" spans="3:7" ht="20.100000000000001" customHeight="1">
      <c r="C48" s="4" t="s">
        <v>130</v>
      </c>
      <c r="D48" s="4" t="s">
        <v>80</v>
      </c>
      <c r="E48" s="22" t="s">
        <v>8</v>
      </c>
    </row>
    <row r="49" spans="3:5" ht="20.100000000000001" customHeight="1">
      <c r="C49" s="4" t="s">
        <v>131</v>
      </c>
      <c r="D49" s="4" t="s">
        <v>81</v>
      </c>
      <c r="E49" s="22" t="s">
        <v>181</v>
      </c>
    </row>
    <row r="50" spans="3:5" ht="20.100000000000001" customHeight="1">
      <c r="C50" s="4" t="s">
        <v>132</v>
      </c>
      <c r="D50" s="4" t="s">
        <v>82</v>
      </c>
      <c r="E50" s="24" t="s">
        <v>182</v>
      </c>
    </row>
    <row r="51" spans="3:5" ht="20.100000000000001" customHeight="1">
      <c r="C51" s="4" t="s">
        <v>133</v>
      </c>
      <c r="D51" s="4" t="s">
        <v>83</v>
      </c>
      <c r="E51" s="24" t="s">
        <v>183</v>
      </c>
    </row>
    <row r="52" spans="3:5" ht="20.100000000000001" customHeight="1">
      <c r="C52" s="4" t="s">
        <v>134</v>
      </c>
      <c r="D52" s="4" t="s">
        <v>84</v>
      </c>
      <c r="E52" s="24" t="s">
        <v>184</v>
      </c>
    </row>
    <row r="53" spans="3:5" ht="20.100000000000001" customHeight="1">
      <c r="C53" s="4" t="s">
        <v>135</v>
      </c>
      <c r="D53" s="4" t="s">
        <v>85</v>
      </c>
      <c r="E53" s="24" t="s">
        <v>185</v>
      </c>
    </row>
    <row r="54" spans="3:5" ht="20.100000000000001" customHeight="1">
      <c r="C54" s="4" t="s">
        <v>136</v>
      </c>
      <c r="D54" s="4" t="s">
        <v>86</v>
      </c>
      <c r="E54" s="24" t="s">
        <v>186</v>
      </c>
    </row>
    <row r="55" spans="3:5" ht="20.100000000000001" customHeight="1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4" customFormat="1" ht="30.75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>
      <c r="A2" s="2" t="s">
        <v>761</v>
      </c>
      <c r="B2" s="2" t="s">
        <v>794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>
      <c r="A3" s="2" t="s">
        <v>762</v>
      </c>
      <c r="B3" s="2" t="s">
        <v>795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>
      <c r="A4" s="2" t="s">
        <v>763</v>
      </c>
      <c r="B4" s="2" t="s">
        <v>796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>
      <c r="A5" s="2" t="s">
        <v>764</v>
      </c>
      <c r="B5" s="2" t="s">
        <v>797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>
      <c r="A6" s="2" t="s">
        <v>765</v>
      </c>
      <c r="B6" s="2" t="s">
        <v>798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>
      <c r="A7" s="2" t="s">
        <v>766</v>
      </c>
      <c r="B7" s="2" t="s">
        <v>799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>
      <c r="A8" s="2" t="s">
        <v>767</v>
      </c>
      <c r="B8" s="2" t="s">
        <v>800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>
      <c r="A9" s="2" t="s">
        <v>768</v>
      </c>
      <c r="B9" s="2" t="s">
        <v>801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>
      <c r="A10" s="2" t="s">
        <v>769</v>
      </c>
      <c r="B10" s="2" t="s">
        <v>802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>
      <c r="A11" s="2" t="s">
        <v>770</v>
      </c>
      <c r="B11" s="2" t="s">
        <v>803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>
      <c r="A12" s="2" t="s">
        <v>771</v>
      </c>
      <c r="B12" s="2" t="s">
        <v>804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>
      <c r="A13" s="2" t="s">
        <v>772</v>
      </c>
      <c r="B13" s="2" t="s">
        <v>805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>
      <c r="A14" s="2" t="s">
        <v>773</v>
      </c>
      <c r="B14" s="2" t="s">
        <v>806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>
      <c r="A15" s="2" t="s">
        <v>774</v>
      </c>
      <c r="B15" s="2" t="s">
        <v>807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>
      <c r="A16" s="2" t="s">
        <v>775</v>
      </c>
      <c r="B16" s="2" t="s">
        <v>808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>
      <c r="A17" s="2" t="s">
        <v>776</v>
      </c>
      <c r="B17" s="2" t="s">
        <v>809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>
      <c r="A18" s="2" t="s">
        <v>777</v>
      </c>
      <c r="B18" s="2" t="s">
        <v>810</v>
      </c>
      <c r="C18" s="39">
        <v>20</v>
      </c>
      <c r="D18" s="39">
        <v>50</v>
      </c>
      <c r="E18" s="39">
        <v>0.3</v>
      </c>
      <c r="F18" s="2">
        <v>0.68</v>
      </c>
      <c r="G18" s="2" t="s">
        <v>338</v>
      </c>
      <c r="H18" s="2" t="s">
        <v>326</v>
      </c>
    </row>
    <row r="19" spans="1:8" ht="18" customHeight="1">
      <c r="A19" s="2" t="s">
        <v>778</v>
      </c>
      <c r="B19" s="2" t="s">
        <v>811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848</v>
      </c>
    </row>
    <row r="20" spans="1:8" ht="18" customHeight="1">
      <c r="A20" s="2" t="s">
        <v>779</v>
      </c>
      <c r="B20" s="2" t="s">
        <v>812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848</v>
      </c>
    </row>
    <row r="21" spans="1:8" ht="18" customHeight="1">
      <c r="A21" s="2" t="s">
        <v>780</v>
      </c>
      <c r="B21" s="2" t="s">
        <v>813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848</v>
      </c>
    </row>
    <row r="22" spans="1:8" ht="18" customHeight="1">
      <c r="A22" s="2" t="s">
        <v>781</v>
      </c>
      <c r="B22" s="2" t="s">
        <v>814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848</v>
      </c>
    </row>
    <row r="23" spans="1:8" ht="18" customHeight="1">
      <c r="A23" s="2" t="s">
        <v>782</v>
      </c>
      <c r="B23" s="2" t="s">
        <v>815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848</v>
      </c>
    </row>
    <row r="24" spans="1:8" ht="18" customHeight="1">
      <c r="A24" s="2" t="s">
        <v>783</v>
      </c>
      <c r="B24" s="2" t="s">
        <v>816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>
      <c r="A25" s="2" t="s">
        <v>784</v>
      </c>
      <c r="B25" s="2" t="s">
        <v>817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848</v>
      </c>
    </row>
    <row r="26" spans="1:8" ht="18" customHeight="1">
      <c r="A26" s="2" t="s">
        <v>785</v>
      </c>
      <c r="B26" s="2" t="s">
        <v>818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>
      <c r="A27" s="2" t="s">
        <v>786</v>
      </c>
      <c r="B27" s="2" t="s">
        <v>819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>
      <c r="A28" s="2" t="s">
        <v>787</v>
      </c>
      <c r="B28" s="2" t="s">
        <v>820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>
      <c r="A29" s="2" t="s">
        <v>788</v>
      </c>
      <c r="B29" s="2" t="s">
        <v>821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>
      <c r="A30" s="2" t="s">
        <v>789</v>
      </c>
      <c r="B30" s="2" t="s">
        <v>822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>
      <c r="A31" s="2" t="s">
        <v>790</v>
      </c>
      <c r="B31" s="2" t="s">
        <v>823</v>
      </c>
      <c r="C31" s="2">
        <v>30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>
      <c r="A32" s="2" t="s">
        <v>791</v>
      </c>
      <c r="B32" s="2" t="s">
        <v>824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>
      <c r="A33" s="2" t="s">
        <v>792</v>
      </c>
      <c r="B33" s="2" t="s">
        <v>825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>
      <c r="A34" s="2" t="s">
        <v>793</v>
      </c>
      <c r="B34" s="2" t="s">
        <v>826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>
      <c r="A35" s="2" t="s">
        <v>880</v>
      </c>
      <c r="B35" s="2" t="s">
        <v>803</v>
      </c>
      <c r="C35" s="2">
        <v>20</v>
      </c>
      <c r="D35" s="2">
        <v>50</v>
      </c>
      <c r="E35" s="2">
        <v>0.5</v>
      </c>
      <c r="F35" s="2">
        <v>1.68</v>
      </c>
      <c r="G35" s="2" t="s">
        <v>338</v>
      </c>
      <c r="H35" s="2" t="s">
        <v>326</v>
      </c>
    </row>
    <row r="36" spans="1:8" ht="18" customHeight="1">
      <c r="A36" s="2" t="s">
        <v>881</v>
      </c>
      <c r="B36" s="2" t="s">
        <v>804</v>
      </c>
      <c r="C36" s="2">
        <v>20</v>
      </c>
      <c r="D36" s="2">
        <v>50</v>
      </c>
      <c r="E36" s="2">
        <v>0.5</v>
      </c>
      <c r="F36" s="2">
        <v>2.68</v>
      </c>
      <c r="G36" s="2" t="s">
        <v>338</v>
      </c>
      <c r="H36" s="2" t="s">
        <v>326</v>
      </c>
    </row>
    <row r="37" spans="1:8" ht="18" customHeight="1">
      <c r="A37" s="2" t="s">
        <v>882</v>
      </c>
      <c r="B37" s="2" t="s">
        <v>805</v>
      </c>
      <c r="C37" s="2">
        <v>20</v>
      </c>
      <c r="D37" s="2">
        <v>50</v>
      </c>
      <c r="E37" s="2">
        <v>0.3</v>
      </c>
      <c r="F37" s="2">
        <v>3.68</v>
      </c>
      <c r="G37" s="2" t="s">
        <v>338</v>
      </c>
      <c r="H37" s="2" t="s">
        <v>326</v>
      </c>
    </row>
    <row r="38" spans="1:8" ht="18" customHeight="1">
      <c r="A38" s="2" t="s">
        <v>883</v>
      </c>
      <c r="B38" s="2" t="s">
        <v>806</v>
      </c>
      <c r="C38" s="2">
        <v>20</v>
      </c>
      <c r="D38" s="2">
        <v>50</v>
      </c>
      <c r="E38" s="2">
        <v>0.3</v>
      </c>
      <c r="F38" s="2">
        <v>4.68</v>
      </c>
      <c r="G38" s="2" t="s">
        <v>338</v>
      </c>
      <c r="H38" s="2" t="s">
        <v>326</v>
      </c>
    </row>
    <row r="39" spans="1:8" ht="18" customHeight="1">
      <c r="A39" s="2" t="s">
        <v>884</v>
      </c>
      <c r="B39" s="2" t="s">
        <v>807</v>
      </c>
      <c r="C39" s="2">
        <v>15</v>
      </c>
      <c r="D39" s="2">
        <v>50</v>
      </c>
      <c r="E39" s="2">
        <v>0.3</v>
      </c>
      <c r="F39" s="2">
        <v>5.68</v>
      </c>
      <c r="G39" s="2" t="s">
        <v>338</v>
      </c>
      <c r="H39" s="2" t="s">
        <v>326</v>
      </c>
    </row>
    <row r="40" spans="1:8" ht="18" customHeight="1">
      <c r="A40" s="2" t="s">
        <v>885</v>
      </c>
      <c r="B40" s="2" t="s">
        <v>808</v>
      </c>
      <c r="C40" s="2">
        <v>20</v>
      </c>
      <c r="D40" s="2">
        <v>50</v>
      </c>
      <c r="E40" s="2">
        <v>0.3</v>
      </c>
      <c r="F40" s="2">
        <v>6.68</v>
      </c>
      <c r="G40" s="2" t="s">
        <v>338</v>
      </c>
      <c r="H40" s="2" t="s">
        <v>326</v>
      </c>
    </row>
    <row r="41" spans="1:8" ht="18" customHeight="1">
      <c r="A41" s="2" t="s">
        <v>886</v>
      </c>
      <c r="B41" s="2" t="s">
        <v>809</v>
      </c>
      <c r="C41" s="2">
        <v>16</v>
      </c>
      <c r="D41" s="2">
        <v>50</v>
      </c>
      <c r="E41" s="2">
        <v>0.3</v>
      </c>
      <c r="F41" s="2">
        <v>7.68</v>
      </c>
      <c r="G41" s="2" t="s">
        <v>338</v>
      </c>
      <c r="H41" s="2" t="s">
        <v>326</v>
      </c>
    </row>
    <row r="42" spans="1:8" ht="18" customHeight="1">
      <c r="A42" s="2" t="s">
        <v>887</v>
      </c>
      <c r="B42" s="2" t="s">
        <v>810</v>
      </c>
      <c r="C42" s="2">
        <v>20</v>
      </c>
      <c r="D42" s="2">
        <v>50</v>
      </c>
      <c r="E42" s="2">
        <v>0.3</v>
      </c>
      <c r="F42" s="2">
        <v>8.68</v>
      </c>
      <c r="G42" s="2" t="s">
        <v>338</v>
      </c>
      <c r="H42" s="2" t="s">
        <v>326</v>
      </c>
    </row>
    <row r="43" spans="1:8" ht="18" customHeight="1">
      <c r="A43" s="2" t="s">
        <v>888</v>
      </c>
      <c r="B43" s="2" t="s">
        <v>811</v>
      </c>
      <c r="C43" s="2">
        <v>20</v>
      </c>
      <c r="D43" s="2">
        <v>50</v>
      </c>
      <c r="E43" s="2">
        <v>0.3</v>
      </c>
      <c r="F43" s="2">
        <v>9.68</v>
      </c>
      <c r="G43" s="2" t="s">
        <v>338</v>
      </c>
      <c r="H43" s="2" t="s">
        <v>326</v>
      </c>
    </row>
    <row r="44" spans="1:8" ht="18" customHeight="1">
      <c r="A44" s="2" t="s">
        <v>889</v>
      </c>
      <c r="B44" s="2" t="s">
        <v>812</v>
      </c>
      <c r="C44" s="2">
        <v>20</v>
      </c>
      <c r="D44" s="2">
        <v>50</v>
      </c>
      <c r="E44" s="2">
        <v>0.3</v>
      </c>
      <c r="F44" s="2">
        <v>10.68</v>
      </c>
      <c r="G44" s="2" t="s">
        <v>338</v>
      </c>
      <c r="H44" s="2" t="s">
        <v>326</v>
      </c>
    </row>
    <row r="45" spans="1:8" ht="18" customHeight="1">
      <c r="A45" s="2" t="s">
        <v>890</v>
      </c>
      <c r="B45" s="2" t="s">
        <v>813</v>
      </c>
      <c r="C45" s="2">
        <v>10</v>
      </c>
      <c r="D45" s="2">
        <v>50</v>
      </c>
      <c r="E45" s="2">
        <v>0.3</v>
      </c>
      <c r="F45" s="2">
        <v>11.68</v>
      </c>
      <c r="G45" s="2" t="s">
        <v>338</v>
      </c>
      <c r="H45" s="2" t="s">
        <v>326</v>
      </c>
    </row>
    <row r="46" spans="1:8" ht="18" customHeight="1">
      <c r="A46" s="2" t="s">
        <v>891</v>
      </c>
      <c r="B46" s="2" t="s">
        <v>814</v>
      </c>
      <c r="C46" s="2">
        <v>30</v>
      </c>
      <c r="D46" s="2">
        <v>50</v>
      </c>
      <c r="E46" s="2">
        <v>0.5</v>
      </c>
      <c r="F46" s="2">
        <v>12.68</v>
      </c>
      <c r="G46" s="2" t="s">
        <v>338</v>
      </c>
      <c r="H46" s="2" t="s">
        <v>326</v>
      </c>
    </row>
    <row r="47" spans="1:8" ht="18" customHeight="1">
      <c r="A47" s="2" t="s">
        <v>892</v>
      </c>
      <c r="B47" s="2" t="s">
        <v>815</v>
      </c>
      <c r="C47" s="2">
        <v>20</v>
      </c>
      <c r="D47" s="2">
        <v>50</v>
      </c>
      <c r="E47" s="2">
        <v>0.5</v>
      </c>
      <c r="F47" s="2">
        <v>13.68</v>
      </c>
      <c r="G47" s="2" t="s">
        <v>338</v>
      </c>
      <c r="H47" s="2" t="s">
        <v>326</v>
      </c>
    </row>
    <row r="48" spans="1:8" ht="18" customHeight="1">
      <c r="A48" s="2" t="s">
        <v>893</v>
      </c>
      <c r="B48" s="2" t="s">
        <v>816</v>
      </c>
      <c r="C48" s="2">
        <v>15</v>
      </c>
      <c r="D48" s="2">
        <v>50</v>
      </c>
      <c r="E48" s="2">
        <v>0.3</v>
      </c>
      <c r="F48" s="2">
        <v>14.68</v>
      </c>
      <c r="G48" s="2" t="s">
        <v>338</v>
      </c>
      <c r="H48" s="2" t="s">
        <v>326</v>
      </c>
    </row>
    <row r="49" spans="1:8" ht="18" customHeight="1">
      <c r="A49" s="2" t="s">
        <v>894</v>
      </c>
      <c r="B49" s="2" t="s">
        <v>817</v>
      </c>
      <c r="C49" s="2">
        <v>20</v>
      </c>
      <c r="D49" s="2">
        <v>50</v>
      </c>
      <c r="E49" s="2">
        <v>0.5</v>
      </c>
      <c r="F49" s="2">
        <v>15.68</v>
      </c>
      <c r="G49" s="2" t="s">
        <v>338</v>
      </c>
      <c r="H49" s="2" t="s">
        <v>326</v>
      </c>
    </row>
    <row r="50" spans="1:8" ht="18" customHeight="1">
      <c r="A50" s="2" t="s">
        <v>895</v>
      </c>
      <c r="B50" s="2" t="s">
        <v>818</v>
      </c>
      <c r="C50" s="2">
        <v>20</v>
      </c>
      <c r="D50" s="2">
        <v>50</v>
      </c>
      <c r="E50" s="2">
        <v>0.3</v>
      </c>
      <c r="F50" s="2">
        <v>16.68</v>
      </c>
      <c r="G50" s="2" t="s">
        <v>338</v>
      </c>
      <c r="H50" s="2" t="s">
        <v>326</v>
      </c>
    </row>
    <row r="51" spans="1:8" ht="18" customHeight="1">
      <c r="A51" s="2" t="s">
        <v>896</v>
      </c>
      <c r="B51" s="2" t="s">
        <v>819</v>
      </c>
      <c r="C51" s="2">
        <v>20</v>
      </c>
      <c r="D51" s="2">
        <v>50</v>
      </c>
      <c r="E51" s="2">
        <v>0.3</v>
      </c>
      <c r="F51" s="2">
        <v>17.68</v>
      </c>
      <c r="G51" s="2" t="s">
        <v>338</v>
      </c>
      <c r="H51" s="2" t="s">
        <v>326</v>
      </c>
    </row>
    <row r="52" spans="1:8" ht="18" customHeight="1">
      <c r="A52" s="2" t="s">
        <v>897</v>
      </c>
      <c r="B52" s="2" t="s">
        <v>820</v>
      </c>
      <c r="C52" s="2">
        <v>20</v>
      </c>
      <c r="D52" s="2">
        <v>50</v>
      </c>
      <c r="E52" s="2">
        <v>0.3</v>
      </c>
      <c r="F52" s="2">
        <v>18.68</v>
      </c>
      <c r="G52" s="2" t="s">
        <v>338</v>
      </c>
      <c r="H52" s="2" t="s">
        <v>326</v>
      </c>
    </row>
    <row r="53" spans="1:8" ht="18" customHeight="1">
      <c r="A53" s="2" t="s">
        <v>898</v>
      </c>
      <c r="B53" s="2" t="s">
        <v>821</v>
      </c>
      <c r="C53" s="2">
        <v>20</v>
      </c>
      <c r="D53" s="2">
        <v>50</v>
      </c>
      <c r="E53" s="2">
        <v>0.3</v>
      </c>
      <c r="F53" s="2">
        <v>19.68</v>
      </c>
      <c r="G53" s="2" t="s">
        <v>338</v>
      </c>
      <c r="H53" s="2" t="s">
        <v>326</v>
      </c>
    </row>
    <row r="54" spans="1:8" ht="18" customHeight="1">
      <c r="A54" s="2" t="s">
        <v>899</v>
      </c>
      <c r="B54" s="2" t="s">
        <v>822</v>
      </c>
      <c r="C54" s="2">
        <v>20</v>
      </c>
      <c r="D54" s="2">
        <v>50</v>
      </c>
      <c r="E54" s="2">
        <v>0.3</v>
      </c>
      <c r="F54" s="2">
        <v>20.68</v>
      </c>
      <c r="G54" s="2" t="s">
        <v>338</v>
      </c>
      <c r="H54" s="2" t="s">
        <v>326</v>
      </c>
    </row>
    <row r="55" spans="1:8" ht="18" customHeight="1">
      <c r="A55" s="2" t="s">
        <v>900</v>
      </c>
      <c r="B55" s="2" t="s">
        <v>823</v>
      </c>
      <c r="C55" s="2">
        <v>30</v>
      </c>
      <c r="D55" s="2">
        <v>50</v>
      </c>
      <c r="E55" s="2">
        <v>0.5</v>
      </c>
      <c r="F55" s="2">
        <v>21.68</v>
      </c>
      <c r="G55" s="2" t="s">
        <v>338</v>
      </c>
      <c r="H55" s="2" t="s">
        <v>326</v>
      </c>
    </row>
    <row r="56" spans="1:8" ht="18" customHeight="1">
      <c r="A56" s="2" t="s">
        <v>901</v>
      </c>
      <c r="B56" s="2" t="s">
        <v>824</v>
      </c>
      <c r="C56" s="2">
        <v>20</v>
      </c>
      <c r="D56" s="2">
        <v>50</v>
      </c>
      <c r="E56" s="2">
        <v>0.3</v>
      </c>
      <c r="F56" s="2">
        <v>22.68</v>
      </c>
      <c r="G56" s="2" t="s">
        <v>338</v>
      </c>
      <c r="H56" s="2" t="s">
        <v>326</v>
      </c>
    </row>
    <row r="57" spans="1:8" ht="18" customHeight="1">
      <c r="A57" s="2" t="s">
        <v>902</v>
      </c>
      <c r="B57" s="2" t="s">
        <v>825</v>
      </c>
      <c r="C57" s="2">
        <v>25</v>
      </c>
      <c r="D57" s="2">
        <v>50</v>
      </c>
      <c r="E57" s="2">
        <v>0.5</v>
      </c>
      <c r="F57" s="2">
        <v>23.68</v>
      </c>
      <c r="G57" s="2" t="s">
        <v>338</v>
      </c>
      <c r="H57" s="2" t="s">
        <v>326</v>
      </c>
    </row>
    <row r="58" spans="1:8" ht="18" customHeight="1">
      <c r="A58" s="2" t="s">
        <v>903</v>
      </c>
      <c r="B58" s="2" t="s">
        <v>826</v>
      </c>
      <c r="C58" s="2">
        <v>30</v>
      </c>
      <c r="D58" s="2">
        <v>50</v>
      </c>
      <c r="E58" s="2">
        <v>0.5</v>
      </c>
      <c r="F58" s="2">
        <v>24.68</v>
      </c>
      <c r="G58" s="2" t="s">
        <v>338</v>
      </c>
      <c r="H58" s="2" t="s">
        <v>326</v>
      </c>
    </row>
    <row r="59" spans="1:8" ht="18" customHeight="1">
      <c r="A59" s="2" t="s">
        <v>904</v>
      </c>
      <c r="B59" s="2" t="s">
        <v>820</v>
      </c>
      <c r="C59" s="2">
        <v>20</v>
      </c>
      <c r="D59" s="2">
        <v>50</v>
      </c>
      <c r="E59" s="2">
        <v>0.3</v>
      </c>
      <c r="F59" s="2">
        <v>25.68</v>
      </c>
      <c r="G59" s="2" t="s">
        <v>338</v>
      </c>
      <c r="H59" s="2" t="s">
        <v>326</v>
      </c>
    </row>
    <row r="60" spans="1:8" ht="18" customHeight="1">
      <c r="A60" s="2" t="s">
        <v>905</v>
      </c>
      <c r="B60" s="2" t="s">
        <v>821</v>
      </c>
      <c r="C60" s="2">
        <v>20</v>
      </c>
      <c r="D60" s="2">
        <v>50</v>
      </c>
      <c r="E60" s="2">
        <v>0.3</v>
      </c>
      <c r="F60" s="2">
        <v>26.68</v>
      </c>
      <c r="G60" s="2" t="s">
        <v>338</v>
      </c>
      <c r="H60" s="2" t="s">
        <v>326</v>
      </c>
    </row>
    <row r="61" spans="1:8" ht="18" customHeight="1">
      <c r="A61" s="2" t="s">
        <v>906</v>
      </c>
      <c r="B61" s="2" t="s">
        <v>822</v>
      </c>
      <c r="C61" s="2">
        <v>20</v>
      </c>
      <c r="D61" s="2">
        <v>50</v>
      </c>
      <c r="E61" s="2">
        <v>0.3</v>
      </c>
      <c r="F61" s="2">
        <v>27.68</v>
      </c>
      <c r="G61" s="2" t="s">
        <v>338</v>
      </c>
      <c r="H61" s="2" t="s">
        <v>326</v>
      </c>
    </row>
    <row r="62" spans="1:8" ht="18" customHeight="1">
      <c r="A62" s="2" t="s">
        <v>907</v>
      </c>
      <c r="B62" s="2" t="s">
        <v>823</v>
      </c>
      <c r="C62" s="2">
        <v>30</v>
      </c>
      <c r="D62" s="2">
        <v>50</v>
      </c>
      <c r="E62" s="2">
        <v>0.5</v>
      </c>
      <c r="F62" s="2">
        <v>28.68</v>
      </c>
      <c r="G62" s="2" t="s">
        <v>338</v>
      </c>
      <c r="H62" s="2" t="s">
        <v>326</v>
      </c>
    </row>
    <row r="63" spans="1:8" ht="18" customHeight="1">
      <c r="A63" s="2" t="s">
        <v>908</v>
      </c>
      <c r="B63" s="2" t="s">
        <v>824</v>
      </c>
      <c r="C63" s="2">
        <v>20</v>
      </c>
      <c r="D63" s="2">
        <v>50</v>
      </c>
      <c r="E63" s="2">
        <v>0.3</v>
      </c>
      <c r="F63" s="2">
        <v>29.68</v>
      </c>
      <c r="G63" s="2" t="s">
        <v>338</v>
      </c>
      <c r="H63" s="2" t="s">
        <v>326</v>
      </c>
    </row>
    <row r="64" spans="1:8" ht="18" customHeight="1">
      <c r="A64" s="2" t="s">
        <v>909</v>
      </c>
      <c r="B64" s="2" t="s">
        <v>825</v>
      </c>
      <c r="C64" s="2">
        <v>25</v>
      </c>
      <c r="D64" s="2">
        <v>50</v>
      </c>
      <c r="E64" s="2">
        <v>0.5</v>
      </c>
      <c r="F64" s="2">
        <v>30.68</v>
      </c>
      <c r="G64" s="2" t="s">
        <v>338</v>
      </c>
      <c r="H64" s="2" t="s">
        <v>326</v>
      </c>
    </row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>
      <c r="A2" s="2" t="s">
        <v>760</v>
      </c>
      <c r="B2" s="2" t="s">
        <v>827</v>
      </c>
      <c r="C2" s="2">
        <v>20</v>
      </c>
      <c r="D2" s="2">
        <v>50</v>
      </c>
      <c r="E2" s="2">
        <v>0.5</v>
      </c>
      <c r="F2" s="2">
        <v>3.74</v>
      </c>
      <c r="G2" s="2" t="s">
        <v>828</v>
      </c>
      <c r="H2" s="2" t="s">
        <v>326</v>
      </c>
    </row>
    <row r="3" spans="1:8" ht="18" customHeight="1">
      <c r="A3" s="2" t="s">
        <v>759</v>
      </c>
      <c r="B3" s="2" t="s">
        <v>829</v>
      </c>
      <c r="C3" s="2">
        <v>20</v>
      </c>
      <c r="D3" s="2">
        <v>50</v>
      </c>
      <c r="E3" s="2">
        <v>0.5</v>
      </c>
      <c r="F3" s="2">
        <v>3.3</v>
      </c>
      <c r="G3" s="2" t="s">
        <v>828</v>
      </c>
      <c r="H3" s="2" t="s">
        <v>326</v>
      </c>
    </row>
    <row r="4" spans="1:8" ht="18" customHeight="1">
      <c r="A4" s="2" t="s">
        <v>758</v>
      </c>
      <c r="B4" s="2" t="s">
        <v>830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>
      <c r="A5" s="2" t="s">
        <v>757</v>
      </c>
      <c r="B5" s="2" t="s">
        <v>831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>
      <c r="A6" s="2" t="s">
        <v>756</v>
      </c>
      <c r="B6" s="2" t="s">
        <v>832</v>
      </c>
      <c r="C6" s="2">
        <v>20</v>
      </c>
      <c r="D6" s="2">
        <v>50</v>
      </c>
      <c r="E6" s="2">
        <v>0.5</v>
      </c>
      <c r="F6" s="2">
        <v>3.08</v>
      </c>
      <c r="G6" s="2" t="s">
        <v>828</v>
      </c>
      <c r="H6" s="2" t="s">
        <v>326</v>
      </c>
    </row>
    <row r="7" spans="1:8" ht="18" customHeight="1">
      <c r="A7" s="2" t="s">
        <v>755</v>
      </c>
      <c r="B7" s="2" t="s">
        <v>833</v>
      </c>
      <c r="C7" s="2">
        <v>90</v>
      </c>
      <c r="D7" s="2">
        <v>150</v>
      </c>
      <c r="E7" s="2">
        <v>0.5</v>
      </c>
      <c r="F7" s="2">
        <v>4.62</v>
      </c>
      <c r="G7" s="2" t="s">
        <v>828</v>
      </c>
      <c r="H7" s="2" t="s">
        <v>326</v>
      </c>
    </row>
    <row r="8" spans="1:8" ht="18" customHeight="1">
      <c r="A8" s="2" t="s">
        <v>754</v>
      </c>
      <c r="B8" s="2" t="s">
        <v>834</v>
      </c>
      <c r="C8" s="2">
        <v>20</v>
      </c>
      <c r="D8" s="2">
        <v>50</v>
      </c>
      <c r="E8" s="2">
        <v>0.5</v>
      </c>
      <c r="F8" s="2">
        <v>3.74</v>
      </c>
      <c r="G8" s="2" t="s">
        <v>828</v>
      </c>
      <c r="H8" s="2" t="s">
        <v>326</v>
      </c>
    </row>
    <row r="9" spans="1:8" ht="18" customHeight="1">
      <c r="A9" s="2" t="s">
        <v>753</v>
      </c>
      <c r="B9" s="2" t="s">
        <v>835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848</v>
      </c>
    </row>
    <row r="10" spans="1:8" ht="18" customHeight="1">
      <c r="A10" s="2" t="s">
        <v>752</v>
      </c>
      <c r="B10" s="2" t="s">
        <v>836</v>
      </c>
      <c r="C10" s="2">
        <v>290</v>
      </c>
      <c r="D10" s="2">
        <v>150</v>
      </c>
      <c r="E10" s="2">
        <v>3</v>
      </c>
      <c r="F10" s="2">
        <v>6.2</v>
      </c>
      <c r="G10" s="2" t="s">
        <v>828</v>
      </c>
      <c r="H10" s="2" t="s">
        <v>326</v>
      </c>
    </row>
    <row r="11" spans="1:8" ht="18" customHeight="1">
      <c r="A11" s="2" t="s">
        <v>751</v>
      </c>
      <c r="B11" s="2" t="s">
        <v>837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>
      <c r="A12" s="2" t="s">
        <v>750</v>
      </c>
      <c r="B12" s="2" t="s">
        <v>838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>
      <c r="A13" s="2" t="s">
        <v>749</v>
      </c>
      <c r="B13" s="2" t="s">
        <v>839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848</v>
      </c>
    </row>
    <row r="14" spans="1:8" ht="18" customHeight="1">
      <c r="A14" s="2" t="s">
        <v>748</v>
      </c>
      <c r="B14" s="2" t="s">
        <v>840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848</v>
      </c>
    </row>
    <row r="15" spans="1:8" ht="18" customHeight="1">
      <c r="A15" s="2" t="s">
        <v>747</v>
      </c>
      <c r="B15" s="2" t="s">
        <v>841</v>
      </c>
      <c r="C15" s="2">
        <v>20</v>
      </c>
      <c r="D15" s="2">
        <v>50</v>
      </c>
      <c r="E15" s="2">
        <v>1</v>
      </c>
      <c r="F15" s="2">
        <v>3.74</v>
      </c>
      <c r="G15" s="2" t="s">
        <v>828</v>
      </c>
      <c r="H15" s="2" t="s">
        <v>848</v>
      </c>
    </row>
    <row r="16" spans="1:8" ht="18" customHeight="1">
      <c r="A16" s="2" t="s">
        <v>746</v>
      </c>
      <c r="B16" s="2" t="s">
        <v>842</v>
      </c>
      <c r="C16" s="2">
        <v>100</v>
      </c>
      <c r="D16" s="2">
        <v>150</v>
      </c>
      <c r="E16" s="2">
        <v>2</v>
      </c>
      <c r="F16" s="2">
        <v>5.5</v>
      </c>
      <c r="G16" s="2" t="s">
        <v>828</v>
      </c>
      <c r="H16" s="2" t="s">
        <v>848</v>
      </c>
    </row>
    <row r="17" spans="1:8" ht="18" customHeight="1">
      <c r="A17" s="2" t="s">
        <v>745</v>
      </c>
      <c r="B17" s="2" t="s">
        <v>843</v>
      </c>
      <c r="C17" s="2">
        <v>140</v>
      </c>
      <c r="D17" s="2">
        <v>150</v>
      </c>
      <c r="E17" s="2">
        <v>2</v>
      </c>
      <c r="F17" s="2">
        <v>5.94</v>
      </c>
      <c r="G17" s="2" t="s">
        <v>828</v>
      </c>
      <c r="H17" s="2" t="s">
        <v>848</v>
      </c>
    </row>
    <row r="18" spans="1:8" ht="18" customHeight="1">
      <c r="A18" s="2" t="s">
        <v>744</v>
      </c>
      <c r="B18" s="2" t="s">
        <v>844</v>
      </c>
      <c r="C18" s="2">
        <v>90</v>
      </c>
      <c r="D18" s="2">
        <v>200</v>
      </c>
      <c r="E18" s="2">
        <v>2</v>
      </c>
      <c r="F18" s="2">
        <v>7.26</v>
      </c>
      <c r="G18" s="2" t="s">
        <v>828</v>
      </c>
      <c r="H18" s="2" t="s">
        <v>326</v>
      </c>
    </row>
    <row r="19" spans="1:8" ht="18" customHeight="1">
      <c r="A19" s="2" t="s">
        <v>743</v>
      </c>
      <c r="B19" s="2" t="s">
        <v>845</v>
      </c>
      <c r="C19" s="2">
        <v>100</v>
      </c>
      <c r="D19" s="2">
        <v>200</v>
      </c>
      <c r="E19" s="2">
        <v>2</v>
      </c>
      <c r="F19" s="2">
        <v>5.94</v>
      </c>
      <c r="G19" s="2" t="s">
        <v>828</v>
      </c>
      <c r="H19" s="2" t="s">
        <v>326</v>
      </c>
    </row>
    <row r="20" spans="1:8" ht="18" customHeight="1">
      <c r="A20" s="2" t="s">
        <v>742</v>
      </c>
      <c r="B20" s="2" t="s">
        <v>846</v>
      </c>
      <c r="C20" s="2">
        <v>100</v>
      </c>
      <c r="D20" s="2">
        <v>200</v>
      </c>
      <c r="E20" s="2">
        <v>2</v>
      </c>
      <c r="F20" s="2">
        <v>7.26</v>
      </c>
      <c r="G20" s="2" t="s">
        <v>828</v>
      </c>
      <c r="H20" s="2" t="s">
        <v>326</v>
      </c>
    </row>
    <row r="21" spans="1:8" ht="18" customHeight="1">
      <c r="A21" s="2" t="s">
        <v>741</v>
      </c>
      <c r="B21" s="2" t="s">
        <v>847</v>
      </c>
      <c r="C21" s="2">
        <v>20</v>
      </c>
      <c r="D21" s="2">
        <v>50</v>
      </c>
      <c r="E21" s="2">
        <v>0.5</v>
      </c>
      <c r="F21" s="2">
        <v>3.74</v>
      </c>
      <c r="G21" s="2" t="s">
        <v>828</v>
      </c>
      <c r="H21" s="2" t="s">
        <v>326</v>
      </c>
    </row>
    <row r="22" spans="1:8" ht="18" customHeight="1">
      <c r="A22" s="2" t="s">
        <v>915</v>
      </c>
      <c r="B22" s="2" t="s">
        <v>843</v>
      </c>
      <c r="C22" s="2">
        <v>140</v>
      </c>
      <c r="D22" s="2">
        <v>150</v>
      </c>
      <c r="E22" s="2">
        <v>2</v>
      </c>
      <c r="F22" s="2">
        <v>4.74</v>
      </c>
      <c r="G22" s="2" t="s">
        <v>828</v>
      </c>
      <c r="H22" s="2" t="s">
        <v>326</v>
      </c>
    </row>
    <row r="23" spans="1:8" ht="18" customHeight="1">
      <c r="A23" s="2" t="s">
        <v>916</v>
      </c>
      <c r="B23" s="2" t="s">
        <v>844</v>
      </c>
      <c r="C23" s="2">
        <v>90</v>
      </c>
      <c r="D23" s="2">
        <v>200</v>
      </c>
      <c r="E23" s="2">
        <v>2</v>
      </c>
      <c r="F23" s="2">
        <v>5.74</v>
      </c>
      <c r="G23" s="2" t="s">
        <v>828</v>
      </c>
      <c r="H23" s="2" t="s">
        <v>326</v>
      </c>
    </row>
    <row r="24" spans="1:8" ht="18" customHeight="1">
      <c r="A24" s="2" t="s">
        <v>917</v>
      </c>
      <c r="B24" s="2" t="s">
        <v>845</v>
      </c>
      <c r="C24" s="2">
        <v>100</v>
      </c>
      <c r="D24" s="2">
        <v>200</v>
      </c>
      <c r="E24" s="2">
        <v>2</v>
      </c>
      <c r="F24" s="2">
        <v>6.74</v>
      </c>
      <c r="G24" s="2" t="s">
        <v>828</v>
      </c>
      <c r="H24" s="2" t="s">
        <v>326</v>
      </c>
    </row>
    <row r="25" spans="1:8" ht="18" customHeight="1">
      <c r="A25" s="2" t="s">
        <v>918</v>
      </c>
      <c r="B25" s="2" t="s">
        <v>846</v>
      </c>
      <c r="C25" s="2">
        <v>100</v>
      </c>
      <c r="D25" s="2">
        <v>200</v>
      </c>
      <c r="E25" s="2">
        <v>2</v>
      </c>
      <c r="F25" s="2">
        <v>7.74</v>
      </c>
      <c r="G25" s="2" t="s">
        <v>828</v>
      </c>
      <c r="H25" s="2" t="s">
        <v>326</v>
      </c>
    </row>
    <row r="26" spans="1:8" ht="18" customHeight="1">
      <c r="A26" s="2" t="s">
        <v>919</v>
      </c>
      <c r="B26" s="2" t="s">
        <v>847</v>
      </c>
      <c r="C26" s="2">
        <v>20</v>
      </c>
      <c r="D26" s="2">
        <v>50</v>
      </c>
      <c r="E26" s="2">
        <v>0.5</v>
      </c>
      <c r="F26" s="2">
        <v>8.74</v>
      </c>
      <c r="G26" s="2" t="s">
        <v>828</v>
      </c>
      <c r="H26" s="2" t="s">
        <v>326</v>
      </c>
    </row>
    <row r="27" spans="1:8" ht="18" customHeight="1">
      <c r="A27" s="2" t="s">
        <v>922</v>
      </c>
      <c r="B27" s="2" t="s">
        <v>842</v>
      </c>
      <c r="C27" s="2">
        <v>100</v>
      </c>
      <c r="D27" s="2">
        <v>150</v>
      </c>
      <c r="E27" s="2">
        <v>2</v>
      </c>
      <c r="F27" s="2">
        <v>9.74</v>
      </c>
      <c r="G27" s="2" t="s">
        <v>828</v>
      </c>
      <c r="H27" s="2" t="s">
        <v>326</v>
      </c>
    </row>
    <row r="28" spans="1:8" ht="18" customHeight="1">
      <c r="A28" s="2" t="s">
        <v>923</v>
      </c>
      <c r="B28" s="2" t="s">
        <v>843</v>
      </c>
      <c r="C28" s="2">
        <v>140</v>
      </c>
      <c r="D28" s="2">
        <v>150</v>
      </c>
      <c r="E28" s="2">
        <v>2</v>
      </c>
      <c r="F28" s="2">
        <v>10.74</v>
      </c>
      <c r="G28" s="2" t="s">
        <v>828</v>
      </c>
      <c r="H28" s="2" t="s">
        <v>326</v>
      </c>
    </row>
    <row r="29" spans="1:8" ht="18" customHeight="1"/>
    <row r="30" spans="1:8" ht="18" customHeight="1"/>
    <row r="31" spans="1:8" ht="18" customHeight="1"/>
    <row r="32" spans="1:8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/>
    <row r="3" spans="1:8" ht="18" customHeight="1"/>
    <row r="4" spans="1:8" ht="18" customHeight="1"/>
    <row r="5" spans="1:8" ht="18" customHeight="1"/>
    <row r="6" spans="1:8" ht="18" customHeight="1"/>
    <row r="7" spans="1:8" ht="18" customHeight="1"/>
    <row r="8" spans="1:8" ht="18" customHeight="1"/>
    <row r="9" spans="1:8" ht="18" customHeight="1"/>
    <row r="10" spans="1:8" ht="18" customHeight="1"/>
    <row r="11" spans="1:8" ht="18" customHeight="1"/>
    <row r="12" spans="1:8" ht="18" customHeight="1"/>
    <row r="13" spans="1:8" ht="18" customHeight="1"/>
    <row r="14" spans="1:8" ht="18" customHeight="1"/>
    <row r="15" spans="1:8" ht="18" customHeight="1"/>
    <row r="16" spans="1:8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E27" sqref="E27"/>
    </sheetView>
  </sheetViews>
  <sheetFormatPr defaultColWidth="9" defaultRowHeight="20.100000000000001" customHeight="1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29" customFormat="1" ht="20.100000000000001" customHeight="1">
      <c r="A1" s="29" t="s">
        <v>3</v>
      </c>
      <c r="B1" s="29" t="s">
        <v>191</v>
      </c>
      <c r="C1" s="29" t="s">
        <v>197</v>
      </c>
      <c r="D1" s="29" t="s">
        <v>193</v>
      </c>
      <c r="E1" s="29" t="s">
        <v>194</v>
      </c>
      <c r="F1" s="29" t="s">
        <v>195</v>
      </c>
      <c r="G1" s="29" t="s">
        <v>196</v>
      </c>
      <c r="H1" s="29" t="s">
        <v>203</v>
      </c>
      <c r="I1" s="29" t="s">
        <v>204</v>
      </c>
      <c r="J1" s="29" t="s">
        <v>205</v>
      </c>
      <c r="K1" s="29" t="s">
        <v>327</v>
      </c>
    </row>
    <row r="2" spans="1:11" ht="20.100000000000001" customHeight="1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28" customFormat="1" ht="20.100000000000001" customHeight="1">
      <c r="A1" s="28" t="s">
        <v>265</v>
      </c>
      <c r="B1" s="28" t="s">
        <v>266</v>
      </c>
      <c r="C1" s="28" t="s">
        <v>267</v>
      </c>
      <c r="D1" s="28" t="s">
        <v>268</v>
      </c>
      <c r="E1" s="28" t="s">
        <v>89</v>
      </c>
      <c r="F1" s="28" t="s">
        <v>269</v>
      </c>
      <c r="G1" s="28" t="s">
        <v>270</v>
      </c>
      <c r="H1" s="28" t="s">
        <v>271</v>
      </c>
      <c r="I1" s="28" t="s">
        <v>272</v>
      </c>
      <c r="J1" s="28" t="s">
        <v>273</v>
      </c>
      <c r="K1" s="28" t="s">
        <v>274</v>
      </c>
      <c r="L1" s="28" t="s">
        <v>275</v>
      </c>
      <c r="M1" s="28" t="s">
        <v>276</v>
      </c>
      <c r="N1" s="28" t="s">
        <v>277</v>
      </c>
      <c r="O1" s="28" t="s">
        <v>278</v>
      </c>
      <c r="P1" s="28" t="s">
        <v>279</v>
      </c>
      <c r="Q1" s="28" t="s">
        <v>280</v>
      </c>
      <c r="R1" s="28" t="s">
        <v>281</v>
      </c>
      <c r="S1" s="28" t="s">
        <v>282</v>
      </c>
      <c r="T1" s="28" t="s">
        <v>283</v>
      </c>
      <c r="U1" s="28" t="s">
        <v>284</v>
      </c>
      <c r="V1" s="28" t="s">
        <v>285</v>
      </c>
      <c r="W1" s="28" t="s">
        <v>286</v>
      </c>
      <c r="X1" s="28" t="s">
        <v>287</v>
      </c>
      <c r="Y1" s="28" t="s">
        <v>288</v>
      </c>
      <c r="Z1" s="28" t="s">
        <v>289</v>
      </c>
      <c r="AA1" s="28" t="s">
        <v>290</v>
      </c>
      <c r="AB1" s="28" t="s">
        <v>291</v>
      </c>
      <c r="AC1" s="28" t="s">
        <v>292</v>
      </c>
      <c r="AD1" s="28" t="s">
        <v>293</v>
      </c>
      <c r="AE1" s="28" t="s">
        <v>294</v>
      </c>
      <c r="AF1" s="28" t="s">
        <v>295</v>
      </c>
      <c r="AG1" s="28" t="s">
        <v>198</v>
      </c>
      <c r="AH1" s="28" t="s">
        <v>296</v>
      </c>
      <c r="AI1" s="28" t="s">
        <v>297</v>
      </c>
      <c r="AJ1" s="28" t="s">
        <v>298</v>
      </c>
      <c r="AK1" s="28" t="s">
        <v>299</v>
      </c>
      <c r="AL1" s="28" t="s">
        <v>300</v>
      </c>
      <c r="AM1" s="28" t="s">
        <v>301</v>
      </c>
      <c r="AN1" s="28" t="s">
        <v>302</v>
      </c>
      <c r="AO1" s="28" t="s">
        <v>303</v>
      </c>
      <c r="AP1" s="28" t="s">
        <v>304</v>
      </c>
      <c r="AQ1" s="28" t="s">
        <v>305</v>
      </c>
      <c r="AR1" s="28" t="s">
        <v>306</v>
      </c>
      <c r="AS1" s="28" t="s">
        <v>307</v>
      </c>
      <c r="AT1" s="28" t="s">
        <v>308</v>
      </c>
      <c r="AU1" s="28" t="s">
        <v>309</v>
      </c>
      <c r="AV1" s="28" t="s">
        <v>310</v>
      </c>
      <c r="AW1" s="28" t="s">
        <v>311</v>
      </c>
      <c r="AX1" s="28" t="s">
        <v>312</v>
      </c>
      <c r="AY1" s="28" t="s">
        <v>313</v>
      </c>
      <c r="AZ1" s="28" t="s">
        <v>314</v>
      </c>
      <c r="BA1" s="28" t="s">
        <v>315</v>
      </c>
      <c r="BB1" s="28" t="s">
        <v>316</v>
      </c>
    </row>
    <row r="2" spans="1:54" ht="20.100000000000001" customHeight="1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0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0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0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0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0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0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0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0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0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0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0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0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0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0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0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0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0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0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0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0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0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0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0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0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0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0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0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0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0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0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0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0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0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0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0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0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0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0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0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0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0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0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0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2025-05-23T05:46:27Z</dcterms:modified>
</cp:coreProperties>
</file>