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9A8C88D2-D6D0-4CE6-B0AD-E0B182DECF86}" xr6:coauthVersionLast="47" xr6:coauthVersionMax="47" xr10:uidLastSave="{00000000-0000-0000-0000-000000000000}"/>
  <bookViews>
    <workbookView xWindow="8535" yWindow="1050" windowWidth="29925" windowHeight="1971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F21" i="208" l="1"/>
  <c r="E17" i="208"/>
  <c r="C19" i="208"/>
  <c r="C18" i="208"/>
  <c r="C17" i="208"/>
  <c r="C16" i="208"/>
  <c r="C15" i="208"/>
  <c r="C8" i="208"/>
  <c r="D8" i="208" s="1"/>
  <c r="C7" i="208"/>
  <c r="C12" i="208" s="1"/>
  <c r="A13" i="208" s="1"/>
  <c r="A12" i="208" s="1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C14" i="208"/>
  <c r="F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F2" i="208" s="1"/>
  <c r="K30" i="208" l="1"/>
  <c r="J26" i="208"/>
  <c r="F5" i="208"/>
  <c r="F7" i="208"/>
  <c r="G2" i="208" s="1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208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9" i="208" l="1"/>
  <c r="G19" i="208" s="1"/>
  <c r="F17" i="208"/>
  <c r="G17" i="208" s="1"/>
  <c r="F13" i="208"/>
  <c r="G13" i="55"/>
  <c r="F13" i="55"/>
  <c r="K30" i="55"/>
  <c r="H19" i="208" l="1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208" s="1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EE3F4AE8-FAFC-4392-B24F-E108B1B2A9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3693CCB5-0EC4-49DE-8522-0AB20A36DB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4D84488-F5A2-4306-8FEB-203EEA98A5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0CBD5104-BCA7-483E-A54A-ADF0EAB45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73D8A418-2802-4EFB-A871-28194C6A95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18DF7E60-5F7C-48B9-BB8F-D1982AC760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1F938243-6DFC-47DA-A78F-4DF97F00AF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7C9A82B5-D357-4562-838F-2977E202B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FA0266D-E2C5-4EDE-97B5-9CDC030C0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2F5CB8FF-317E-45B2-8ADC-0DE14CB44B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9246EC6-18CF-4448-9F04-F190A7B708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6BFBCF17-D4B9-4461-9752-53FC75E57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21D93EA9-FA90-492D-B68D-E7849C4296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8B50CF5-60F0-4926-BA90-2461AA00B4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245D5668-B293-4C77-9082-AEBE63FE7D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781A888C-22BF-424A-BF42-CEFC0BD260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81DDBC01-9EBC-4430-80E7-A69E687A8F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FDE780B-D9F2-4ED2-8C69-C00AC772EC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2A838432-7BBD-49D7-A33E-DFA1AE44F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FAEEE02-8CF2-4B3E-95E2-41D589CC6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E1F48789-58E6-4B6B-9A43-28939DBE70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7666C6-5D7F-4157-8BAB-4E8F2875BE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A7F816E0-62C1-4D9E-9A93-862240CB8E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3DB354D-B67D-469B-A507-F768F13DC8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BFA11D33-3412-47BE-B13D-8B9EF75289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9A9C5919-C769-4188-95E2-334251898D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7AB3E756-C2D0-4B27-A225-BB2ED8AE75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C0353893-AB07-4D28-B5BF-BF39325C30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825B69C2-CB91-4764-A2C0-DA0915260A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BE6FF29-7CB8-4201-BFD1-DC84EA0E07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B57F819-25BB-47FC-B42C-90BFF47FB366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3828AA3-3F58-466E-93F8-1376804698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AA9DDB3-43A0-415B-9B9C-F7A912E945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8AF8111D-8D73-49B0-9CBA-05EF5E0CDC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146141A-F29A-4FA5-9CF4-288B86A4BC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59BB693-2D9F-4CC1-842B-8D9CC9836F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FD82CC2-0F5E-4FCF-89AC-8EB808113D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<sst xmlns="http://schemas.openxmlformats.org/spreadsheetml/2006/main" count="1301" uniqueCount="853">
  <si>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</si>
  <si>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</si>
  <si>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</si>
  <si>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</si>
  <si>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</si>
  <si>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</si>
  <si>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</si>
  <si>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</si>
  <si>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</si>
  <si>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</si>
  <si>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</si>
  <si>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</si>
  <si>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</si>
  <si>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</si>
  <si>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</si>
  <si>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</si>
  <si>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</si>
  <si>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</si>
  <si>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</si>
  <si>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</si>
  <si>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</si>
  <si>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</si>
  <si>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</si>
  <si>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</si>
  <si>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</si>
  <si>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</si>
  <si>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</si>
  <si>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</si>
  <si>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</si>
  <si>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</si>
  <si>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</si>
  <si>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</si>
  <si>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</si>
  <si>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</si>
  <si>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</si>
  <si>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</si>
  <si>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</si>
  <si>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</si>
  <si>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</si>
  <si>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</si>
  <si>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</si>
  <si>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</si>
  <si>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</si>
  <si>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</si>
  <si>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</si>
  <si>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</si>
  <si>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</si>
  <si>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</si>
  <si>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</si>
  <si>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</si>
  <si>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</si>
  <si>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</si>
  <si>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</si>
  <si>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</si>
  <si>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</si>
  <si>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</si>
  <si>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</si>
  <si>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</si>
  <si>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</si>
  <si>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</si>
  <si>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</si>
  <si>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</si>
  <si>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</si>
  <si>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</si>
  <si>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</si>
  <si>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</si>
  <si>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</si>
  <si>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</si>
  <si>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</si>
  <si>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</si>
  <si>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</si>
  <si>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</si>
  <si>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</si>
  <si>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</si>
  <si>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</si>
  <si>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</si>
  <si>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</si>
  <si>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</si>
  <si>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</si>
  <si>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</si>
  <si>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</si>
  <si>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</si>
  <si>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</si>
  <si>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</si>
  <si>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</si>
  <si>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</si>
  <si>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</si>
  <si>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</si>
  <si>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</si>
  <si>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</si>
  <si>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</si>
  <si>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</si>
  <si>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</si>
  <si>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</si>
  <si>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</si>
  <si>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</si>
  <si>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</si>
  <si>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</si>
  <si>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</si>
  <si>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</si>
  <si>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</si>
  <si>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</si>
  <si>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</si>
  <si>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</si>
  <si>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</si>
  <si>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</si>
  <si>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</si>
  <si>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</si>
  <si>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</si>
  <si>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</si>
  <si>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</si>
  <si>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</si>
  <si>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</si>
  <si>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</si>
  <si>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</si>
  <si>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</si>
  <si>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</si>
  <si>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</si>
  <si>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</si>
  <si>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</si>
  <si>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</si>
  <si>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</si>
  <si>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</si>
  <si>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</si>
  <si>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</si>
  <si>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</si>
  <si>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</si>
  <si>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</si>
  <si>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</si>
  <si>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</si>
  <si>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</si>
  <si>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</si>
  <si>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</si>
  <si>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</si>
  <si>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</si>
  <si>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</si>
  <si>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</si>
  <si>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</si>
  <si>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</si>
  <si>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</si>
  <si>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</si>
  <si>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</si>
  <si>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</si>
  <si>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</si>
  <si>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</si>
  <si>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</si>
  <si>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</si>
  <si>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</si>
  <si>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</si>
  <si>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</si>
  <si>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</si>
  <si>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</si>
  <si>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</si>
  <si>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</si>
  <si>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</si>
  <si>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</si>
  <si>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</si>
  <si>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</si>
  <si>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</si>
  <si>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</si>
  <si>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</si>
  <si>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</si>
  <si>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</si>
  <si>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</si>
  <si>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</si>
  <si>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</si>
  <si>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</si>
  <si>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</si>
  <si>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</si>
  <si>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</si>
  <si>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</si>
  <si>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</si>
  <si>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</si>
  <si>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</si>
  <si>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</si>
  <si>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</si>
  <si>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</si>
  <si>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</si>
  <si>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</si>
  <si>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</si>
  <si>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</si>
  <si>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</si>
  <si>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</si>
  <si>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</si>
  <si>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</si>
  <si>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</si>
  <si>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</si>
  <si>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</si>
  <si>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</si>
  <si>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</si>
  <si>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</si>
  <si>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</si>
  <si>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</si>
  <si>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</si>
  <si>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</si>
  <si>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</si>
  <si>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</si>
  <si>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</si>
  <si>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</si>
  <si>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</si>
  <si>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</si>
  <si>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</si>
  <si>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</si>
  <si>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</si>
  <si>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</si>
  <si>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</si>
  <si>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</si>
  <si>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</si>
  <si>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</si>
  <si>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</si>
  <si>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</si>
  <si>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</si>
  <si>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</si>
  <si>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</si>
  <si>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</si>
  <si>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</si>
  <si>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</si>
  <si>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</si>
  <si>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</si>
  <si>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</si>
  <si>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</si>
  <si>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</si>
  <si>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</si>
  <si>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</si>
  <si>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</si>
  <si>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</si>
  <si>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</si>
  <si>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</si>
  <si>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</si>
  <si>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</si>
  <si>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</si>
  <si>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</si>
  <si>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</si>
  <si>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</si>
  <si>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</si>
  <si>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</si>
  <si>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</si>
  <si>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</si>
  <si>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</si>
  <si>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</si>
  <si>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</si>
  <si>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</si>
  <si>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</si>
  <si>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</si>
  <si>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</si>
  <si>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</si>
  <si>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</si>
  <si>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</si>
  <si>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</si>
  <si>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</si>
  <si>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</si>
  <si>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</si>
  <si>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</si>
  <si>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</si>
  <si>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</si>
  <si>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</si>
  <si>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</si>
  <si>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</si>
  <si>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</si>
  <si>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</si>
  <si>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</si>
  <si>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</si>
  <si>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</si>
  <si>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</si>
  <si>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</si>
  <si>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</si>
  <si>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</si>
  <si>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</si>
  <si>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</si>
  <si>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</si>
  <si>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</si>
  <si>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</si>
  <si>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</si>
  <si>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</si>
  <si>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</si>
  <si>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</si>
  <si>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</si>
  <si>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</si>
  <si>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</si>
  <si>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</si>
  <si>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</si>
  <si>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</si>
  <si>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</si>
  <si>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</si>
  <si>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</si>
  <si>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</si>
  <si>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</si>
  <si>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</si>
  <si>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</si>
  <si>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</si>
  <si>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</si>
  <si>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</si>
  <si>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</si>
  <si>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</si>
  <si>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</si>
  <si>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</si>
  <si>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</si>
  <si>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</si>
  <si>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</si>
  <si>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</si>
  <si>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</si>
  <si>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</si>
  <si>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</si>
  <si>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</si>
  <si>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</si>
  <si>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</si>
  <si>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</si>
  <si>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</si>
  <si>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</si>
  <si>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</si>
  <si>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</si>
  <si>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</si>
  <si>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</si>
  <si>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</si>
  <si>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</si>
  <si>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</si>
  <si>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</si>
  <si>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</si>
  <si>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</si>
  <si>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</si>
  <si>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</si>
  <si>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</si>
  <si>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</si>
  <si>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</si>
  <si>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</si>
  <si>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</si>
  <si>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</si>
  <si>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</si>
  <si>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</si>
  <si>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</si>
  <si>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</si>
  <si>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</si>
  <si>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</si>
  <si>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</si>
  <si>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</si>
  <si>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</si>
  <si>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</si>
  <si>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</si>
  <si>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</si>
  <si>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</si>
  <si>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</si>
  <si>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</si>
  <si>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</si>
  <si>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</si>
  <si>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</si>
  <si>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</si>
  <si>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</si>
  <si>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</si>
  <si>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</si>
  <si>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</si>
  <si>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</si>
  <si>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</si>
  <si>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</si>
  <si>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</si>
  <si>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</si>
  <si>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</si>
  <si>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</si>
  <si>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</si>
  <si>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</si>
  <si>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</si>
  <si>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</si>
  <si>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</si>
  <si>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</si>
  <si>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</si>
  <si>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</si>
  <si>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</si>
  <si>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</si>
  <si>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</si>
  <si>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</si>
  <si>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</si>
  <si>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</si>
  <si>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</si>
  <si>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</si>
  <si>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</si>
  <si>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</si>
  <si>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</si>
  <si>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</si>
  <si>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</si>
  <si>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</si>
  <si>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</si>
  <si>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</si>
  <si>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</si>
  <si>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</si>
  <si>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</si>
  <si>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</si>
  <si>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</si>
  <si>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</si>
  <si>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</si>
  <si>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</si>
  <si>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</si>
  <si>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</si>
  <si>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</si>
  <si>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</si>
  <si>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</si>
  <si>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</si>
  <si>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</si>
  <si>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</si>
  <si>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</si>
  <si>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</si>
  <si>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</si>
  <si>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</si>
  <si>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</si>
  <si>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</si>
  <si>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</si>
  <si>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</si>
  <si>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</si>
  <si>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</si>
  <si>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</si>
  <si>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</si>
  <si>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</si>
  <si>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</si>
  <si>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</si>
  <si>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</si>
  <si>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</si>
  <si>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</si>
  <si>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</si>
  <si>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</si>
  <si>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</si>
  <si>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</si>
  <si>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</si>
  <si>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</si>
  <si>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</si>
  <si>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</si>
  <si>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</si>
  <si>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</si>
  <si>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</si>
  <si>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</si>
  <si>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</si>
  <si>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</si>
  <si>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</si>
  <si>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</si>
  <si>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</si>
  <si>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</si>
  <si>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</si>
  <si>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</si>
  <si>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</si>
  <si>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</si>
  <si>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</si>
  <si>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</si>
  <si>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</si>
  <si>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</si>
  <si>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</si>
  <si>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</si>
  <si>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</si>
  <si>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</si>
  <si>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</si>
  <si>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</si>
  <si>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</si>
  <si>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</si>
  <si>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</si>
  <si>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</si>
  <si>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</si>
  <si>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</si>
  <si>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</si>
  <si>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</si>
  <si>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</si>
  <si>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</si>
  <si>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</si>
  <si>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</si>
  <si>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</si>
  <si>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</si>
  <si>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</si>
  <si>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</si>
  <si>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</si>
  <si>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</si>
  <si>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</si>
  <si>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</si>
  <si>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</si>
  <si>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</si>
  <si>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</si>
  <si>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</si>
  <si>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</si>
  <si>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</si>
  <si>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</si>
  <si>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</si>
  <si>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</si>
  <si>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</si>
  <si>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</si>
  <si>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</si>
  <si>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</si>
  <si>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</si>
  <si>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</si>
  <si>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</si>
  <si>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</si>
  <si>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</si>
  <si>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</si>
  <si>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</si>
  <si>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</si>
  <si>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</si>
  <si>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</si>
  <si>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</si>
  <si>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</si>
  <si>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</si>
  <si>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</si>
  <si>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</si>
  <si>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</si>
  <si>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</si>
  <si>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</si>
  <si>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</si>
  <si>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</si>
  <si>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</si>
  <si>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</si>
  <si>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</si>
  <si>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</si>
  <si>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</si>
  <si>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</si>
  <si>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</si>
  <si>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</si>
  <si>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</si>
  <si>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</si>
  <si>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</si>
  <si>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</si>
  <si>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</si>
  <si>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</si>
  <si>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</si>
  <si>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</si>
  <si>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</si>
  <si>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</si>
  <si>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</si>
  <si>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</si>
  <si>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</si>
  <si>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</si>
  <si>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</si>
  <si>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</si>
  <si>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</si>
  <si>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</si>
  <si>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</si>
  <si>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</si>
  <si>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</si>
  <si>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</si>
  <si>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</si>
  <si>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</si>
  <si>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</si>
  <si>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</si>
  <si>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</si>
  <si>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</si>
  <si>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</si>
  <si>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</si>
  <si>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</si>
  <si>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</si>
  <si>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</si>
  <si>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</si>
  <si>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</si>
  <si>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</si>
  <si>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</si>
  <si>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</si>
  <si>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</si>
  <si>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</si>
  <si>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</si>
  <si>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</si>
  <si>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</si>
  <si>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</si>
  <si>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</si>
  <si>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</si>
  <si>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</si>
  <si>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</si>
  <si>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</si>
  <si>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</si>
  <si>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</si>
  <si>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</si>
  <si>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</si>
  <si>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</si>
  <si>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</si>
  <si>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</si>
  <si>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</si>
  <si>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</si>
  <si>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</si>
  <si>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</si>
  <si>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</si>
  <si>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</si>
  <si>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</si>
  <si>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</si>
  <si>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</si>
  <si>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</si>
  <si>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</si>
  <si>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</si>
  <si>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</si>
  <si>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</si>
  <si>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</si>
  <si>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</si>
  <si>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</si>
  <si>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</si>
  <si>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</si>
  <si>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</si>
  <si>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</si>
  <si>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</si>
  <si>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</si>
  <si>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</si>
  <si>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</si>
  <si>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</si>
  <si>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</si>
  <si>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</si>
  <si>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</si>
  <si>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</si>
  <si>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</si>
  <si>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</si>
  <si>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</si>
  <si>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</si>
  <si>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</si>
  <si>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</si>
  <si>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</si>
  <si>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</si>
  <si>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</si>
  <si>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</si>
  <si>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</si>
  <si>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</si>
  <si>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</si>
  <si>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</si>
  <si>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</si>
  <si>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</si>
  <si>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</si>
  <si>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</si>
  <si>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</si>
  <si>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</si>
  <si>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</si>
  <si>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</si>
  <si>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</si>
  <si>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</si>
  <si>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</si>
  <si>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</si>
  <si>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</si>
  <si>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</si>
  <si>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</si>
  <si>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</si>
  <si>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</si>
  <si>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</si>
  <si>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</si>
  <si>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</si>
  <si>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</si>
  <si>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</si>
  <si>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</si>
  <si>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</si>
  <si>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</si>
  <si>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</si>
  <si>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</si>
  <si>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</si>
  <si>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</si>
  <si>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</si>
  <si>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</si>
  <si>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</si>
  <si>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</si>
  <si>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</si>
  <si>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</si>
  <si>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</si>
  <si>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</si>
  <si>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</si>
  <si>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</si>
  <si>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</si>
  <si>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</si>
  <si>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</si>
  <si>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</si>
  <si>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</si>
  <si>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</si>
  <si>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</si>
  <si>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</si>
  <si>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</si>
  <si>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</si>
  <si>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</si>
  <si>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</si>
  <si>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</si>
  <si>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</si>
  <si>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</si>
  <si>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</si>
  <si>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</si>
  <si>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</si>
  <si>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</si>
  <si>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</si>
  <si>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</si>
  <si>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</si>
  <si>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</si>
  <si>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</si>
  <si>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</si>
  <si>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</si>
  <si>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</si>
  <si>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</si>
  <si>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</si>
  <si>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</si>
  <si>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</si>
  <si>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</si>
  <si>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</si>
  <si>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</si>
  <si>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</si>
  <si>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</si>
  <si>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</si>
  <si>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</si>
  <si>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</si>
  <si>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</si>
  <si>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</si>
  <si>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</si>
  <si>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</si>
  <si>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</si>
  <si>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</si>
  <si>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</si>
  <si>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</si>
  <si>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</si>
  <si>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</si>
  <si>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</si>
  <si>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</si>
  <si>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</si>
  <si>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</si>
  <si>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</si>
  <si>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</si>
  <si>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</si>
  <si>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</si>
  <si>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</si>
  <si>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</si>
  <si>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</si>
  <si>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</si>
  <si>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</si>
  <si>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</si>
  <si>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</si>
  <si>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</si>
  <si>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</si>
  <si>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</si>
  <si>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</si>
  <si>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</si>
  <si>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</si>
  <si>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</si>
  <si>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</si>
  <si>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</si>
  <si>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</si>
  <si>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</si>
  <si>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</si>
  <si>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</si>
  <si>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</si>
  <si>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</si>
  <si>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</si>
  <si>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</si>
  <si>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</si>
  <si>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</si>
  <si>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</si>
  <si>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</si>
  <si>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</si>
  <si>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</si>
  <si>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</si>
  <si>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</si>
  <si>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</si>
  <si>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</si>
  <si>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</si>
  <si>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</si>
  <si>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</si>
  <si>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</si>
  <si>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</si>
  <si>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</si>
  <si>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</si>
  <si>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</si>
  <si>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</si>
  <si>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</si>
  <si>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</si>
  <si>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</si>
  <si>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</si>
  <si>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</si>
  <si>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</si>
  <si>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</si>
  <si>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</si>
  <si>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</si>
  <si>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</si>
  <si>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</si>
  <si>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</si>
  <si>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</si>
  <si>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</si>
  <si>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</si>
  <si>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</si>
  <si>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</si>
  <si>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</si>
  <si>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</si>
  <si>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</si>
  <si>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</si>
  <si>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</si>
  <si>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</si>
  <si>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</si>
  <si>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</si>
  <si>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</si>
  <si>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</si>
  <si>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</si>
  <si>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</si>
  <si>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</si>
  <si>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</si>
  <si>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</si>
  <si>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</si>
  <si>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</si>
  <si>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</si>
  <si>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</si>
  <si>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</si>
  <si>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</si>
  <si>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</si>
  <si>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</si>
  <si>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</si>
  <si>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</si>
  <si>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</si>
  <si>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</si>
  <si>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</si>
  <si>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</si>
  <si>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</si>
  <si>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</si>
  <si>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</si>
  <si>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</si>
  <si>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</si>
  <si>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</si>
  <si>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</si>
  <si>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</si>
  <si>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</si>
  <si>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</si>
  <si>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</si>
  <si>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</si>
  <si>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</si>
  <si>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</si>
  <si>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</si>
  <si>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</si>
  <si>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</si>
  <si>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</si>
  <si>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</si>
  <si>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</si>
  <si>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</si>
  <si>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</si>
  <si>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</si>
  <si>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</si>
  <si>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</si>
  <si>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</si>
  <si>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</si>
  <si>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</si>
  <si>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</si>
  <si>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</si>
  <si>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</si>
  <si>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</si>
  <si>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</si>
  <si>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</si>
  <si>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</si>
  <si>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</si>
  <si>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</si>
  <si>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</si>
  <si>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</si>
  <si>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</si>
  <si>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</si>
  <si>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</si>
  <si>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</si>
  <si>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</si>
  <si>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</si>
  <si>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</si>
  <si>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</si>
  <si>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</si>
  <si>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</si>
  <si>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</si>
  <si>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</si>
  <si>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</si>
  <si>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</si>
  <si>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</si>
  <si>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A2_ge_OriginalSaveFile.xlsm</t>
    <phoneticPr fontId="7" type="noConversion"/>
  </si>
  <si>
    <t>W1</t>
  </si>
  <si>
    <t>W2</t>
  </si>
  <si>
    <t>W-2</t>
    <phoneticPr fontId="14" type="noConversion"/>
  </si>
  <si>
    <t xml:space="preserve"> 서산시 운산면 거성리 산 59-1</t>
  </si>
  <si>
    <t>남서향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</si>
</sst>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2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7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4" xfId="0" applyFont="1" applyBorder="1" applyAlignment="1">
      <alignment horizontal="center" vertical="center"/>
    </xf>
    <xf numFmtId="0" fontId="28" fillId="0" borderId="95" xfId="0" applyFont="1" applyBorder="1" applyAlignment="1">
      <alignment horizontal="center" vertical="center"/>
    </xf>
    <xf numFmtId="17" fontId="33" fillId="0" borderId="95" xfId="0" applyNumberFormat="1" applyFont="1" applyBorder="1" applyAlignment="1">
      <alignment horizontal="center" vertical="center"/>
    </xf>
    <xf numFmtId="0" fontId="33" fillId="0" borderId="95" xfId="0" applyFont="1" applyBorder="1" applyAlignment="1">
      <alignment horizontal="center" vertical="center"/>
    </xf>
    <xf numFmtId="0" fontId="15" fillId="0" borderId="95" xfId="0" applyFont="1" applyBorder="1" applyAlignment="1">
      <alignment horizontal="center" vertical="center" wrapText="1"/>
    </xf>
    <xf numFmtId="188" fontId="15" fillId="0" borderId="95" xfId="0" applyNumberFormat="1" applyFont="1" applyBorder="1" applyAlignment="1">
      <alignment horizontal="center" vertical="center"/>
    </xf>
    <xf numFmtId="41" fontId="33" fillId="0" borderId="95" xfId="20" applyFont="1" applyBorder="1">
      <alignment vertical="center"/>
    </xf>
    <xf numFmtId="0" fontId="33" fillId="0" borderId="96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4.emf"/><Relationship Id="rId1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5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4" Type="http://schemas.openxmlformats.org/officeDocument/2006/relationships/image" Target="../media/image5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17" Type="http://schemas.openxmlformats.org/officeDocument/2006/relationships/image" Target="../media/image51.emf"/><Relationship Id="rId2" Type="http://schemas.openxmlformats.org/officeDocument/2006/relationships/image" Target="../media/image59.emf"/><Relationship Id="rId16" Type="http://schemas.openxmlformats.org/officeDocument/2006/relationships/image" Target="../media/image52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67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8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10</xdr:col>
          <xdr:colOff>447675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10</xdr:col>
          <xdr:colOff>447675</xdr:colOff>
          <xdr:row>9</xdr:row>
          <xdr:rowOff>142875</xdr:rowOff>
        </xdr:to>
        <xdr:sp macro="" textlink="">
          <xdr:nvSpPr>
            <xdr:cNvPr id="335873" name="CommandButton_ToggleDirection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1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1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1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7" name="CommandButton8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11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8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2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6.emf"/><Relationship Id="rId5" Type="http://schemas.openxmlformats.org/officeDocument/2006/relationships/control" Target="../activeX/activeX41.xml"/><Relationship Id="rId4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7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9.emf"/><Relationship Id="rId34" Type="http://schemas.openxmlformats.org/officeDocument/2006/relationships/control" Target="../activeX/activeX60.xml"/><Relationship Id="rId7" Type="http://schemas.openxmlformats.org/officeDocument/2006/relationships/image" Target="../media/image52.emf"/><Relationship Id="rId12" Type="http://schemas.openxmlformats.org/officeDocument/2006/relationships/control" Target="../activeX/activeX49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4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7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45.xml"/><Relationship Id="rId9" Type="http://schemas.openxmlformats.org/officeDocument/2006/relationships/image" Target="../media/image53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2.emf"/><Relationship Id="rId30" Type="http://schemas.openxmlformats.org/officeDocument/2006/relationships/control" Target="../activeX/activeX58.xml"/><Relationship Id="rId35" Type="http://schemas.openxmlformats.org/officeDocument/2006/relationships/image" Target="../media/image66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3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12" Type="http://schemas.openxmlformats.org/officeDocument/2006/relationships/control" Target="../activeX/activeX7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303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499</v>
      </c>
      <c r="T5" s="333" t="s">
        <v>585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57" t="s">
        <v>186</v>
      </c>
      <c r="J24" s="758"/>
      <c r="K24" s="578">
        <f>INDEX(Location[recharge], MATCH(I24,Location[name],0))</f>
        <v>0.17299999999999999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59" t="s">
        <v>184</v>
      </c>
      <c r="J25" s="760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61" t="s">
        <v>232</v>
      </c>
      <c r="J26" s="762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2518240.5055999998</v>
      </c>
      <c r="D27" s="318"/>
      <c r="E27" s="382"/>
    </row>
    <row r="28" spans="2:16" ht="21.95" customHeight="1" thickBot="1">
      <c r="B28" s="655" t="s">
        <v>27</v>
      </c>
      <c r="C28" s="656">
        <f>K24</f>
        <v>0.17299999999999999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22.661269999999998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829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813</v>
      </c>
    </row>
    <row r="36" spans="7:7">
      <c r="G36" s="129" t="s">
        <v>814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820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 t="s">
        <v>762</v>
      </c>
      <c r="D6" s="110" t="s">
        <v>266</v>
      </c>
      <c r="E6" s="110" t="s">
        <v>267</v>
      </c>
      <c r="F6" s="110" t="s">
        <v>268</v>
      </c>
      <c r="G6" s="110" t="s">
        <v>820</v>
      </c>
      <c r="H6" s="110" t="s">
        <v>825</v>
      </c>
      <c r="I6" s="110" t="s">
        <v>826</v>
      </c>
      <c r="J6" s="110" t="s">
        <v>827</v>
      </c>
      <c r="K6" s="111" t="s">
        <v>828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V5" sqref="AV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763</v>
      </c>
      <c r="B4" s="660" t="s">
        <v>764</v>
      </c>
      <c r="C4" s="660" t="s">
        <v>765</v>
      </c>
      <c r="D4" s="660" t="s">
        <v>766</v>
      </c>
      <c r="E4" s="660" t="s">
        <v>767</v>
      </c>
      <c r="F4" s="660" t="s">
        <v>768</v>
      </c>
      <c r="G4" s="660" t="s">
        <v>769</v>
      </c>
      <c r="H4" s="661" t="s">
        <v>770</v>
      </c>
      <c r="I4" s="660" t="s">
        <v>771</v>
      </c>
      <c r="J4" s="660" t="s">
        <v>772</v>
      </c>
      <c r="K4" s="660" t="s">
        <v>773</v>
      </c>
      <c r="L4" s="660" t="s">
        <v>774</v>
      </c>
      <c r="M4" s="660" t="s">
        <v>775</v>
      </c>
      <c r="N4" s="660" t="s">
        <v>776</v>
      </c>
      <c r="O4" s="661" t="s">
        <v>777</v>
      </c>
      <c r="P4" s="661" t="s">
        <v>778</v>
      </c>
      <c r="Q4" s="660" t="s">
        <v>779</v>
      </c>
      <c r="R4" s="660" t="s">
        <v>780</v>
      </c>
      <c r="S4" s="660" t="s">
        <v>781</v>
      </c>
      <c r="T4" s="661" t="s">
        <v>782</v>
      </c>
      <c r="U4" s="660" t="s">
        <v>783</v>
      </c>
      <c r="V4" s="661" t="s">
        <v>784</v>
      </c>
      <c r="W4" s="661" t="s">
        <v>785</v>
      </c>
      <c r="X4" s="661" t="s">
        <v>786</v>
      </c>
      <c r="Y4" s="660" t="s">
        <v>787</v>
      </c>
      <c r="Z4" s="660" t="s">
        <v>788</v>
      </c>
      <c r="AA4" s="660" t="s">
        <v>789</v>
      </c>
      <c r="AB4" s="660" t="s">
        <v>790</v>
      </c>
      <c r="AC4" s="660" t="s">
        <v>791</v>
      </c>
      <c r="AD4" s="660" t="s">
        <v>792</v>
      </c>
      <c r="AE4" s="660" t="s">
        <v>793</v>
      </c>
      <c r="AF4" s="660" t="s">
        <v>794</v>
      </c>
      <c r="AG4" s="661" t="s">
        <v>795</v>
      </c>
      <c r="AH4" s="661" t="s">
        <v>796</v>
      </c>
      <c r="AI4" s="661" t="s">
        <v>797</v>
      </c>
      <c r="AJ4" s="661" t="s">
        <v>798</v>
      </c>
      <c r="AK4" s="661" t="s">
        <v>799</v>
      </c>
      <c r="AL4" s="661" t="s">
        <v>800</v>
      </c>
      <c r="AM4" s="661" t="s">
        <v>801</v>
      </c>
      <c r="AN4" s="661" t="s">
        <v>802</v>
      </c>
      <c r="AO4" s="661" t="s">
        <v>803</v>
      </c>
      <c r="AP4" s="661" t="s">
        <v>804</v>
      </c>
      <c r="AQ4" s="661" t="s">
        <v>805</v>
      </c>
      <c r="AR4" s="661" t="s">
        <v>806</v>
      </c>
      <c r="AS4" s="660" t="s">
        <v>810</v>
      </c>
      <c r="AT4" s="660" t="s">
        <v>811</v>
      </c>
      <c r="AU4" s="660" t="s">
        <v>812</v>
      </c>
      <c r="AV4" s="660" t="s">
        <v>815</v>
      </c>
      <c r="AW4" s="660" t="s">
        <v>816</v>
      </c>
      <c r="AX4" s="701" t="s">
        <v>817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818</v>
      </c>
      <c r="AP5" s="473" t="s">
        <v>289</v>
      </c>
      <c r="AQ5" s="475">
        <v>86.59</v>
      </c>
      <c r="AR5" s="473" t="s">
        <v>819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762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818</v>
      </c>
      <c r="AP6" s="473" t="s">
        <v>289</v>
      </c>
      <c r="AQ6" s="475">
        <v>165.9</v>
      </c>
      <c r="AR6" s="473" t="s">
        <v>819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100</v>
      </c>
      <c r="F7" s="692">
        <v>308.44999999999987</v>
      </c>
      <c r="G7" s="692">
        <v>37</v>
      </c>
      <c r="H7" s="692">
        <v>42.109999999999992</v>
      </c>
      <c r="I7" s="692">
        <v>63</v>
      </c>
      <c r="J7" s="692">
        <v>266.33999999999986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762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762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67" t="s">
        <v>219</v>
      </c>
      <c r="G43" s="763">
        <v>100</v>
      </c>
      <c r="H43" s="226">
        <v>28.15</v>
      </c>
      <c r="I43" s="765">
        <v>165.34596814563724</v>
      </c>
    </row>
    <row r="44" spans="6:25" ht="15.95" customHeight="1">
      <c r="F44" s="768"/>
      <c r="G44" s="764"/>
      <c r="H44" s="164">
        <v>13.24</v>
      </c>
      <c r="I44" s="766"/>
      <c r="K44" s="203"/>
    </row>
    <row r="45" spans="6:25" ht="15.95" customHeight="1">
      <c r="F45" s="769" t="s">
        <v>762</v>
      </c>
      <c r="G45" s="771">
        <v>100</v>
      </c>
      <c r="H45" s="136">
        <v>27.01</v>
      </c>
      <c r="I45" s="773">
        <v>165.37908146891999</v>
      </c>
      <c r="K45" s="203"/>
    </row>
    <row r="46" spans="6:25" ht="15.95" customHeight="1">
      <c r="F46" s="770"/>
      <c r="G46" s="772"/>
      <c r="H46" s="136">
        <v>12.7</v>
      </c>
      <c r="I46" s="773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74"/>
      <c r="G47" s="775"/>
      <c r="H47" s="164"/>
      <c r="I47" s="766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8"/>
      <c r="G48" s="764"/>
      <c r="H48" s="164"/>
      <c r="I48" s="76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69"/>
      <c r="G49" s="771"/>
      <c r="H49" s="136"/>
      <c r="I49" s="773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70"/>
      <c r="G50" s="772"/>
      <c r="H50" s="136"/>
      <c r="I50" s="773"/>
      <c r="K50" s="203"/>
    </row>
    <row r="51" spans="6:25" ht="15.95" customHeight="1">
      <c r="F51" s="774"/>
      <c r="G51" s="775"/>
      <c r="H51" s="164"/>
      <c r="I51" s="766"/>
      <c r="K51" s="203"/>
    </row>
    <row r="52" spans="6:25" ht="15.95" customHeight="1">
      <c r="F52" s="768"/>
      <c r="G52" s="764"/>
      <c r="H52" s="164"/>
      <c r="I52" s="766"/>
      <c r="K52" s="203"/>
    </row>
    <row r="53" spans="6:25" ht="15.95" customHeight="1">
      <c r="F53" s="769"/>
      <c r="G53" s="771"/>
      <c r="H53" s="136"/>
      <c r="I53" s="773"/>
      <c r="K53" s="203"/>
    </row>
    <row r="54" spans="6:25" ht="15.95" customHeight="1">
      <c r="F54" s="770"/>
      <c r="G54" s="772"/>
      <c r="H54" s="136"/>
      <c r="I54" s="773"/>
      <c r="K54" s="203"/>
    </row>
    <row r="55" spans="6:25" ht="15.95" customHeight="1">
      <c r="F55" s="774"/>
      <c r="G55" s="775"/>
      <c r="H55" s="164"/>
      <c r="I55" s="766"/>
      <c r="K55" s="203"/>
    </row>
    <row r="56" spans="6:25" ht="15.95" customHeight="1">
      <c r="F56" s="768"/>
      <c r="G56" s="764"/>
      <c r="H56" s="164"/>
      <c r="I56" s="766"/>
      <c r="K56" s="203"/>
    </row>
    <row r="57" spans="6:25" ht="15.95" hidden="1" customHeight="1" outlineLevel="1">
      <c r="F57" s="769"/>
      <c r="G57" s="771"/>
      <c r="H57" s="136"/>
      <c r="I57" s="773"/>
      <c r="K57" s="203"/>
    </row>
    <row r="58" spans="6:25" ht="15.95" hidden="1" customHeight="1" outlineLevel="1">
      <c r="F58" s="770"/>
      <c r="G58" s="772"/>
      <c r="H58" s="136"/>
      <c r="I58" s="773"/>
      <c r="K58" s="203"/>
    </row>
    <row r="59" spans="6:25" ht="15.95" hidden="1" customHeight="1" outlineLevel="1">
      <c r="F59" s="774"/>
      <c r="G59" s="775"/>
      <c r="H59" s="164"/>
      <c r="I59" s="766"/>
      <c r="K59" s="203"/>
    </row>
    <row r="60" spans="6:25" ht="15.95" hidden="1" customHeight="1" outlineLevel="1">
      <c r="F60" s="768"/>
      <c r="G60" s="764"/>
      <c r="H60" s="164"/>
      <c r="I60" s="766"/>
      <c r="K60" s="203"/>
    </row>
    <row r="61" spans="6:25" ht="15.95" hidden="1" customHeight="1" outlineLevel="1">
      <c r="F61" s="769"/>
      <c r="G61" s="771"/>
      <c r="H61" s="136"/>
      <c r="I61" s="773"/>
      <c r="K61" s="203"/>
    </row>
    <row r="62" spans="6:25" ht="15.95" hidden="1" customHeight="1" outlineLevel="1">
      <c r="F62" s="770"/>
      <c r="G62" s="772"/>
      <c r="H62" s="136"/>
      <c r="I62" s="773"/>
      <c r="K62" s="203"/>
    </row>
    <row r="63" spans="6:25" ht="15.95" hidden="1" customHeight="1" outlineLevel="1">
      <c r="F63" s="774"/>
      <c r="G63" s="775"/>
      <c r="H63" s="164"/>
      <c r="I63" s="766"/>
      <c r="K63" s="203"/>
    </row>
    <row r="64" spans="6:25" ht="15.95" hidden="1" customHeight="1" outlineLevel="1">
      <c r="F64" s="768"/>
      <c r="G64" s="764"/>
      <c r="H64" s="164"/>
      <c r="I64" s="766"/>
      <c r="K64" s="203"/>
    </row>
    <row r="65" spans="6:11" ht="15.95" hidden="1" customHeight="1" outlineLevel="1">
      <c r="F65" s="769"/>
      <c r="G65" s="771"/>
      <c r="H65" s="136"/>
      <c r="I65" s="773"/>
      <c r="K65" s="203"/>
    </row>
    <row r="66" spans="6:11" ht="15.95" hidden="1" customHeight="1" outlineLevel="1">
      <c r="F66" s="770"/>
      <c r="G66" s="772"/>
      <c r="H66" s="136"/>
      <c r="I66" s="773"/>
      <c r="K66" s="203"/>
    </row>
    <row r="67" spans="6:11" ht="15.95" hidden="1" customHeight="1" outlineLevel="1">
      <c r="F67" s="774"/>
      <c r="G67" s="775"/>
      <c r="H67" s="164"/>
      <c r="I67" s="766"/>
      <c r="K67" s="203"/>
    </row>
    <row r="68" spans="6:11" ht="15.95" hidden="1" customHeight="1" outlineLevel="1">
      <c r="F68" s="768"/>
      <c r="G68" s="764"/>
      <c r="H68" s="164"/>
      <c r="I68" s="766"/>
      <c r="K68" s="203"/>
    </row>
    <row r="69" spans="6:11" ht="15.95" hidden="1" customHeight="1" outlineLevel="1">
      <c r="F69" s="769"/>
      <c r="G69" s="771"/>
      <c r="H69" s="136"/>
      <c r="I69" s="773"/>
      <c r="K69" s="203"/>
    </row>
    <row r="70" spans="6:11" ht="15.95" hidden="1" customHeight="1" outlineLevel="1">
      <c r="F70" s="770"/>
      <c r="G70" s="772"/>
      <c r="H70" s="136"/>
      <c r="I70" s="773"/>
      <c r="K70" s="203"/>
    </row>
    <row r="71" spans="6:11" ht="15.95" hidden="1" customHeight="1" outlineLevel="1">
      <c r="F71" s="774"/>
      <c r="G71" s="775"/>
      <c r="H71" s="164"/>
      <c r="I71" s="766"/>
      <c r="K71" s="203"/>
    </row>
    <row r="72" spans="6:11" ht="15.95" hidden="1" customHeight="1" outlineLevel="1">
      <c r="F72" s="768"/>
      <c r="G72" s="764"/>
      <c r="H72" s="164"/>
      <c r="I72" s="766"/>
      <c r="K72" s="203"/>
    </row>
    <row r="73" spans="6:11" ht="15.95" hidden="1" customHeight="1" outlineLevel="1">
      <c r="F73" s="769"/>
      <c r="G73" s="771"/>
      <c r="H73" s="136"/>
      <c r="I73" s="773"/>
    </row>
    <row r="74" spans="6:11" ht="15.95" hidden="1" customHeight="1" outlineLevel="1">
      <c r="F74" s="770"/>
      <c r="G74" s="772"/>
      <c r="H74" s="136"/>
      <c r="I74" s="773"/>
    </row>
    <row r="75" spans="6:11" ht="15.95" hidden="1" customHeight="1" outlineLevel="1">
      <c r="F75" s="774"/>
      <c r="G75" s="775"/>
      <c r="H75" s="164"/>
      <c r="I75" s="766"/>
    </row>
    <row r="76" spans="6:11" ht="15.95" hidden="1" customHeight="1" outlineLevel="1">
      <c r="F76" s="768"/>
      <c r="G76" s="764"/>
      <c r="H76" s="164"/>
      <c r="I76" s="766"/>
    </row>
    <row r="77" spans="6:11" ht="15.95" hidden="1" customHeight="1" outlineLevel="1">
      <c r="F77" s="769"/>
      <c r="G77" s="771"/>
      <c r="H77" s="136"/>
      <c r="I77" s="773"/>
    </row>
    <row r="78" spans="6:11" ht="15.95" hidden="1" customHeight="1" outlineLevel="1">
      <c r="F78" s="770"/>
      <c r="G78" s="772"/>
      <c r="H78" s="136"/>
      <c r="I78" s="773"/>
    </row>
    <row r="79" spans="6:11" ht="15.95" hidden="1" customHeight="1" outlineLevel="1">
      <c r="F79" s="774"/>
      <c r="G79" s="775"/>
      <c r="H79" s="164"/>
      <c r="I79" s="766"/>
    </row>
    <row r="80" spans="6:11" ht="15.95" hidden="1" customHeight="1" outlineLevel="1">
      <c r="F80" s="768"/>
      <c r="G80" s="764"/>
      <c r="H80" s="164"/>
      <c r="I80" s="766"/>
    </row>
    <row r="81" spans="6:9" ht="15.95" hidden="1" customHeight="1" outlineLevel="1">
      <c r="F81" s="769"/>
      <c r="G81" s="771"/>
      <c r="H81" s="136"/>
      <c r="I81" s="773"/>
    </row>
    <row r="82" spans="6:9" ht="15.95" hidden="1" customHeight="1" outlineLevel="1">
      <c r="F82" s="770"/>
      <c r="G82" s="772"/>
      <c r="H82" s="136"/>
      <c r="I82" s="773"/>
    </row>
    <row r="83" spans="6:9" ht="15.95" hidden="1" customHeight="1" outlineLevel="1">
      <c r="F83" s="774"/>
      <c r="G83" s="775"/>
      <c r="H83" s="164"/>
      <c r="I83" s="766"/>
    </row>
    <row r="84" spans="6:9" ht="15.95" hidden="1" customHeight="1" outlineLevel="1">
      <c r="F84" s="768"/>
      <c r="G84" s="764"/>
      <c r="H84" s="164"/>
      <c r="I84" s="766"/>
    </row>
    <row r="85" spans="6:9" ht="15.95" hidden="1" customHeight="1" outlineLevel="1">
      <c r="F85" s="769"/>
      <c r="G85" s="771"/>
      <c r="H85" s="136"/>
      <c r="I85" s="773"/>
    </row>
    <row r="86" spans="6:9" ht="15.95" hidden="1" customHeight="1" outlineLevel="1">
      <c r="F86" s="770"/>
      <c r="G86" s="772"/>
      <c r="H86" s="136"/>
      <c r="I86" s="773"/>
    </row>
    <row r="87" spans="6:9" ht="15.95" hidden="1" customHeight="1" outlineLevel="1">
      <c r="F87" s="774"/>
      <c r="G87" s="775"/>
      <c r="H87" s="164"/>
      <c r="I87" s="766"/>
    </row>
    <row r="88" spans="6:9" ht="15.95" hidden="1" customHeight="1" outlineLevel="1">
      <c r="F88" s="768"/>
      <c r="G88" s="764"/>
      <c r="H88" s="164"/>
      <c r="I88" s="766"/>
    </row>
    <row r="89" spans="6:9" ht="15.95" hidden="1" customHeight="1" outlineLevel="1">
      <c r="F89" s="769"/>
      <c r="G89" s="771"/>
      <c r="H89" s="136"/>
      <c r="I89" s="773"/>
    </row>
    <row r="90" spans="6:9" ht="15.95" hidden="1" customHeight="1" outlineLevel="1">
      <c r="F90" s="770"/>
      <c r="G90" s="772"/>
      <c r="H90" s="136"/>
      <c r="I90" s="773"/>
    </row>
    <row r="91" spans="6:9" ht="15.95" hidden="1" customHeight="1" outlineLevel="1">
      <c r="F91" s="774"/>
      <c r="G91" s="775"/>
      <c r="H91" s="164"/>
      <c r="I91" s="766"/>
    </row>
    <row r="92" spans="6:9" ht="15.95" hidden="1" customHeight="1" outlineLevel="1">
      <c r="F92" s="768"/>
      <c r="G92" s="764"/>
      <c r="H92" s="164"/>
      <c r="I92" s="766"/>
    </row>
    <row r="93" spans="6:9" ht="15.95" hidden="1" customHeight="1" outlineLevel="1">
      <c r="F93" s="769"/>
      <c r="G93" s="771"/>
      <c r="H93" s="136"/>
      <c r="I93" s="773"/>
    </row>
    <row r="94" spans="6:9" ht="15.95" hidden="1" customHeight="1" outlineLevel="1">
      <c r="F94" s="770"/>
      <c r="G94" s="772"/>
      <c r="H94" s="136"/>
      <c r="I94" s="773"/>
    </row>
    <row r="95" spans="6:9" ht="15.95" hidden="1" customHeight="1" outlineLevel="1">
      <c r="F95" s="779"/>
      <c r="G95" s="776"/>
      <c r="H95" s="117"/>
      <c r="I95" s="778"/>
    </row>
    <row r="96" spans="6:9" ht="15.95" hidden="1" customHeight="1" outlineLevel="1">
      <c r="F96" s="780"/>
      <c r="G96" s="777"/>
      <c r="H96" s="117"/>
      <c r="I96" s="778"/>
    </row>
    <row r="97" spans="6:9" ht="15.95" hidden="1" customHeight="1" outlineLevel="1">
      <c r="F97" s="781"/>
      <c r="G97" s="783"/>
      <c r="H97" s="141"/>
      <c r="I97" s="785"/>
    </row>
    <row r="98" spans="6:9" ht="15.95" hidden="1" customHeight="1" outlineLevel="1">
      <c r="F98" s="787"/>
      <c r="G98" s="788"/>
      <c r="H98" s="141"/>
      <c r="I98" s="785"/>
    </row>
    <row r="99" spans="6:9" ht="15.95" hidden="1" customHeight="1" outlineLevel="1">
      <c r="F99" s="779"/>
      <c r="G99" s="776"/>
      <c r="H99" s="117"/>
      <c r="I99" s="778"/>
    </row>
    <row r="100" spans="6:9" ht="15.95" hidden="1" customHeight="1" outlineLevel="1">
      <c r="F100" s="780"/>
      <c r="G100" s="777"/>
      <c r="H100" s="117"/>
      <c r="I100" s="778"/>
    </row>
    <row r="101" spans="6:9" ht="15.95" hidden="1" customHeight="1" outlineLevel="1">
      <c r="F101" s="781"/>
      <c r="G101" s="783"/>
      <c r="H101" s="141"/>
      <c r="I101" s="785"/>
    </row>
    <row r="102" spans="6:9" ht="15.95" hidden="1" customHeight="1" outlineLevel="1" thickBot="1">
      <c r="F102" s="782"/>
      <c r="G102" s="784"/>
      <c r="H102" s="219"/>
      <c r="I102" s="78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762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79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89"/>
      <c r="D49" s="535" t="s">
        <v>745</v>
      </c>
      <c r="E49" s="528">
        <v>1.9890000000000001</v>
      </c>
      <c r="F49" s="560"/>
      <c r="G49" s="203"/>
      <c r="H49" s="142" t="s">
        <v>762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762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80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81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90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87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9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9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80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81" t="s">
        <v>751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90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87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752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753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754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755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756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757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9" t="s">
        <v>758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9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80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81"/>
      <c r="D81" s="539"/>
      <c r="E81" s="529"/>
      <c r="F81" s="540"/>
      <c r="H81" s="142" t="s">
        <v>762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90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87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9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9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80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81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90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87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9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9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80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81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90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87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9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9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80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81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90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87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9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9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80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81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90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87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9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9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80"/>
      <c r="D110" s="535"/>
      <c r="E110" s="537"/>
      <c r="F110" s="538"/>
      <c r="H110" s="202"/>
    </row>
    <row r="111" spans="3:18" ht="20.100000000000001" customHeight="1" outlineLevel="1">
      <c r="C111" s="781"/>
      <c r="D111" s="539"/>
      <c r="E111" s="529"/>
      <c r="F111" s="540"/>
      <c r="H111" s="202"/>
    </row>
    <row r="112" spans="3:18" ht="20.100000000000001" customHeight="1" outlineLevel="1">
      <c r="C112" s="790"/>
      <c r="D112" s="539"/>
      <c r="E112" s="529"/>
      <c r="F112" s="540"/>
      <c r="H112" s="202"/>
    </row>
    <row r="113" spans="3:8" ht="20.100000000000001" customHeight="1" outlineLevel="1">
      <c r="C113" s="787"/>
      <c r="D113" s="539"/>
      <c r="E113" s="541"/>
      <c r="F113" s="542"/>
      <c r="H113" s="202"/>
    </row>
    <row r="114" spans="3:8" ht="20.100000000000001" customHeight="1" outlineLevel="1">
      <c r="C114" s="779"/>
      <c r="D114" s="535"/>
      <c r="E114" s="528"/>
      <c r="F114" s="534"/>
      <c r="H114" s="202"/>
    </row>
    <row r="115" spans="3:8" ht="20.100000000000001" customHeight="1" outlineLevel="1">
      <c r="C115" s="789"/>
      <c r="D115" s="535"/>
      <c r="E115" s="528"/>
      <c r="F115" s="534"/>
      <c r="H115" s="202"/>
    </row>
    <row r="116" spans="3:8" ht="20.100000000000001" customHeight="1" outlineLevel="1">
      <c r="C116" s="780"/>
      <c r="D116" s="535"/>
      <c r="E116" s="537"/>
      <c r="F116" s="538"/>
      <c r="H116" s="202"/>
    </row>
    <row r="117" spans="3:8" ht="20.100000000000001" customHeight="1" outlineLevel="1">
      <c r="C117" s="781"/>
      <c r="D117" s="539"/>
      <c r="E117" s="529"/>
      <c r="F117" s="540"/>
      <c r="H117" s="202"/>
    </row>
    <row r="118" spans="3:8" ht="20.100000000000001" customHeight="1" outlineLevel="1">
      <c r="C118" s="790"/>
      <c r="D118" s="539"/>
      <c r="E118" s="529"/>
      <c r="F118" s="540"/>
      <c r="H118" s="202"/>
    </row>
    <row r="119" spans="3:8" ht="20.100000000000001" customHeight="1" outlineLevel="1">
      <c r="C119" s="787"/>
      <c r="D119" s="539"/>
      <c r="E119" s="541"/>
      <c r="F119" s="542"/>
      <c r="H119" s="202"/>
    </row>
    <row r="120" spans="3:8" ht="20.100000000000001" customHeight="1" outlineLevel="1">
      <c r="C120" s="779"/>
      <c r="D120" s="535"/>
      <c r="E120" s="528"/>
      <c r="F120" s="534"/>
      <c r="H120" s="202"/>
    </row>
    <row r="121" spans="3:8" ht="20.100000000000001" customHeight="1" outlineLevel="1">
      <c r="C121" s="789"/>
      <c r="D121" s="535"/>
      <c r="E121" s="528"/>
      <c r="F121" s="534"/>
      <c r="H121" s="202"/>
    </row>
    <row r="122" spans="3:8" ht="20.100000000000001" customHeight="1" outlineLevel="1">
      <c r="C122" s="780"/>
      <c r="D122" s="535"/>
      <c r="E122" s="537"/>
      <c r="F122" s="538"/>
      <c r="H122" s="202"/>
    </row>
    <row r="123" spans="3:8" ht="20.100000000000001" customHeight="1" outlineLevel="1">
      <c r="C123" s="781"/>
      <c r="D123" s="539"/>
      <c r="E123" s="529"/>
      <c r="F123" s="540"/>
      <c r="H123" s="202"/>
    </row>
    <row r="124" spans="3:8" ht="20.100000000000001" customHeight="1" outlineLevel="1">
      <c r="C124" s="790"/>
      <c r="D124" s="539"/>
      <c r="E124" s="529"/>
      <c r="F124" s="540"/>
      <c r="H124" s="202"/>
    </row>
    <row r="125" spans="3:8" ht="20.100000000000001" customHeight="1" outlineLevel="1">
      <c r="C125" s="787"/>
      <c r="D125" s="539"/>
      <c r="E125" s="541"/>
      <c r="F125" s="542"/>
      <c r="H125" s="202"/>
    </row>
    <row r="126" spans="3:8" ht="20.25" customHeight="1" outlineLevel="1">
      <c r="C126" s="779"/>
      <c r="D126" s="535"/>
      <c r="E126" s="528"/>
      <c r="F126" s="534"/>
      <c r="H126" s="202"/>
    </row>
    <row r="127" spans="3:8" ht="20.100000000000001" customHeight="1" outlineLevel="1">
      <c r="C127" s="789"/>
      <c r="D127" s="535"/>
      <c r="E127" s="528"/>
      <c r="F127" s="534"/>
      <c r="H127" s="202"/>
    </row>
    <row r="128" spans="3:8" ht="20.100000000000001" customHeight="1" outlineLevel="1">
      <c r="C128" s="780"/>
      <c r="D128" s="535"/>
      <c r="E128" s="537"/>
      <c r="F128" s="538"/>
      <c r="H128" s="202"/>
    </row>
    <row r="129" spans="3:12" ht="20.100000000000001" customHeight="1" outlineLevel="1">
      <c r="C129" s="781"/>
      <c r="D129" s="539"/>
      <c r="E129" s="544"/>
      <c r="F129" s="444"/>
      <c r="H129" s="202"/>
    </row>
    <row r="130" spans="3:12" ht="20.100000000000001" customHeight="1" outlineLevel="1">
      <c r="C130" s="790"/>
      <c r="D130" s="539"/>
      <c r="E130" s="544"/>
      <c r="F130" s="438"/>
    </row>
    <row r="131" spans="3:12" ht="20.100000000000001" customHeight="1" outlineLevel="1">
      <c r="C131" s="787"/>
      <c r="D131" s="539"/>
      <c r="E131" s="545"/>
      <c r="F131" s="546"/>
    </row>
    <row r="132" spans="3:12" ht="20.100000000000001" customHeight="1" outlineLevel="1">
      <c r="C132" s="779"/>
      <c r="D132" s="535"/>
      <c r="E132" s="533"/>
      <c r="F132" s="443"/>
    </row>
    <row r="133" spans="3:12" ht="20.100000000000001" customHeight="1" outlineLevel="1">
      <c r="C133" s="789"/>
      <c r="D133" s="535"/>
      <c r="E133" s="533"/>
      <c r="F133" s="427"/>
    </row>
    <row r="134" spans="3:12" ht="20.100000000000001" customHeight="1" outlineLevel="1">
      <c r="C134" s="780"/>
      <c r="D134" s="535"/>
      <c r="E134" s="547"/>
      <c r="F134" s="548"/>
    </row>
    <row r="135" spans="3:12" ht="20.100000000000001" customHeight="1" outlineLevel="1">
      <c r="C135" s="781"/>
      <c r="D135" s="539"/>
      <c r="E135" s="544"/>
      <c r="F135" s="444"/>
    </row>
    <row r="136" spans="3:12" ht="20.100000000000001" customHeight="1" outlineLevel="1">
      <c r="C136" s="790"/>
      <c r="D136" s="539"/>
      <c r="E136" s="544"/>
      <c r="F136" s="438"/>
    </row>
    <row r="137" spans="3:12" ht="20.100000000000001" customHeight="1" outlineLevel="1" thickBot="1">
      <c r="C137" s="782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93" t="s">
        <v>809</v>
      </c>
      <c r="E4" s="449">
        <v>160</v>
      </c>
      <c r="F4" s="449">
        <v>2.2524999999999999</v>
      </c>
      <c r="G4" s="795">
        <v>2.1840000000000002</v>
      </c>
      <c r="H4" s="793">
        <v>0.03</v>
      </c>
      <c r="I4" s="449">
        <v>125</v>
      </c>
      <c r="J4" s="797">
        <v>125</v>
      </c>
      <c r="K4" s="449">
        <v>243</v>
      </c>
      <c r="L4" s="797">
        <v>239</v>
      </c>
      <c r="M4" s="449">
        <v>2.0500000000000001E-2</v>
      </c>
      <c r="N4" s="795">
        <v>1.54E-2</v>
      </c>
      <c r="O4" s="791" t="s">
        <v>226</v>
      </c>
    </row>
    <row r="5" spans="1:15" ht="20.100000000000001" customHeight="1">
      <c r="C5" s="448" t="s">
        <v>762</v>
      </c>
      <c r="D5" s="794"/>
      <c r="E5" s="449">
        <v>160</v>
      </c>
      <c r="F5" s="449">
        <v>2.1154999999999999</v>
      </c>
      <c r="G5" s="796"/>
      <c r="H5" s="794"/>
      <c r="I5" s="449">
        <v>125</v>
      </c>
      <c r="J5" s="798"/>
      <c r="K5" s="449">
        <v>235</v>
      </c>
      <c r="L5" s="798"/>
      <c r="M5" s="449">
        <v>1.04E-2</v>
      </c>
      <c r="N5" s="796"/>
      <c r="O5" s="79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762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762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831</v>
      </c>
      <c r="F45" s="195" t="s">
        <v>832</v>
      </c>
      <c r="G45" s="196" t="s">
        <v>759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831</v>
      </c>
      <c r="N45" s="195" t="s">
        <v>833</v>
      </c>
      <c r="O45" s="196" t="s">
        <v>834</v>
      </c>
      <c r="P45" s="203"/>
      <c r="Q45" s="127">
        <f>MAX(K45:K74)</f>
        <v>119</v>
      </c>
      <c r="R45" s="128" t="s">
        <v>830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762</v>
      </c>
      <c r="E46" s="192" t="s">
        <v>835</v>
      </c>
      <c r="F46" s="192" t="s">
        <v>836</v>
      </c>
      <c r="G46" s="193" t="s">
        <v>759</v>
      </c>
      <c r="H46" s="203"/>
      <c r="I46" s="191" t="s">
        <v>762</v>
      </c>
      <c r="J46" s="192">
        <v>95</v>
      </c>
      <c r="K46" s="193">
        <v>119</v>
      </c>
      <c r="L46" s="203"/>
      <c r="M46" s="191" t="s">
        <v>835</v>
      </c>
      <c r="N46" s="192" t="s">
        <v>837</v>
      </c>
      <c r="O46" s="193" t="s">
        <v>838</v>
      </c>
      <c r="P46" s="203"/>
      <c r="Q46" s="84">
        <f>MIN(J45:J74)</f>
        <v>90</v>
      </c>
      <c r="R46" s="109" t="s">
        <v>808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762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839</v>
      </c>
      <c r="E79" s="102" t="s">
        <v>839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762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840</v>
      </c>
      <c r="E84" s="102" t="s">
        <v>840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762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807</v>
      </c>
      <c r="E89" s="102" t="s">
        <v>807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762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841</v>
      </c>
      <c r="E94" s="102" t="s">
        <v>842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762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843</v>
      </c>
      <c r="E99" s="102" t="s">
        <v>844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762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846</v>
      </c>
      <c r="E104" s="102" t="s">
        <v>846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762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761</v>
      </c>
      <c r="E109" s="102" t="s">
        <v>761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762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845</v>
      </c>
      <c r="E114" s="102" t="s">
        <v>845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762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760</v>
      </c>
      <c r="E119" s="102" t="s">
        <v>760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F10" sqref="F10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819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809" t="s">
        <v>0</v>
      </c>
      <c r="B2" s="799" t="s">
        <v>39</v>
      </c>
      <c r="C2" s="799" t="s">
        <v>6</v>
      </c>
      <c r="D2" s="799" t="s">
        <v>38</v>
      </c>
      <c r="E2" s="799" t="s">
        <v>194</v>
      </c>
      <c r="F2" s="799" t="s">
        <v>193</v>
      </c>
      <c r="G2" s="803" t="s">
        <v>1</v>
      </c>
      <c r="H2" s="803" t="s">
        <v>2</v>
      </c>
      <c r="I2" s="803" t="s">
        <v>162</v>
      </c>
      <c r="J2" s="807" t="s">
        <v>239</v>
      </c>
      <c r="K2" s="803" t="s">
        <v>238</v>
      </c>
      <c r="L2" s="803" t="s">
        <v>3</v>
      </c>
      <c r="M2" s="803" t="s">
        <v>4</v>
      </c>
      <c r="N2" s="803" t="s">
        <v>5</v>
      </c>
      <c r="O2" s="803" t="s">
        <v>237</v>
      </c>
      <c r="P2" s="805" t="s">
        <v>236</v>
      </c>
      <c r="Q2" s="799" t="s">
        <v>149</v>
      </c>
      <c r="R2" s="801" t="s">
        <v>87</v>
      </c>
    </row>
    <row r="3" spans="1:18" s="46" customFormat="1" ht="27" customHeight="1">
      <c r="A3" s="810"/>
      <c r="B3" s="800"/>
      <c r="C3" s="800"/>
      <c r="D3" s="800"/>
      <c r="E3" s="800"/>
      <c r="F3" s="800"/>
      <c r="G3" s="804"/>
      <c r="H3" s="804"/>
      <c r="I3" s="804"/>
      <c r="J3" s="808"/>
      <c r="K3" s="804"/>
      <c r="L3" s="804"/>
      <c r="M3" s="804"/>
      <c r="N3" s="804"/>
      <c r="O3" s="804"/>
      <c r="P3" s="806"/>
      <c r="Q3" s="800"/>
      <c r="R3" s="802"/>
    </row>
    <row r="4" spans="1:18" ht="23.1" customHeight="1">
      <c r="A4" s="739" t="s">
        <v>848</v>
      </c>
      <c r="B4" s="740" t="str">
        <f>Recharge!$B$32</f>
        <v>주식회사 한일지하수</v>
      </c>
      <c r="C4" s="741"/>
      <c r="D4" s="742" t="s">
        <v>851</v>
      </c>
      <c r="E4" s="742" t="str">
        <f>Recharge!$I$24</f>
        <v>금강서해/부남방조제</v>
      </c>
      <c r="F4" s="742" t="str">
        <f>All!$B$2</f>
        <v>서산기상청</v>
      </c>
      <c r="G4" s="742">
        <v>200</v>
      </c>
      <c r="H4" s="742">
        <v>150</v>
      </c>
      <c r="I4" s="742">
        <v>160</v>
      </c>
      <c r="J4" s="742">
        <v>160</v>
      </c>
      <c r="K4" s="742">
        <v>170</v>
      </c>
      <c r="L4" s="742">
        <v>5</v>
      </c>
      <c r="M4" s="742">
        <v>100</v>
      </c>
      <c r="N4" s="743">
        <v>40</v>
      </c>
      <c r="O4" s="744">
        <f>ROUND(water!$F$7, 1)</f>
        <v>308.5</v>
      </c>
      <c r="P4" s="745">
        <v>2518240.5055999998</v>
      </c>
      <c r="Q4" s="742"/>
      <c r="R4" s="746"/>
    </row>
    <row r="5" spans="1:18" ht="23.1" customHeight="1" thickBot="1">
      <c r="A5" s="749" t="s">
        <v>849</v>
      </c>
      <c r="B5" s="750" t="str">
        <f>Recharge!$B$32</f>
        <v>주식회사 한일지하수</v>
      </c>
      <c r="C5" s="751"/>
      <c r="D5" s="752" t="s">
        <v>851</v>
      </c>
      <c r="E5" s="752" t="str">
        <f>Recharge!$I$24</f>
        <v>금강서해/부남방조제</v>
      </c>
      <c r="F5" s="752" t="str">
        <f>All!$B$2</f>
        <v>서산기상청</v>
      </c>
      <c r="G5" s="752">
        <v>200</v>
      </c>
      <c r="H5" s="752">
        <v>150</v>
      </c>
      <c r="I5" s="752">
        <v>160</v>
      </c>
      <c r="J5" s="752">
        <v>160</v>
      </c>
      <c r="K5" s="752">
        <v>200</v>
      </c>
      <c r="L5" s="752">
        <v>5</v>
      </c>
      <c r="M5" s="752">
        <v>100</v>
      </c>
      <c r="N5" s="753">
        <v>40</v>
      </c>
      <c r="O5" s="754">
        <f>ROUND(water!$F$7, 1)</f>
        <v>308.5</v>
      </c>
      <c r="P5" s="755">
        <v>2518240.5055999998</v>
      </c>
      <c r="Q5" s="752"/>
      <c r="R5" s="756"/>
    </row>
    <row r="6" spans="1:18" ht="23.25" customHeight="1" thickBot="1">
      <c r="A6" s="71"/>
      <c r="J6" s="85"/>
      <c r="P6" s="86"/>
    </row>
    <row r="7" spans="1:18" ht="23.25" customHeight="1" thickBot="1">
      <c r="I7" s="647">
        <f>SUM(I4:I6)</f>
        <v>320</v>
      </c>
    </row>
    <row r="11" spans="1:18">
      <c r="Q11" s="16" t="s">
        <v>112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30">
        <f>Well!H4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31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3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3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3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813" t="s">
        <v>107</v>
      </c>
      <c r="K11" s="814"/>
      <c r="L11" s="815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125</v>
      </c>
      <c r="H12" s="6"/>
      <c r="J12" s="636" t="s">
        <v>109</v>
      </c>
      <c r="K12" s="748">
        <v>63</v>
      </c>
      <c r="L12" s="747">
        <f>K12+180</f>
        <v>243</v>
      </c>
    </row>
    <row r="13" spans="1:13" ht="20.100000000000001" customHeight="1">
      <c r="A13" s="5">
        <f>C10+C11+C12+C13</f>
        <v>150</v>
      </c>
      <c r="B13" s="505" t="s">
        <v>65</v>
      </c>
      <c r="C13" s="728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1353</v>
      </c>
      <c r="L13" s="709" t="s">
        <v>852</v>
      </c>
    </row>
    <row r="14" spans="1:13" ht="20.100000000000001" customHeight="1">
      <c r="B14" s="506" t="s">
        <v>66</v>
      </c>
      <c r="C14" s="734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75</v>
      </c>
      <c r="L14" s="637"/>
    </row>
    <row r="15" spans="1:13" ht="20.100000000000001" customHeight="1" thickBot="1">
      <c r="B15" s="506" t="s">
        <v>67</v>
      </c>
      <c r="C15" s="731">
        <f>Well!I4</f>
        <v>160</v>
      </c>
      <c r="E15" s="19">
        <v>1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35">
        <f>Well!J4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51.7</v>
      </c>
      <c r="L16" s="632"/>
    </row>
    <row r="17" spans="2:12" ht="20.100000000000001" customHeight="1" thickBot="1">
      <c r="B17" s="505" t="s">
        <v>69</v>
      </c>
      <c r="C17" s="736">
        <f>Well!L4</f>
        <v>5</v>
      </c>
      <c r="E17" s="113">
        <f>Well!P4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27.700000000000003</v>
      </c>
      <c r="L17" s="632"/>
    </row>
    <row r="18" spans="2:12" ht="20.100000000000001" customHeight="1" thickBot="1">
      <c r="B18" s="505" t="s">
        <v>70</v>
      </c>
      <c r="C18" s="736">
        <f>Well!M4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2.0473022912047303E-2</v>
      </c>
      <c r="L18" s="635">
        <f>K18*100</f>
        <v>2.0473022912047303</v>
      </c>
    </row>
    <row r="19" spans="2:12" ht="20.100000000000001" customHeight="1" thickBot="1">
      <c r="B19" s="505" t="s">
        <v>72</v>
      </c>
      <c r="C19" s="736">
        <f>Well!N4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3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37">
        <v>54.94</v>
      </c>
      <c r="D21" s="5"/>
      <c r="E21" s="114">
        <f>Well!$I$7</f>
        <v>320</v>
      </c>
      <c r="F21" s="115">
        <f>Well!O4</f>
        <v>308.5</v>
      </c>
      <c r="G21" s="646">
        <f>G19-E21-F21</f>
        <v>475.30736393892312</v>
      </c>
    </row>
    <row r="22" spans="2:12" ht="20.100000000000001" customHeight="1" thickBot="1">
      <c r="B22" s="506" t="s">
        <v>154</v>
      </c>
      <c r="C22" s="738">
        <f>C21-C20</f>
        <v>31.639999999999997</v>
      </c>
      <c r="E22" s="619">
        <f>E21+F21</f>
        <v>628.5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811" t="s">
        <v>49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2.0473022912047303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811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9</v>
      </c>
      <c r="I27" s="568">
        <v>4</v>
      </c>
      <c r="J27" s="568">
        <v>1</v>
      </c>
      <c r="K27" s="563" t="s">
        <v>830</v>
      </c>
    </row>
    <row r="28" spans="2:12" ht="25.5" customHeight="1">
      <c r="B28" s="811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811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811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9</v>
      </c>
      <c r="I30" s="644">
        <f t="shared" si="0"/>
        <v>20</v>
      </c>
      <c r="J30" s="644">
        <f t="shared" si="0"/>
        <v>3</v>
      </c>
      <c r="K30" s="582">
        <f>SUM(D30:J30)</f>
        <v>89</v>
      </c>
    </row>
    <row r="31" spans="2:12" ht="25.5" customHeight="1" thickBot="1">
      <c r="B31" s="812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27</v>
      </c>
      <c r="I31" s="645">
        <f t="shared" si="1"/>
        <v>16</v>
      </c>
      <c r="J31" s="645">
        <f t="shared" si="1"/>
        <v>2</v>
      </c>
      <c r="K31" s="58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10</xdr:col>
                <xdr:colOff>447675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8E8A-243D-4E89-A506-6E4F91542B64}">
  <sheetPr codeName="Sheet_W2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147</v>
      </c>
      <c r="C2" s="390" t="str">
        <f>Well!D5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847</v>
      </c>
      <c r="J2"/>
      <c r="K2"/>
      <c r="L2"/>
      <c r="M2"/>
    </row>
    <row r="3" spans="1:13" ht="20.100000000000001" customHeight="1">
      <c r="B3" s="504" t="s">
        <v>6</v>
      </c>
      <c r="C3" s="727">
        <f>Well!C5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Well!R5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Well!Q5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29" t="str">
        <f>Well!D5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191</v>
      </c>
      <c r="L6"/>
      <c r="M6"/>
    </row>
    <row r="7" spans="1:13" ht="20.100000000000001" customHeight="1" thickBot="1">
      <c r="B7" s="506" t="s">
        <v>55</v>
      </c>
      <c r="C7" s="730">
        <f>Well!H5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31">
        <f>Well!G5</f>
        <v>200</v>
      </c>
      <c r="D8" s="458">
        <f>C8/2000</f>
        <v>0.1</v>
      </c>
    </row>
    <row r="9" spans="1:13" ht="25.5" customHeight="1" thickBot="1">
      <c r="B9" s="506" t="s">
        <v>59</v>
      </c>
      <c r="C9" s="73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3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3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813" t="s">
        <v>107</v>
      </c>
      <c r="K11" s="814"/>
      <c r="L11" s="815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125</v>
      </c>
      <c r="H12" s="6"/>
      <c r="J12" s="636" t="s">
        <v>109</v>
      </c>
      <c r="K12" s="748">
        <v>55</v>
      </c>
      <c r="L12" s="747">
        <f>K12+180</f>
        <v>235</v>
      </c>
    </row>
    <row r="13" spans="1:13" ht="20.100000000000001" customHeight="1">
      <c r="A13" s="5">
        <f>C10+C11+C12+C13</f>
        <v>150</v>
      </c>
      <c r="B13" s="505" t="s">
        <v>65</v>
      </c>
      <c r="C13" s="728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1429</v>
      </c>
      <c r="L13" s="709" t="s">
        <v>852</v>
      </c>
    </row>
    <row r="14" spans="1:13" ht="20.100000000000001" customHeight="1">
      <c r="B14" s="506" t="s">
        <v>66</v>
      </c>
      <c r="C14" s="734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58</v>
      </c>
      <c r="L14" s="637"/>
    </row>
    <row r="15" spans="1:13" ht="20.100000000000001" customHeight="1" thickBot="1">
      <c r="B15" s="506" t="s">
        <v>67</v>
      </c>
      <c r="C15" s="731">
        <f>Well!I5</f>
        <v>160</v>
      </c>
      <c r="E15" s="19">
        <v>2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35">
        <f>Well!J5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34.700000000000003</v>
      </c>
      <c r="L16" s="632"/>
    </row>
    <row r="17" spans="2:12" ht="20.100000000000001" customHeight="1" thickBot="1">
      <c r="B17" s="505" t="s">
        <v>69</v>
      </c>
      <c r="C17" s="736">
        <f>Well!L5</f>
        <v>5</v>
      </c>
      <c r="E17" s="113">
        <f>Well!P5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10.700000000000003</v>
      </c>
      <c r="L17" s="632"/>
    </row>
    <row r="18" spans="2:12" ht="20.100000000000001" customHeight="1" thickBot="1">
      <c r="B18" s="505" t="s">
        <v>70</v>
      </c>
      <c r="C18" s="736">
        <f>Well!M5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7.4877536738978323E-3</v>
      </c>
      <c r="L18" s="635">
        <f>K18*100</f>
        <v>0.74877536738978323</v>
      </c>
    </row>
    <row r="19" spans="2:12" ht="20.100000000000001" customHeight="1" thickBot="1">
      <c r="B19" s="505" t="s">
        <v>72</v>
      </c>
      <c r="C19" s="736">
        <f>Well!N5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3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37">
        <v>54.94</v>
      </c>
      <c r="D21" s="5"/>
      <c r="E21" s="114">
        <f>Well!$I$7</f>
        <v>320</v>
      </c>
      <c r="F21" s="115">
        <f>Well!O5</f>
        <v>308.5</v>
      </c>
      <c r="G21" s="646">
        <f>G19-E21-F21</f>
        <v>475.30736393892312</v>
      </c>
    </row>
    <row r="22" spans="2:12" ht="20.100000000000001" customHeight="1" thickBot="1">
      <c r="B22" s="506" t="s">
        <v>154</v>
      </c>
      <c r="C22" s="738">
        <f>C21-C20</f>
        <v>31.639999999999997</v>
      </c>
      <c r="E22" s="619">
        <f>E21+F21</f>
        <v>628.5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811" t="s">
        <v>850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0.74877536738978323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811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830</v>
      </c>
    </row>
    <row r="28" spans="2:12" ht="25.5" customHeight="1">
      <c r="B28" s="811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811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811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90</v>
      </c>
    </row>
    <row r="31" spans="2:12" ht="25.5" customHeight="1" thickBot="1">
      <c r="B31" s="812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_ToggleDirection">
          <controlPr defaultSize="0" autoLine="0" r:id="rId5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10</xdr:col>
                <xdr:colOff>447675</xdr:colOff>
                <xdr:row>9</xdr:row>
                <xdr:rowOff>142875</xdr:rowOff>
              </to>
            </anchor>
          </controlPr>
        </control>
      </mc:Choice>
      <mc:Fallback>
        <control shapeId="335873" r:id="rId4" name="CommandButton_ToggleDirection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7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7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FED1B40-59EB-4D4E-B4F7-C06BD10637A2}">
          <x14:formula1>
            <xm:f>drastic!$G$4:$G$14</xm:f>
          </x14:formula1>
          <xm:sqref>I26</xm:sqref>
        </x14:dataValidation>
        <x14:dataValidation type="list" allowBlank="1" showInputMessage="1" showErrorMessage="1" xr:uid="{D3B382B2-FEA4-4627-827D-BCC4457ADC41}">
          <x14:formula1>
            <xm:f>drastic!$D$4:$D$14</xm:f>
          </x14:formula1>
          <xm:sqref>G26</xm:sqref>
        </x14:dataValidation>
        <x14:dataValidation type="list" allowBlank="1" showInputMessage="1" showErrorMessage="1" xr:uid="{1CD2688E-715F-4554-8367-5B3F417E78F5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18" t="s">
        <v>80</v>
      </c>
      <c r="C12" s="819"/>
      <c r="D12" s="819" t="s">
        <v>81</v>
      </c>
      <c r="E12" s="819"/>
      <c r="F12" s="820"/>
      <c r="H12" s="821" t="s">
        <v>81</v>
      </c>
      <c r="I12" s="822"/>
      <c r="J12" s="823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24" t="s">
        <v>36</v>
      </c>
      <c r="C24" s="825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24" t="s">
        <v>37</v>
      </c>
      <c r="C25" s="825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16" t="s">
        <v>86</v>
      </c>
      <c r="C26" s="817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18" t="s">
        <v>80</v>
      </c>
      <c r="C12" s="819"/>
      <c r="D12" s="819" t="s">
        <v>81</v>
      </c>
      <c r="E12" s="819"/>
      <c r="F12" s="819"/>
      <c r="G12" s="819" t="s">
        <v>147</v>
      </c>
      <c r="H12" s="819"/>
      <c r="I12" s="820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24" t="s">
        <v>36</v>
      </c>
      <c r="C24" s="825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24" t="s">
        <v>37</v>
      </c>
      <c r="C25" s="825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16" t="s">
        <v>86</v>
      </c>
      <c r="C26" s="817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26" t="s">
        <v>81</v>
      </c>
      <c r="E29" s="827"/>
      <c r="F29" s="828"/>
      <c r="H29" s="826" t="s">
        <v>147</v>
      </c>
      <c r="I29" s="827"/>
      <c r="J29" s="82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18" t="s">
        <v>80</v>
      </c>
      <c r="C12" s="819"/>
      <c r="D12" s="819" t="s">
        <v>81</v>
      </c>
      <c r="E12" s="819"/>
      <c r="F12" s="819"/>
      <c r="G12" s="819" t="s">
        <v>147</v>
      </c>
      <c r="H12" s="819"/>
      <c r="I12" s="819"/>
      <c r="J12" s="819" t="s">
        <v>148</v>
      </c>
      <c r="K12" s="819"/>
      <c r="L12" s="820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24" t="s">
        <v>36</v>
      </c>
      <c r="C24" s="825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24" t="s">
        <v>37</v>
      </c>
      <c r="C25" s="825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16" t="s">
        <v>86</v>
      </c>
      <c r="C26" s="817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26" t="s">
        <v>81</v>
      </c>
      <c r="E29" s="827"/>
      <c r="F29" s="828"/>
      <c r="H29" s="826" t="s">
        <v>147</v>
      </c>
      <c r="I29" s="827"/>
      <c r="J29" s="828"/>
      <c r="L29" s="826" t="s">
        <v>148</v>
      </c>
      <c r="M29" s="827"/>
      <c r="N29" s="82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2025-05-03T10:01:56Z</dcterms:modified>
</cp:coreProperties>
</file>