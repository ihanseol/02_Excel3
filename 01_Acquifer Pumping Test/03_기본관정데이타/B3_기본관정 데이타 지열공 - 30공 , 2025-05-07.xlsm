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8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76619BC-18B3-4E85-AA2A-4B4C52ECD20F}" xr6:coauthVersionLast="47" xr6:coauthVersionMax="47" xr10:uidLastSave="{00000000-0000-0000-0000-000000000000}"/>
  <bookViews>
    <workbookView xWindow="4230" yWindow="255" windowWidth="30825" windowHeight="20850" tabRatio="55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9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209" l="1"/>
  <c r="E23" i="209"/>
  <c r="D23" i="209"/>
  <c r="B23" i="209"/>
  <c r="F22" i="209"/>
  <c r="E22" i="209"/>
  <c r="D22" i="209"/>
  <c r="B22" i="209"/>
  <c r="F21" i="209"/>
  <c r="E21" i="209"/>
  <c r="D21" i="209"/>
  <c r="B21" i="209"/>
  <c r="B4" i="52" l="1"/>
  <c r="O4" i="52"/>
  <c r="F4" i="52"/>
  <c r="E4" i="52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E13" i="55"/>
  <c r="F20" i="209"/>
  <c r="E20" i="209"/>
  <c r="D20" i="209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55"/>
  <c r="E25" i="209" l="1"/>
  <c r="D24" i="209"/>
  <c r="E24" i="209"/>
  <c r="F25" i="209" l="1"/>
  <c r="D25" i="209"/>
  <c r="D26" i="209" s="1"/>
  <c r="E26" i="209"/>
  <c r="F24" i="209"/>
  <c r="E2" i="55"/>
  <c r="F26" i="209" l="1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55" s="1"/>
  <c r="D26" i="55"/>
  <c r="F13" i="55" l="1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K25" i="115"/>
  <c r="K24" i="115"/>
  <c r="D24" i="115" l="1"/>
  <c r="L24" i="115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J25" i="115"/>
  <c r="J24" i="115"/>
  <c r="K26" i="115"/>
  <c r="D26" i="115" l="1"/>
  <c r="G26" i="115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<sst xmlns="http://schemas.openxmlformats.org/spreadsheetml/2006/main" count="1215" uniqueCount="848">
  <si>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</si>
  <si>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</si>
  <si>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</si>
  <si>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</si>
  <si>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</si>
  <si>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</si>
  <si>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</si>
  <si>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</si>
  <si>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</si>
  <si>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</si>
  <si>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</si>
  <si>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</si>
  <si>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</si>
  <si>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</si>
  <si>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</si>
  <si>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</si>
  <si>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</si>
  <si>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</si>
  <si>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</si>
  <si>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</si>
  <si>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</si>
  <si>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</si>
  <si>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</si>
  <si>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</si>
  <si>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</si>
  <si>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</si>
  <si>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</si>
  <si>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</si>
  <si>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</si>
  <si>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</si>
  <si>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</si>
  <si>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</si>
  <si>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</si>
  <si>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</si>
  <si>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</si>
  <si>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</si>
  <si>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</si>
  <si>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</si>
  <si>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</si>
  <si>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</si>
  <si>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</si>
  <si>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</si>
  <si>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</si>
  <si>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</si>
  <si>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</si>
  <si>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</si>
  <si>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</si>
  <si>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</si>
  <si>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</si>
  <si>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</si>
  <si>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</si>
  <si>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</si>
  <si>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</si>
  <si>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</si>
  <si>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</si>
  <si>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</si>
  <si>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</si>
  <si>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</si>
  <si>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</si>
  <si>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</si>
  <si>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</si>
  <si>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</si>
  <si>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</si>
  <si>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</si>
  <si>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</si>
  <si>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</si>
  <si>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</si>
  <si>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</si>
  <si>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</si>
  <si>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</si>
  <si>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</si>
  <si>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</si>
  <si>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</si>
  <si>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</si>
  <si>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</si>
  <si>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</si>
  <si>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</si>
  <si>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</si>
  <si>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</si>
  <si>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</si>
  <si>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</si>
  <si>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</si>
  <si>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</si>
  <si>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</si>
  <si>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</si>
  <si>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</si>
  <si>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</si>
  <si>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</si>
  <si>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</si>
  <si>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</si>
  <si>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</si>
  <si>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</si>
  <si>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</si>
  <si>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</si>
  <si>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</si>
  <si>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</si>
  <si>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</si>
  <si>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</si>
  <si>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</si>
  <si>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</si>
  <si>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</si>
  <si>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</si>
  <si>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</si>
  <si>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</si>
  <si>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</si>
  <si>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</si>
  <si>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</si>
  <si>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</si>
  <si>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</si>
  <si>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</si>
  <si>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</si>
  <si>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</si>
  <si>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</si>
  <si>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</si>
  <si>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</si>
  <si>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</si>
  <si>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</si>
  <si>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</si>
  <si>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</si>
  <si>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</si>
  <si>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</si>
  <si>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</si>
  <si>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</si>
  <si>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</si>
  <si>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</si>
  <si>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</si>
  <si>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</si>
  <si>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</si>
  <si>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</si>
  <si>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</si>
  <si>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</si>
  <si>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</si>
  <si>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</si>
  <si>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</si>
  <si>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</si>
  <si>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</si>
  <si>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</si>
  <si>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</si>
  <si>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</si>
  <si>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</si>
  <si>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</si>
  <si>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</si>
  <si>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</si>
  <si>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</si>
  <si>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</si>
  <si>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</si>
  <si>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</si>
  <si>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</si>
  <si>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</si>
  <si>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</si>
  <si>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</si>
  <si>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</si>
  <si>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</si>
  <si>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</si>
  <si>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</si>
  <si>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</si>
  <si>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</si>
  <si>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</si>
  <si>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</si>
  <si>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</si>
  <si>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</si>
  <si>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</si>
  <si>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</si>
  <si>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</si>
  <si>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</si>
  <si>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</si>
  <si>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</si>
  <si>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</si>
  <si>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</si>
  <si>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</si>
  <si>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</si>
  <si>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</si>
  <si>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</si>
  <si>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</si>
  <si>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</si>
  <si>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</si>
  <si>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</si>
  <si>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</si>
  <si>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</si>
  <si>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</si>
  <si>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</si>
  <si>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</si>
  <si>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</si>
  <si>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</si>
  <si>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</si>
  <si>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</si>
  <si>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</si>
  <si>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</si>
  <si>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</si>
  <si>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</si>
  <si>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</si>
  <si>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</si>
  <si>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</si>
  <si>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</si>
  <si>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</si>
  <si>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</si>
  <si>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</si>
  <si>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</si>
  <si>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</si>
  <si>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</si>
  <si>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</si>
  <si>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</si>
  <si>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</si>
  <si>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</si>
  <si>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</si>
  <si>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</si>
  <si>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</si>
  <si>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</si>
  <si>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</si>
  <si>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</si>
  <si>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</si>
  <si>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</si>
  <si>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</si>
  <si>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</si>
  <si>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</si>
  <si>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</si>
  <si>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</si>
  <si>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</si>
  <si>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</si>
  <si>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</si>
  <si>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</si>
  <si>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</si>
  <si>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</si>
  <si>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</si>
  <si>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</si>
  <si>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</si>
  <si>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</si>
  <si>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</si>
  <si>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</si>
  <si>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</si>
  <si>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</si>
  <si>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</si>
  <si>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</si>
  <si>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</si>
  <si>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</si>
  <si>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</si>
  <si>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</si>
  <si>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</si>
  <si>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</si>
  <si>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</si>
  <si>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</si>
  <si>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</si>
  <si>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</si>
  <si>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</si>
  <si>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</si>
  <si>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</si>
  <si>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</si>
  <si>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</si>
  <si>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</si>
  <si>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</si>
  <si>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</si>
  <si>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</si>
  <si>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</si>
  <si>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</si>
  <si>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</si>
  <si>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</si>
  <si>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</si>
  <si>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</si>
  <si>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</si>
  <si>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</si>
  <si>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</si>
  <si>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</si>
  <si>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</si>
  <si>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</si>
  <si>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</si>
  <si>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</si>
  <si>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</si>
  <si>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</si>
  <si>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</si>
  <si>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</si>
  <si>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</si>
  <si>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</si>
  <si>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</si>
  <si>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</si>
  <si>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</si>
  <si>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</si>
  <si>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</si>
  <si>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</si>
  <si>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</si>
  <si>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</si>
  <si>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</si>
  <si>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</si>
  <si>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</si>
  <si>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</si>
  <si>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</si>
  <si>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</si>
  <si>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</si>
  <si>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</si>
  <si>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</si>
  <si>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</si>
  <si>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</si>
  <si>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</si>
  <si>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</si>
  <si>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</si>
  <si>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</si>
  <si>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</si>
  <si>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</si>
  <si>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</si>
  <si>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</si>
  <si>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</si>
  <si>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</si>
  <si>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</si>
  <si>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</si>
  <si>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</si>
  <si>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</si>
  <si>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</si>
  <si>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</si>
  <si>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</si>
  <si>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</si>
  <si>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</si>
  <si>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</si>
  <si>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</si>
  <si>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</si>
  <si>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</si>
  <si>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</si>
  <si>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</si>
  <si>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</si>
  <si>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</si>
  <si>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</si>
  <si>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</si>
  <si>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</si>
  <si>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</si>
  <si>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</si>
  <si>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</si>
  <si>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</si>
  <si>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</si>
  <si>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</si>
  <si>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</si>
  <si>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</si>
  <si>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</si>
  <si>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</si>
  <si>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</si>
  <si>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</si>
  <si>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</si>
  <si>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</si>
  <si>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</si>
  <si>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</si>
  <si>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</si>
  <si>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</si>
  <si>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</si>
  <si>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</si>
  <si>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</si>
  <si>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</si>
  <si>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</si>
  <si>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</si>
  <si>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</si>
  <si>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</si>
  <si>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</si>
  <si>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</si>
  <si>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</si>
  <si>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</si>
  <si>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</si>
  <si>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</si>
  <si>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</si>
  <si>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</si>
  <si>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</si>
  <si>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</si>
  <si>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</si>
  <si>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</si>
  <si>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</si>
  <si>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</si>
  <si>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</si>
  <si>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</si>
  <si>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</si>
  <si>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</si>
  <si>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</si>
  <si>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</si>
  <si>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</si>
  <si>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</si>
  <si>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</si>
  <si>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</si>
  <si>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</si>
  <si>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</si>
  <si>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</si>
  <si>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</si>
  <si>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</si>
  <si>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</si>
  <si>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</si>
  <si>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</si>
  <si>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</si>
  <si>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</si>
  <si>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</si>
  <si>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</si>
  <si>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</si>
  <si>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</si>
  <si>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</si>
  <si>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</si>
  <si>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</si>
  <si>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</si>
  <si>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</si>
  <si>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</si>
  <si>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</si>
  <si>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</si>
  <si>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</si>
  <si>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</si>
  <si>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</si>
  <si>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</si>
  <si>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</si>
  <si>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</si>
  <si>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</si>
  <si>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</si>
  <si>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</si>
  <si>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</si>
  <si>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</si>
  <si>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</si>
  <si>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</si>
  <si>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</si>
  <si>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</si>
  <si>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</si>
  <si>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</si>
  <si>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</si>
  <si>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</si>
  <si>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</si>
  <si>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</si>
  <si>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</si>
  <si>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</si>
  <si>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</si>
  <si>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</si>
  <si>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</si>
  <si>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</si>
  <si>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</si>
  <si>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</si>
  <si>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</si>
  <si>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</si>
  <si>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</si>
  <si>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</si>
  <si>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</si>
  <si>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</si>
  <si>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</si>
  <si>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</si>
  <si>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</si>
  <si>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</si>
  <si>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</si>
  <si>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</si>
  <si>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</si>
  <si>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</si>
  <si>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</si>
  <si>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</si>
  <si>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</si>
  <si>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</si>
  <si>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</si>
  <si>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</si>
  <si>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</si>
  <si>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</si>
  <si>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</si>
  <si>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</si>
  <si>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</si>
  <si>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</si>
  <si>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</si>
  <si>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</si>
  <si>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</si>
  <si>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</si>
  <si>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</si>
  <si>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</si>
  <si>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</si>
  <si>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</si>
  <si>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</si>
  <si>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</si>
  <si>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</si>
  <si>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</si>
  <si>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</si>
  <si>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</si>
  <si>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</si>
  <si>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</si>
  <si>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</si>
  <si>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</si>
  <si>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</si>
  <si>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</si>
  <si>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</si>
  <si>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</si>
  <si>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</si>
  <si>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</si>
  <si>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</si>
  <si>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</si>
  <si>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</si>
  <si>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</si>
  <si>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</si>
  <si>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</si>
  <si>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</si>
  <si>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</si>
  <si>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</si>
  <si>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</si>
  <si>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</si>
  <si>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</si>
  <si>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</si>
  <si>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</si>
  <si>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</si>
  <si>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</si>
  <si>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</si>
  <si>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</si>
  <si>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</si>
  <si>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</si>
  <si>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</si>
  <si>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</si>
  <si>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</si>
  <si>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</si>
  <si>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</si>
  <si>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</si>
  <si>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</si>
  <si>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</si>
  <si>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</si>
  <si>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</si>
  <si>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</si>
  <si>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</si>
  <si>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</si>
  <si>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</si>
  <si>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</si>
  <si>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</si>
  <si>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</si>
  <si>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</si>
  <si>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</si>
  <si>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</si>
  <si>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</si>
  <si>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</si>
  <si>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</si>
  <si>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</si>
  <si>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</si>
  <si>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</si>
  <si>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</si>
  <si>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</si>
  <si>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</si>
  <si>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</si>
  <si>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</si>
  <si>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</si>
  <si>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</si>
  <si>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</si>
  <si>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</si>
  <si>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</si>
  <si>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</si>
  <si>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</si>
  <si>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</si>
  <si>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</si>
  <si>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</si>
  <si>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</si>
  <si>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</si>
  <si>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</si>
  <si>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</si>
  <si>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</si>
  <si>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</si>
  <si>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</si>
  <si>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</si>
  <si>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</si>
  <si>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</si>
  <si>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</si>
  <si>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</si>
  <si>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</si>
  <si>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</si>
  <si>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</si>
  <si>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</si>
  <si>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</si>
  <si>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</si>
  <si>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</si>
  <si>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</si>
  <si>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</si>
  <si>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</si>
  <si>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</si>
  <si>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</si>
  <si>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</si>
  <si>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</si>
  <si>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</si>
  <si>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</si>
  <si>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</si>
  <si>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</si>
  <si>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</si>
  <si>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</si>
  <si>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</si>
  <si>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</si>
  <si>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</si>
  <si>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</si>
  <si>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</si>
  <si>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</si>
  <si>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</si>
  <si>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</si>
  <si>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</si>
  <si>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</si>
  <si>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</si>
  <si>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</si>
  <si>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</si>
  <si>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</si>
  <si>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</si>
  <si>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</si>
  <si>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</si>
  <si>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</si>
  <si>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</si>
  <si>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</si>
  <si>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</si>
  <si>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</si>
  <si>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</si>
  <si>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</si>
  <si>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</si>
  <si>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</si>
  <si>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</si>
  <si>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</si>
  <si>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</si>
  <si>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</si>
  <si>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</si>
  <si>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</si>
  <si>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</si>
  <si>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</si>
  <si>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</si>
  <si>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</si>
  <si>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</si>
  <si>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</si>
  <si>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</si>
  <si>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</si>
  <si>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</si>
  <si>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</si>
  <si>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</si>
  <si>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</si>
  <si>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</si>
  <si>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</si>
  <si>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</si>
  <si>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</si>
  <si>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</si>
  <si>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</si>
  <si>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</si>
  <si>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</si>
  <si>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</si>
  <si>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</si>
  <si>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</si>
  <si>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</si>
  <si>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</si>
  <si>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</si>
  <si>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</si>
  <si>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</si>
  <si>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</si>
  <si>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</si>
  <si>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</si>
  <si>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</si>
  <si>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</si>
  <si>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</si>
  <si>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</si>
  <si>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</si>
  <si>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</si>
  <si>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</si>
  <si>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</si>
  <si>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</si>
  <si>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</si>
  <si>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</si>
  <si>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</si>
  <si>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</si>
  <si>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</si>
  <si>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</si>
  <si>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</si>
  <si>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</si>
  <si>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</si>
  <si>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</si>
  <si>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</si>
  <si>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</si>
  <si>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</si>
  <si>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</si>
  <si>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</si>
  <si>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</si>
  <si>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</si>
  <si>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</si>
  <si>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</si>
  <si>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</si>
  <si>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</si>
  <si>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</si>
  <si>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</si>
  <si>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</si>
  <si>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</si>
  <si>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</si>
  <si>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</si>
  <si>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</si>
  <si>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</si>
  <si>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</si>
  <si>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</si>
  <si>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</si>
  <si>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</si>
  <si>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</si>
  <si>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</si>
  <si>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</si>
  <si>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</si>
  <si>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</si>
  <si>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</si>
  <si>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</si>
  <si>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</si>
  <si>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</si>
  <si>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</si>
  <si>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</si>
  <si>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</si>
  <si>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</si>
  <si>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</si>
  <si>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</si>
  <si>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</si>
  <si>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</si>
  <si>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</si>
  <si>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</si>
  <si>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</si>
  <si>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</si>
  <si>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</si>
  <si>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</si>
  <si>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</si>
  <si>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</si>
  <si>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</si>
  <si>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</si>
  <si>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</si>
  <si>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</si>
  <si>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</si>
  <si>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</si>
  <si>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</si>
  <si>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</si>
  <si>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</si>
  <si>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</si>
  <si>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</si>
  <si>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</si>
  <si>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</si>
  <si>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</si>
  <si>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</si>
  <si>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</si>
  <si>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</si>
  <si>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</si>
  <si>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</si>
  <si>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</si>
  <si>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</si>
  <si>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</si>
  <si>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</si>
  <si>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</si>
  <si>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</si>
  <si>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</si>
  <si>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</si>
  <si>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</si>
  <si>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</si>
  <si>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</si>
  <si>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</si>
  <si>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</si>
  <si>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</si>
  <si>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</si>
  <si>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</si>
  <si>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</si>
  <si>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</si>
  <si>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</si>
  <si>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</si>
  <si>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</si>
  <si>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</si>
  <si>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</si>
  <si>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</si>
  <si>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</si>
  <si>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</si>
  <si>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</si>
  <si>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</si>
  <si>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</si>
  <si>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</si>
  <si>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</si>
  <si>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</si>
  <si>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</si>
  <si>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</si>
  <si>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</si>
  <si>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</si>
  <si>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</si>
  <si>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</si>
  <si>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</si>
  <si>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</si>
  <si>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</si>
  <si>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</si>
  <si>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</si>
  <si>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</si>
  <si>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0 m</t>
  </si>
  <si>
    <t>40 mm</t>
  </si>
  <si>
    <t>5.0 Hp</t>
  </si>
  <si>
    <t>W-2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</si>
  <si>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</si>
  <si>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</si>
  <si>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</si>
  <si>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</si>
  <si>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</si>
  <si>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</si>
  <si>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</si>
  <si>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</si>
  <si>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</si>
  <si>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</si>
  <si>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</si>
  <si>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</si>
  <si>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</si>
  <si>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</si>
  <si>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</si>
  <si>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</si>
  <si>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</si>
  <si>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</si>
  <si>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</si>
  <si>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</si>
  <si>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</si>
  <si>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</si>
  <si>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</si>
  <si>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</si>
  <si>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</si>
  <si>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</si>
  <si>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</si>
  <si>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</si>
  <si>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</si>
  <si>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</si>
  <si>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</si>
  <si>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</si>
  <si>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</si>
  <si>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</si>
  <si>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</si>
  <si>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</si>
  <si>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</si>
  <si>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</si>
  <si>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</si>
  <si>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</si>
  <si>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</si>
  <si>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</si>
  <si>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</si>
  <si>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</si>
  <si>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</si>
  <si>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매우낮음</t>
    <phoneticPr fontId="7" type="noConversion"/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</si>
  <si>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</si>
  <si>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</si>
  <si>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</si>
  <si>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</si>
  <si>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</si>
  <si>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</si>
  <si>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</si>
  <si>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</si>
  <si>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100
128
156
183
210</t>
  </si>
  <si>
    <t>주식회사 한일지하수</t>
    <phoneticPr fontId="7" type="noConversion"/>
  </si>
  <si>
    <t>낮음</t>
    <phoneticPr fontId="7" type="noConversion"/>
  </si>
  <si>
    <t>52.8 m</t>
  </si>
  <si>
    <t>178 m</t>
  </si>
  <si>
    <t>43.1 m</t>
  </si>
  <si>
    <t>49.4 m</t>
  </si>
  <si>
    <t>47 m</t>
  </si>
  <si>
    <t>191 m</t>
  </si>
  <si>
    <t>37.8 m</t>
  </si>
  <si>
    <t>43.7 m</t>
  </si>
  <si>
    <t>160.0 ㎥/일</t>
  </si>
  <si>
    <t>150 m</t>
  </si>
  <si>
    <t>23.30 m</t>
  </si>
  <si>
    <t>19.10 m</t>
  </si>
  <si>
    <t>54.94 m</t>
  </si>
  <si>
    <t>49.45 m</t>
  </si>
  <si>
    <t>100 m</t>
  </si>
  <si>
    <t>25 m</t>
  </si>
  <si>
    <t>W1</t>
  </si>
  <si>
    <t>롯데에코월(주) 지하수 이용허가 유효기간의 연장을 위한 지하수 영향조사</t>
  </si>
  <si>
    <t>남동향</t>
    <phoneticPr fontId="7" type="noConversion"/>
  </si>
  <si>
    <t>충청남도 당진시 고대면 보덕포로 522</t>
  </si>
  <si>
    <t>22.78
26.60
30.90
35.70
43.01</t>
  </si>
  <si>
    <t>11.47
15.29
19.59
24.39
31.70</t>
  </si>
  <si>
    <t>8.718
8.371
7.940
7.503
6.639</t>
  </si>
  <si>
    <t>0.114700
0.119453
0.125940
0.133279
0.150630</t>
  </si>
  <si>
    <t>롯데에코월(주) 지하수 이용허가 유효기간의 연장을 위한 지하수 영향조사</t>
    <phoneticPr fontId="7" type="noConversion"/>
  </si>
  <si>
    <t xml:space="preserve"> 당진시 고대면 보덕포로 522</t>
    <phoneticPr fontId="7" type="noConversion"/>
  </si>
  <si>
    <t>비교적낮음</t>
    <phoneticPr fontId="7" type="noConversion"/>
  </si>
  <si>
    <t>5년</t>
  </si>
  <si>
    <t>무경계조건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</si>
</sst>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1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195" fontId="47" fillId="18" borderId="60" xfId="16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3" xfId="0" applyFont="1" applyFill="1" applyBorder="1" applyAlignment="1">
      <alignment horizontal="center" vertical="center"/>
    </xf>
    <xf numFmtId="0" fontId="28" fillId="29" borderId="96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28" fillId="29" borderId="95" xfId="0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0" fontId="28" fillId="29" borderId="91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815.9</c:v>
                </c:pt>
                <c:pt idx="1">
                  <c:v>922.1</c:v>
                </c:pt>
                <c:pt idx="2">
                  <c:v>830.4</c:v>
                </c:pt>
                <c:pt idx="3">
                  <c:v>1227.2</c:v>
                </c:pt>
                <c:pt idx="4">
                  <c:v>915</c:v>
                </c:pt>
                <c:pt idx="5">
                  <c:v>1488.7</c:v>
                </c:pt>
                <c:pt idx="6">
                  <c:v>1207.3</c:v>
                </c:pt>
                <c:pt idx="7">
                  <c:v>1570.7</c:v>
                </c:pt>
                <c:pt idx="8">
                  <c:v>1529.7</c:v>
                </c:pt>
                <c:pt idx="9">
                  <c:v>1806.1</c:v>
                </c:pt>
                <c:pt idx="10">
                  <c:v>1231.3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1448.3</c:v>
                </c:pt>
                <c:pt idx="1">
                  <c:v>830.1</c:v>
                </c:pt>
                <c:pt idx="2">
                  <c:v>1156.9000000000001</c:v>
                </c:pt>
                <c:pt idx="3">
                  <c:v>1711.6</c:v>
                </c:pt>
                <c:pt idx="4">
                  <c:v>1826.6</c:v>
                </c:pt>
                <c:pt idx="5">
                  <c:v>1424.8</c:v>
                </c:pt>
                <c:pt idx="6">
                  <c:v>986.8</c:v>
                </c:pt>
                <c:pt idx="7">
                  <c:v>1387.6</c:v>
                </c:pt>
                <c:pt idx="8">
                  <c:v>1433.4</c:v>
                </c:pt>
                <c:pt idx="9">
                  <c:v>1340.9</c:v>
                </c:pt>
                <c:pt idx="10">
                  <c:v>1334.2</c:v>
                </c:pt>
                <c:pt idx="11">
                  <c:v>1139.2</c:v>
                </c:pt>
                <c:pt idx="12">
                  <c:v>1471.1</c:v>
                </c:pt>
                <c:pt idx="13">
                  <c:v>909.6</c:v>
                </c:pt>
                <c:pt idx="14">
                  <c:v>1074.3</c:v>
                </c:pt>
                <c:pt idx="15">
                  <c:v>2141.8000000000002</c:v>
                </c:pt>
                <c:pt idx="16">
                  <c:v>1704.4</c:v>
                </c:pt>
                <c:pt idx="17">
                  <c:v>1642.6</c:v>
                </c:pt>
                <c:pt idx="18">
                  <c:v>1018.7</c:v>
                </c:pt>
                <c:pt idx="19">
                  <c:v>1000.1</c:v>
                </c:pt>
                <c:pt idx="20">
                  <c:v>815.9</c:v>
                </c:pt>
                <c:pt idx="21">
                  <c:v>922.1</c:v>
                </c:pt>
                <c:pt idx="22">
                  <c:v>830.4</c:v>
                </c:pt>
                <c:pt idx="23">
                  <c:v>1227.2</c:v>
                </c:pt>
                <c:pt idx="24">
                  <c:v>915</c:v>
                </c:pt>
                <c:pt idx="25">
                  <c:v>1488.7</c:v>
                </c:pt>
                <c:pt idx="26">
                  <c:v>1207.3</c:v>
                </c:pt>
                <c:pt idx="27">
                  <c:v>1570.7</c:v>
                </c:pt>
                <c:pt idx="28">
                  <c:v>1529.7</c:v>
                </c:pt>
                <c:pt idx="29">
                  <c:v>1806.1</c:v>
                </c:pt>
                <c:pt idx="30">
                  <c:v>1309.9000000000001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23.1</c:v>
                </c:pt>
                <c:pt idx="1">
                  <c:v>36</c:v>
                </c:pt>
                <c:pt idx="2">
                  <c:v>41</c:v>
                </c:pt>
                <c:pt idx="3">
                  <c:v>70.3</c:v>
                </c:pt>
                <c:pt idx="4">
                  <c:v>91.7</c:v>
                </c:pt>
                <c:pt idx="5">
                  <c:v>116.9</c:v>
                </c:pt>
                <c:pt idx="6">
                  <c:v>280.2</c:v>
                </c:pt>
                <c:pt idx="7">
                  <c:v>211.5</c:v>
                </c:pt>
                <c:pt idx="8">
                  <c:v>152</c:v>
                </c:pt>
                <c:pt idx="9">
                  <c:v>82.5</c:v>
                </c:pt>
                <c:pt idx="10">
                  <c:v>85.3</c:v>
                </c:pt>
                <c:pt idx="11">
                  <c:v>40.9</c:v>
                </c:pt>
                <c:pt idx="12">
                  <c:v>102.6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17" Type="http://schemas.openxmlformats.org/officeDocument/2006/relationships/image" Target="../media/image46.emf"/><Relationship Id="rId2" Type="http://schemas.openxmlformats.org/officeDocument/2006/relationships/image" Target="../media/image54.emf"/><Relationship Id="rId16" Type="http://schemas.openxmlformats.org/officeDocument/2006/relationships/image" Target="../media/image47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5" Type="http://schemas.openxmlformats.org/officeDocument/2006/relationships/image" Target="../media/image62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Relationship Id="rId14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9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DBB542-AACF-2585-E908-9BC2F0D89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E1C7C7DA-8443-09DA-EE45-299EE4BAA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DE9256F-4D6F-A09E-D399-44CBD4026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11</xdr:col>
          <xdr:colOff>923925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1504950</xdr:colOff>
          <xdr:row>19</xdr:row>
          <xdr:rowOff>47625</xdr:rowOff>
        </xdr:from>
        <xdr:to>
          <xdr:col>9</xdr:col>
          <xdr:colOff>1066800</xdr:colOff>
          <xdr:row>20</xdr:row>
          <xdr:rowOff>85725</xdr:rowOff>
        </xdr:to>
        <xdr:sp macro="" textlink="">
          <xdr:nvSpPr>
            <xdr:cNvPr id="3144" name="OptionButton1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1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19</xdr:row>
          <xdr:rowOff>47625</xdr:rowOff>
        </xdr:from>
        <xdr:to>
          <xdr:col>10</xdr:col>
          <xdr:colOff>1228725</xdr:colOff>
          <xdr:row>20</xdr:row>
          <xdr:rowOff>85725</xdr:rowOff>
        </xdr:to>
        <xdr:sp macro="" textlink="">
          <xdr:nvSpPr>
            <xdr:cNvPr id="3145" name="OptionButton2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1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19</xdr:row>
          <xdr:rowOff>47625</xdr:rowOff>
        </xdr:from>
        <xdr:to>
          <xdr:col>12</xdr:col>
          <xdr:colOff>390525</xdr:colOff>
          <xdr:row>20</xdr:row>
          <xdr:rowOff>85725</xdr:rowOff>
        </xdr:to>
        <xdr:sp macro="" textlink="">
          <xdr:nvSpPr>
            <xdr:cNvPr id="3146" name="OptionButton3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4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1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6" Type="http://schemas.openxmlformats.org/officeDocument/2006/relationships/comments" Target="../comments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ntrol" Target="../activeX/activeX6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9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4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8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0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1.emf"/><Relationship Id="rId4" Type="http://schemas.openxmlformats.org/officeDocument/2006/relationships/control" Target="../activeX/activeX8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305</v>
      </c>
      <c r="C2" s="397" t="s">
        <v>704</v>
      </c>
    </row>
    <row r="3" spans="2:3" ht="20.100000000000001" customHeight="1">
      <c r="B3" s="397" t="s">
        <v>599</v>
      </c>
      <c r="C3" s="397" t="s">
        <v>596</v>
      </c>
    </row>
    <row r="4" spans="2:3" ht="20.100000000000001" customHeight="1">
      <c r="B4" s="397" t="s">
        <v>600</v>
      </c>
      <c r="C4" s="397" t="s">
        <v>596</v>
      </c>
    </row>
    <row r="5" spans="2:3" ht="20.100000000000001" customHeight="1">
      <c r="B5" s="397" t="s">
        <v>601</v>
      </c>
      <c r="C5" s="397" t="s">
        <v>596</v>
      </c>
    </row>
    <row r="6" spans="2:3" ht="20.100000000000001" customHeight="1">
      <c r="B6" s="397" t="s">
        <v>602</v>
      </c>
      <c r="C6" s="397" t="s">
        <v>596</v>
      </c>
    </row>
    <row r="7" spans="2:3" ht="20.100000000000001" customHeight="1">
      <c r="B7" s="397" t="s">
        <v>603</v>
      </c>
      <c r="C7" s="397" t="s">
        <v>596</v>
      </c>
    </row>
    <row r="8" spans="2:3" ht="20.100000000000001" customHeight="1">
      <c r="B8" s="397" t="s">
        <v>604</v>
      </c>
      <c r="C8" s="397" t="s">
        <v>596</v>
      </c>
    </row>
    <row r="9" spans="2:3" ht="20.100000000000001" customHeight="1">
      <c r="B9" s="397" t="s">
        <v>598</v>
      </c>
      <c r="C9" s="397" t="s">
        <v>596</v>
      </c>
    </row>
    <row r="10" spans="2:3" ht="20.100000000000001" customHeight="1">
      <c r="B10" s="397" t="s">
        <v>597</v>
      </c>
      <c r="C10" s="397" t="s">
        <v>596</v>
      </c>
    </row>
    <row r="11" spans="2:3" ht="20.100000000000001" customHeight="1">
      <c r="B11" s="397" t="s">
        <v>605</v>
      </c>
      <c r="C11" s="397" t="s">
        <v>596</v>
      </c>
    </row>
    <row r="12" spans="2:3" ht="20.100000000000001" customHeight="1">
      <c r="B12" s="397" t="s">
        <v>606</v>
      </c>
      <c r="C12" s="397" t="s">
        <v>596</v>
      </c>
    </row>
    <row r="13" spans="2:3" ht="20.100000000000001" customHeight="1">
      <c r="B13" s="397" t="s">
        <v>607</v>
      </c>
      <c r="C13" s="397" t="s">
        <v>596</v>
      </c>
    </row>
    <row r="14" spans="2:3" ht="20.100000000000001" customHeight="1">
      <c r="B14" s="397" t="s">
        <v>608</v>
      </c>
      <c r="C14" s="397" t="s">
        <v>596</v>
      </c>
    </row>
    <row r="15" spans="2:3" ht="20.100000000000001" customHeight="1">
      <c r="B15" s="397" t="s">
        <v>609</v>
      </c>
      <c r="C15" s="397" t="s">
        <v>610</v>
      </c>
    </row>
    <row r="16" spans="2:3" ht="20.100000000000001" customHeight="1">
      <c r="B16" s="397" t="s">
        <v>611</v>
      </c>
      <c r="C16" s="397" t="s">
        <v>610</v>
      </c>
    </row>
    <row r="17" spans="2:3" ht="20.100000000000001" customHeight="1">
      <c r="B17" s="397" t="s">
        <v>612</v>
      </c>
      <c r="C17" s="397" t="s">
        <v>610</v>
      </c>
    </row>
    <row r="18" spans="2:3" ht="20.100000000000001" customHeight="1">
      <c r="B18" s="397" t="s">
        <v>613</v>
      </c>
      <c r="C18" s="397" t="s">
        <v>610</v>
      </c>
    </row>
    <row r="19" spans="2:3" ht="20.100000000000001" customHeight="1">
      <c r="B19" s="397" t="s">
        <v>614</v>
      </c>
      <c r="C19" s="397" t="s">
        <v>610</v>
      </c>
    </row>
    <row r="20" spans="2:3" ht="20.100000000000001" customHeight="1">
      <c r="B20" s="397" t="s">
        <v>615</v>
      </c>
      <c r="C20" s="397" t="s">
        <v>610</v>
      </c>
    </row>
    <row r="21" spans="2:3" ht="20.100000000000001" customHeight="1">
      <c r="B21" s="397" t="s">
        <v>616</v>
      </c>
      <c r="C21" s="397" t="s">
        <v>610</v>
      </c>
    </row>
    <row r="22" spans="2:3" ht="20.100000000000001" customHeight="1">
      <c r="B22" s="397" t="s">
        <v>617</v>
      </c>
      <c r="C22" s="397" t="s">
        <v>610</v>
      </c>
    </row>
    <row r="23" spans="2:3" ht="20.100000000000001" customHeight="1">
      <c r="B23" s="397" t="s">
        <v>618</v>
      </c>
      <c r="C23" s="397" t="s">
        <v>610</v>
      </c>
    </row>
    <row r="24" spans="2:3" ht="20.100000000000001" customHeight="1">
      <c r="B24" s="397" t="s">
        <v>619</v>
      </c>
      <c r="C24" s="397" t="s">
        <v>610</v>
      </c>
    </row>
    <row r="25" spans="2:3" ht="20.100000000000001" customHeight="1">
      <c r="B25" s="397" t="s">
        <v>620</v>
      </c>
      <c r="C25" s="397" t="s">
        <v>621</v>
      </c>
    </row>
    <row r="26" spans="2:3" ht="20.100000000000001" customHeight="1">
      <c r="B26" s="397" t="s">
        <v>622</v>
      </c>
      <c r="C26" s="397" t="s">
        <v>621</v>
      </c>
    </row>
    <row r="27" spans="2:3" ht="20.100000000000001" customHeight="1">
      <c r="B27" s="397" t="s">
        <v>623</v>
      </c>
      <c r="C27" s="397" t="s">
        <v>621</v>
      </c>
    </row>
    <row r="28" spans="2:3" ht="20.100000000000001" customHeight="1">
      <c r="B28" s="397" t="s">
        <v>624</v>
      </c>
      <c r="C28" s="397" t="s">
        <v>621</v>
      </c>
    </row>
    <row r="29" spans="2:3" ht="20.100000000000001" customHeight="1">
      <c r="B29" s="397" t="s">
        <v>625</v>
      </c>
      <c r="C29" s="397" t="s">
        <v>621</v>
      </c>
    </row>
    <row r="30" spans="2:3" ht="20.100000000000001" customHeight="1">
      <c r="B30" s="397" t="s">
        <v>626</v>
      </c>
      <c r="C30" s="397" t="s">
        <v>621</v>
      </c>
    </row>
    <row r="31" spans="2:3" ht="20.100000000000001" customHeight="1">
      <c r="B31" s="397" t="s">
        <v>627</v>
      </c>
      <c r="C31" s="397" t="s">
        <v>621</v>
      </c>
    </row>
    <row r="32" spans="2:3" ht="20.100000000000001" customHeight="1">
      <c r="B32" s="397" t="s">
        <v>628</v>
      </c>
      <c r="C32" s="397" t="s">
        <v>621</v>
      </c>
    </row>
    <row r="33" spans="2:3" ht="20.100000000000001" customHeight="1">
      <c r="B33" s="397" t="s">
        <v>629</v>
      </c>
      <c r="C33" s="397" t="s">
        <v>621</v>
      </c>
    </row>
    <row r="34" spans="2:3" ht="20.100000000000001" customHeight="1">
      <c r="B34" s="397" t="s">
        <v>630</v>
      </c>
      <c r="C34" s="397" t="s">
        <v>621</v>
      </c>
    </row>
    <row r="35" spans="2:3" ht="20.100000000000001" customHeight="1">
      <c r="B35" s="397" t="s">
        <v>631</v>
      </c>
      <c r="C35" s="397" t="s">
        <v>621</v>
      </c>
    </row>
    <row r="36" spans="2:3" ht="20.100000000000001" customHeight="1">
      <c r="B36" s="397" t="s">
        <v>632</v>
      </c>
      <c r="C36" s="397" t="s">
        <v>621</v>
      </c>
    </row>
    <row r="37" spans="2:3" ht="20.100000000000001" customHeight="1">
      <c r="B37" s="397" t="s">
        <v>633</v>
      </c>
      <c r="C37" s="397" t="s">
        <v>621</v>
      </c>
    </row>
    <row r="38" spans="2:3" ht="20.100000000000001" customHeight="1">
      <c r="B38" s="397" t="s">
        <v>634</v>
      </c>
      <c r="C38" s="397" t="s">
        <v>621</v>
      </c>
    </row>
    <row r="39" spans="2:3" ht="20.100000000000001" customHeight="1">
      <c r="B39" s="397" t="s">
        <v>635</v>
      </c>
      <c r="C39" s="397" t="s">
        <v>621</v>
      </c>
    </row>
    <row r="40" spans="2:3" ht="20.100000000000001" customHeight="1">
      <c r="B40" s="397" t="s">
        <v>636</v>
      </c>
      <c r="C40" s="397" t="s">
        <v>637</v>
      </c>
    </row>
    <row r="41" spans="2:3" ht="20.100000000000001" customHeight="1">
      <c r="B41" s="397" t="s">
        <v>638</v>
      </c>
      <c r="C41" s="397" t="s">
        <v>637</v>
      </c>
    </row>
    <row r="42" spans="2:3" ht="20.100000000000001" customHeight="1">
      <c r="B42" s="397" t="s">
        <v>639</v>
      </c>
      <c r="C42" s="397" t="s">
        <v>637</v>
      </c>
    </row>
    <row r="43" spans="2:3" ht="20.100000000000001" customHeight="1">
      <c r="B43" s="397" t="s">
        <v>640</v>
      </c>
      <c r="C43" s="397" t="s">
        <v>637</v>
      </c>
    </row>
    <row r="44" spans="2:3" ht="20.100000000000001" customHeight="1">
      <c r="B44" s="397" t="s">
        <v>641</v>
      </c>
      <c r="C44" s="397" t="s">
        <v>637</v>
      </c>
    </row>
    <row r="45" spans="2:3" ht="20.100000000000001" customHeight="1">
      <c r="B45" s="397" t="s">
        <v>642</v>
      </c>
      <c r="C45" s="397" t="s">
        <v>637</v>
      </c>
    </row>
    <row r="46" spans="2:3" ht="20.100000000000001" customHeight="1">
      <c r="B46" s="397" t="s">
        <v>643</v>
      </c>
      <c r="C46" s="397" t="s">
        <v>637</v>
      </c>
    </row>
    <row r="47" spans="2:3" ht="20.100000000000001" customHeight="1">
      <c r="B47" s="397" t="s">
        <v>644</v>
      </c>
      <c r="C47" s="397" t="s">
        <v>637</v>
      </c>
    </row>
    <row r="48" spans="2:3" ht="20.100000000000001" customHeight="1">
      <c r="B48" s="397" t="s">
        <v>645</v>
      </c>
      <c r="C48" s="397" t="s">
        <v>637</v>
      </c>
    </row>
    <row r="49" spans="2:3" ht="20.100000000000001" customHeight="1">
      <c r="B49" s="397" t="s">
        <v>646</v>
      </c>
      <c r="C49" s="397" t="s">
        <v>637</v>
      </c>
    </row>
    <row r="50" spans="2:3" ht="20.100000000000001" customHeight="1">
      <c r="B50" s="397" t="s">
        <v>647</v>
      </c>
      <c r="C50" s="397" t="s">
        <v>637</v>
      </c>
    </row>
    <row r="51" spans="2:3" ht="20.100000000000001" customHeight="1">
      <c r="B51" s="397" t="s">
        <v>648</v>
      </c>
      <c r="C51" s="397" t="s">
        <v>637</v>
      </c>
    </row>
    <row r="52" spans="2:3" ht="20.100000000000001" customHeight="1">
      <c r="B52" s="397" t="s">
        <v>649</v>
      </c>
      <c r="C52" s="397" t="s">
        <v>637</v>
      </c>
    </row>
    <row r="53" spans="2:3" ht="20.100000000000001" customHeight="1">
      <c r="B53" s="397" t="s">
        <v>650</v>
      </c>
      <c r="C53" s="397" t="s">
        <v>637</v>
      </c>
    </row>
    <row r="54" spans="2:3" ht="20.100000000000001" customHeight="1">
      <c r="B54" s="397" t="s">
        <v>651</v>
      </c>
      <c r="C54" s="397" t="s">
        <v>637</v>
      </c>
    </row>
    <row r="55" spans="2:3" ht="20.100000000000001" customHeight="1">
      <c r="B55" s="397" t="s">
        <v>652</v>
      </c>
      <c r="C55" s="397" t="s">
        <v>637</v>
      </c>
    </row>
    <row r="56" spans="2:3" ht="20.100000000000001" customHeight="1">
      <c r="B56" s="397" t="s">
        <v>653</v>
      </c>
      <c r="C56" s="397" t="s">
        <v>637</v>
      </c>
    </row>
    <row r="57" spans="2:3" ht="20.100000000000001" customHeight="1">
      <c r="B57" s="397" t="s">
        <v>654</v>
      </c>
      <c r="C57" s="397" t="s">
        <v>637</v>
      </c>
    </row>
    <row r="58" spans="2:3" ht="20.100000000000001" customHeight="1">
      <c r="B58" s="397" t="s">
        <v>655</v>
      </c>
      <c r="C58" s="397" t="s">
        <v>637</v>
      </c>
    </row>
    <row r="59" spans="2:3" ht="20.100000000000001" customHeight="1">
      <c r="B59" s="397" t="s">
        <v>656</v>
      </c>
      <c r="C59" s="397" t="s">
        <v>637</v>
      </c>
    </row>
    <row r="60" spans="2:3" ht="20.100000000000001" customHeight="1">
      <c r="B60" s="397" t="s">
        <v>657</v>
      </c>
      <c r="C60" s="397" t="s">
        <v>637</v>
      </c>
    </row>
    <row r="61" spans="2:3" ht="20.100000000000001" customHeight="1">
      <c r="B61" s="397" t="s">
        <v>658</v>
      </c>
      <c r="C61" s="397" t="s">
        <v>637</v>
      </c>
    </row>
    <row r="62" spans="2:3" ht="20.100000000000001" customHeight="1">
      <c r="B62" s="397" t="s">
        <v>659</v>
      </c>
      <c r="C62" s="397" t="s">
        <v>637</v>
      </c>
    </row>
    <row r="63" spans="2:3" ht="20.100000000000001" customHeight="1">
      <c r="B63" s="397" t="s">
        <v>660</v>
      </c>
      <c r="C63" s="397" t="s">
        <v>637</v>
      </c>
    </row>
    <row r="64" spans="2:3" ht="20.100000000000001" customHeight="1">
      <c r="B64" s="397" t="s">
        <v>661</v>
      </c>
      <c r="C64" s="397" t="s">
        <v>637</v>
      </c>
    </row>
    <row r="65" spans="2:3" ht="20.100000000000001" customHeight="1">
      <c r="B65" s="397" t="s">
        <v>662</v>
      </c>
      <c r="C65" s="397" t="s">
        <v>637</v>
      </c>
    </row>
    <row r="66" spans="2:3" ht="20.100000000000001" customHeight="1">
      <c r="B66" s="397" t="s">
        <v>663</v>
      </c>
      <c r="C66" s="397" t="s">
        <v>637</v>
      </c>
    </row>
    <row r="67" spans="2:3" ht="20.100000000000001" customHeight="1">
      <c r="B67" s="397" t="s">
        <v>664</v>
      </c>
      <c r="C67" s="397" t="s">
        <v>637</v>
      </c>
    </row>
    <row r="68" spans="2:3" ht="20.100000000000001" customHeight="1">
      <c r="B68" s="397" t="s">
        <v>665</v>
      </c>
      <c r="C68" s="397" t="s">
        <v>666</v>
      </c>
    </row>
    <row r="69" spans="2:3" ht="20.100000000000001" customHeight="1">
      <c r="B69" s="397" t="s">
        <v>667</v>
      </c>
      <c r="C69" s="397" t="s">
        <v>666</v>
      </c>
    </row>
    <row r="70" spans="2:3" ht="20.100000000000001" customHeight="1">
      <c r="B70" s="397" t="s">
        <v>668</v>
      </c>
      <c r="C70" s="397" t="s">
        <v>666</v>
      </c>
    </row>
    <row r="71" spans="2:3" ht="20.100000000000001" customHeight="1">
      <c r="B71" s="397" t="s">
        <v>669</v>
      </c>
      <c r="C71" s="397" t="s">
        <v>666</v>
      </c>
    </row>
    <row r="72" spans="2:3" ht="20.100000000000001" customHeight="1">
      <c r="B72" s="397" t="s">
        <v>670</v>
      </c>
      <c r="C72" s="397" t="s">
        <v>666</v>
      </c>
    </row>
    <row r="73" spans="2:3" ht="20.100000000000001" customHeight="1">
      <c r="B73" s="397" t="s">
        <v>671</v>
      </c>
      <c r="C73" s="397" t="s">
        <v>666</v>
      </c>
    </row>
    <row r="74" spans="2:3" ht="20.100000000000001" customHeight="1">
      <c r="B74" s="397" t="s">
        <v>672</v>
      </c>
      <c r="C74" s="397" t="s">
        <v>666</v>
      </c>
    </row>
    <row r="75" spans="2:3" ht="20.100000000000001" customHeight="1">
      <c r="B75" s="397" t="s">
        <v>673</v>
      </c>
      <c r="C75" s="397" t="s">
        <v>666</v>
      </c>
    </row>
    <row r="76" spans="2:3" ht="20.100000000000001" customHeight="1">
      <c r="B76" s="397" t="s">
        <v>674</v>
      </c>
      <c r="C76" s="397" t="s">
        <v>666</v>
      </c>
    </row>
    <row r="77" spans="2:3" ht="20.100000000000001" customHeight="1">
      <c r="B77" s="397" t="s">
        <v>675</v>
      </c>
      <c r="C77" s="397" t="s">
        <v>666</v>
      </c>
    </row>
    <row r="78" spans="2:3" ht="20.100000000000001" customHeight="1">
      <c r="B78" s="397" t="s">
        <v>676</v>
      </c>
      <c r="C78" s="397" t="s">
        <v>666</v>
      </c>
    </row>
    <row r="79" spans="2:3" ht="20.100000000000001" customHeight="1">
      <c r="B79" s="397" t="s">
        <v>677</v>
      </c>
      <c r="C79" s="397" t="s">
        <v>666</v>
      </c>
    </row>
    <row r="80" spans="2:3" ht="20.100000000000001" customHeight="1">
      <c r="B80" s="397" t="s">
        <v>678</v>
      </c>
      <c r="C80" s="397" t="s">
        <v>666</v>
      </c>
    </row>
    <row r="81" spans="2:3" ht="20.100000000000001" customHeight="1">
      <c r="B81" s="397" t="s">
        <v>679</v>
      </c>
      <c r="C81" s="397" t="s">
        <v>666</v>
      </c>
    </row>
    <row r="82" spans="2:3" ht="20.100000000000001" customHeight="1">
      <c r="B82" s="397" t="s">
        <v>680</v>
      </c>
      <c r="C82" s="397" t="s">
        <v>666</v>
      </c>
    </row>
    <row r="83" spans="2:3" ht="20.100000000000001" customHeight="1">
      <c r="B83" s="397" t="s">
        <v>681</v>
      </c>
      <c r="C83" s="397" t="s">
        <v>666</v>
      </c>
    </row>
    <row r="84" spans="2:3" ht="20.100000000000001" customHeight="1">
      <c r="B84" s="397" t="s">
        <v>682</v>
      </c>
      <c r="C84" s="397" t="s">
        <v>666</v>
      </c>
    </row>
    <row r="85" spans="2:3" ht="20.100000000000001" customHeight="1">
      <c r="B85" s="397" t="s">
        <v>683</v>
      </c>
      <c r="C85" s="397" t="s">
        <v>666</v>
      </c>
    </row>
    <row r="86" spans="2:3" ht="20.100000000000001" customHeight="1">
      <c r="B86" s="397" t="s">
        <v>684</v>
      </c>
      <c r="C86" s="397" t="s">
        <v>666</v>
      </c>
    </row>
    <row r="87" spans="2:3" ht="20.100000000000001" customHeight="1">
      <c r="B87" s="397" t="s">
        <v>685</v>
      </c>
      <c r="C87" s="397" t="s">
        <v>666</v>
      </c>
    </row>
    <row r="88" spans="2:3" ht="20.100000000000001" customHeight="1">
      <c r="B88" s="397" t="s">
        <v>686</v>
      </c>
      <c r="C88" s="397" t="s">
        <v>666</v>
      </c>
    </row>
    <row r="89" spans="2:3" ht="20.100000000000001" customHeight="1">
      <c r="B89" s="397" t="s">
        <v>687</v>
      </c>
      <c r="C89" s="397" t="s">
        <v>666</v>
      </c>
    </row>
    <row r="90" spans="2:3" ht="20.100000000000001" customHeight="1">
      <c r="B90" s="397" t="s">
        <v>688</v>
      </c>
      <c r="C90" s="397" t="s">
        <v>666</v>
      </c>
    </row>
    <row r="91" spans="2:3" ht="20.100000000000001" customHeight="1">
      <c r="B91" s="397" t="s">
        <v>689</v>
      </c>
      <c r="C91" s="397" t="s">
        <v>666</v>
      </c>
    </row>
    <row r="92" spans="2:3" ht="20.100000000000001" customHeight="1">
      <c r="B92" s="397" t="s">
        <v>690</v>
      </c>
      <c r="C92" s="397" t="s">
        <v>666</v>
      </c>
    </row>
    <row r="93" spans="2:3" ht="20.100000000000001" customHeight="1">
      <c r="B93" s="397" t="s">
        <v>691</v>
      </c>
      <c r="C93" s="397" t="s">
        <v>666</v>
      </c>
    </row>
    <row r="94" spans="2:3" ht="20.100000000000001" customHeight="1">
      <c r="B94" s="397" t="s">
        <v>692</v>
      </c>
      <c r="C94" s="397" t="s">
        <v>666</v>
      </c>
    </row>
    <row r="95" spans="2:3" ht="20.100000000000001" customHeight="1">
      <c r="B95" s="397" t="s">
        <v>693</v>
      </c>
      <c r="C95" s="397" t="s">
        <v>666</v>
      </c>
    </row>
    <row r="96" spans="2:3" ht="20.100000000000001" customHeight="1">
      <c r="B96" s="397" t="s">
        <v>694</v>
      </c>
      <c r="C96" s="397" t="s">
        <v>666</v>
      </c>
    </row>
    <row r="97" spans="2:3" ht="20.100000000000001" customHeight="1">
      <c r="B97" s="397" t="s">
        <v>695</v>
      </c>
      <c r="C97" s="397" t="s">
        <v>666</v>
      </c>
    </row>
    <row r="98" spans="2:3" ht="20.100000000000001" customHeight="1">
      <c r="B98" s="397" t="s">
        <v>696</v>
      </c>
      <c r="C98" s="397" t="s">
        <v>666</v>
      </c>
    </row>
    <row r="99" spans="2:3" ht="20.100000000000001" customHeight="1">
      <c r="B99" s="397" t="s">
        <v>697</v>
      </c>
      <c r="C99" s="397" t="s">
        <v>666</v>
      </c>
    </row>
    <row r="100" spans="2:3" ht="20.100000000000001" customHeight="1">
      <c r="B100" s="397" t="s">
        <v>698</v>
      </c>
      <c r="C100" s="397" t="s">
        <v>699</v>
      </c>
    </row>
    <row r="101" spans="2:3" ht="20.100000000000001" customHeight="1">
      <c r="B101" s="397" t="s">
        <v>700</v>
      </c>
      <c r="C101" s="397" t="s">
        <v>699</v>
      </c>
    </row>
    <row r="102" spans="2:3" ht="20.100000000000001" customHeight="1">
      <c r="B102" s="397" t="s">
        <v>701</v>
      </c>
      <c r="C102" s="397" t="s">
        <v>699</v>
      </c>
    </row>
    <row r="103" spans="2:3" ht="20.100000000000001" customHeight="1">
      <c r="B103" s="397" t="s">
        <v>702</v>
      </c>
      <c r="C103" s="397" t="s">
        <v>699</v>
      </c>
    </row>
    <row r="104" spans="2:3" ht="16.5">
      <c r="B104" s="397" t="s">
        <v>703</v>
      </c>
      <c r="C104" s="397" t="s">
        <v>699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305</v>
      </c>
      <c r="B1" s="130" t="s">
        <v>189</v>
      </c>
      <c r="C1" s="130" t="s">
        <v>437</v>
      </c>
      <c r="D1" s="130" t="s">
        <v>436</v>
      </c>
      <c r="F1" s="130" t="s">
        <v>305</v>
      </c>
      <c r="G1" s="130" t="s">
        <v>189</v>
      </c>
      <c r="H1" s="130" t="s">
        <v>437</v>
      </c>
      <c r="I1" s="130" t="s">
        <v>436</v>
      </c>
      <c r="K1" s="130" t="s">
        <v>305</v>
      </c>
      <c r="L1" s="130" t="s">
        <v>189</v>
      </c>
      <c r="M1" s="130" t="s">
        <v>437</v>
      </c>
      <c r="N1" s="130" t="s">
        <v>436</v>
      </c>
      <c r="P1" s="130" t="s">
        <v>305</v>
      </c>
      <c r="Q1" s="130" t="s">
        <v>437</v>
      </c>
    </row>
    <row r="2" spans="1:17">
      <c r="A2" s="130" t="s">
        <v>520</v>
      </c>
      <c r="B2" s="130" t="s">
        <v>519</v>
      </c>
      <c r="C2" s="130">
        <v>116</v>
      </c>
      <c r="D2" s="130">
        <v>14</v>
      </c>
      <c r="F2" s="130" t="s">
        <v>518</v>
      </c>
      <c r="G2" s="130" t="s">
        <v>517</v>
      </c>
      <c r="H2" s="130">
        <v>105</v>
      </c>
      <c r="I2" s="130">
        <v>38</v>
      </c>
      <c r="K2" s="130" t="s">
        <v>516</v>
      </c>
      <c r="L2" s="130" t="s">
        <v>515</v>
      </c>
      <c r="M2" s="130">
        <v>226</v>
      </c>
      <c r="N2" s="130">
        <v>54</v>
      </c>
      <c r="P2" s="130" t="s">
        <v>514</v>
      </c>
      <c r="Q2" s="130" t="s">
        <v>513</v>
      </c>
    </row>
    <row r="3" spans="1:17">
      <c r="A3" s="130" t="s">
        <v>512</v>
      </c>
      <c r="B3" s="130" t="s">
        <v>511</v>
      </c>
      <c r="C3" s="130">
        <v>108</v>
      </c>
      <c r="D3" s="130">
        <v>14</v>
      </c>
      <c r="F3" s="130" t="s">
        <v>510</v>
      </c>
      <c r="G3" s="130" t="s">
        <v>509</v>
      </c>
      <c r="H3" s="130">
        <v>100</v>
      </c>
      <c r="I3" s="130">
        <v>38</v>
      </c>
      <c r="K3" s="130" t="s">
        <v>508</v>
      </c>
      <c r="L3" s="130" t="s">
        <v>507</v>
      </c>
      <c r="M3" s="130">
        <v>221</v>
      </c>
      <c r="N3" s="130">
        <v>54</v>
      </c>
      <c r="P3" s="130" t="s">
        <v>506</v>
      </c>
      <c r="Q3" s="130" t="s">
        <v>505</v>
      </c>
    </row>
    <row r="4" spans="1:17">
      <c r="A4" s="130" t="s">
        <v>504</v>
      </c>
      <c r="B4" s="130" t="s">
        <v>503</v>
      </c>
      <c r="C4" s="130">
        <v>201</v>
      </c>
      <c r="D4" s="130">
        <v>22</v>
      </c>
      <c r="F4" s="130" t="s">
        <v>502</v>
      </c>
      <c r="G4" s="130" t="s">
        <v>501</v>
      </c>
      <c r="H4" s="130">
        <v>106</v>
      </c>
      <c r="I4" s="130">
        <v>38</v>
      </c>
      <c r="K4" s="130" t="s">
        <v>500</v>
      </c>
      <c r="L4" s="130" t="s">
        <v>499</v>
      </c>
      <c r="M4" s="130">
        <v>131</v>
      </c>
      <c r="N4" s="130">
        <v>54</v>
      </c>
      <c r="P4" s="130" t="s">
        <v>498</v>
      </c>
      <c r="Q4" s="130" t="s">
        <v>497</v>
      </c>
    </row>
    <row r="5" spans="1:17">
      <c r="A5" s="130" t="s">
        <v>496</v>
      </c>
      <c r="B5" s="130" t="s">
        <v>495</v>
      </c>
      <c r="C5" s="130">
        <v>102</v>
      </c>
      <c r="D5" s="130">
        <v>22</v>
      </c>
      <c r="F5" s="130" t="s">
        <v>494</v>
      </c>
      <c r="G5" s="130" t="s">
        <v>493</v>
      </c>
      <c r="H5" s="130">
        <v>104</v>
      </c>
      <c r="I5" s="130">
        <v>38</v>
      </c>
      <c r="K5" s="130" t="s">
        <v>492</v>
      </c>
      <c r="L5" s="130" t="s">
        <v>491</v>
      </c>
      <c r="M5" s="130">
        <v>135</v>
      </c>
      <c r="N5" s="130">
        <v>54</v>
      </c>
      <c r="P5" s="130" t="s">
        <v>490</v>
      </c>
      <c r="Q5" s="130" t="s">
        <v>489</v>
      </c>
    </row>
    <row r="6" spans="1:17">
      <c r="A6" s="130" t="s">
        <v>488</v>
      </c>
      <c r="B6" s="130" t="s">
        <v>487</v>
      </c>
      <c r="C6" s="130">
        <v>112</v>
      </c>
      <c r="D6" s="130">
        <v>22</v>
      </c>
      <c r="F6" s="130" t="s">
        <v>486</v>
      </c>
      <c r="G6" s="130" t="s">
        <v>485</v>
      </c>
      <c r="H6" s="130">
        <v>93</v>
      </c>
      <c r="I6" s="130">
        <v>38</v>
      </c>
      <c r="K6" s="130" t="s">
        <v>500</v>
      </c>
      <c r="L6" s="130" t="s">
        <v>484</v>
      </c>
      <c r="M6" s="130">
        <v>127</v>
      </c>
      <c r="N6" s="130">
        <v>54</v>
      </c>
      <c r="P6" s="130" t="s">
        <v>483</v>
      </c>
      <c r="Q6" s="130" t="s">
        <v>482</v>
      </c>
    </row>
    <row r="7" spans="1:17">
      <c r="A7" s="130" t="s">
        <v>481</v>
      </c>
      <c r="B7" s="130" t="s">
        <v>480</v>
      </c>
      <c r="C7" s="130">
        <v>98</v>
      </c>
      <c r="D7" s="130">
        <v>32</v>
      </c>
      <c r="F7" s="130" t="s">
        <v>479</v>
      </c>
      <c r="G7" s="130" t="s">
        <v>478</v>
      </c>
      <c r="H7" s="130">
        <v>214</v>
      </c>
      <c r="I7" s="130">
        <v>38</v>
      </c>
      <c r="K7" s="130" t="s">
        <v>583</v>
      </c>
      <c r="L7" s="130" t="s">
        <v>477</v>
      </c>
      <c r="M7" s="130">
        <v>133</v>
      </c>
      <c r="N7" s="130">
        <v>28</v>
      </c>
      <c r="P7" s="130" t="s">
        <v>476</v>
      </c>
      <c r="Q7" s="130" t="s">
        <v>475</v>
      </c>
    </row>
    <row r="8" spans="1:17">
      <c r="A8" s="130" t="s">
        <v>474</v>
      </c>
      <c r="B8" s="130" t="s">
        <v>473</v>
      </c>
      <c r="C8" s="130">
        <v>119</v>
      </c>
      <c r="D8" s="130">
        <v>32</v>
      </c>
      <c r="F8" s="130" t="s">
        <v>472</v>
      </c>
      <c r="G8" s="130" t="s">
        <v>471</v>
      </c>
      <c r="H8" s="130">
        <v>90</v>
      </c>
      <c r="I8" s="130">
        <v>38</v>
      </c>
      <c r="K8" s="130" t="s">
        <v>470</v>
      </c>
      <c r="L8" s="130" t="s">
        <v>469</v>
      </c>
      <c r="M8" s="130">
        <v>239</v>
      </c>
      <c r="N8" s="130">
        <v>132</v>
      </c>
      <c r="P8" s="130" t="s">
        <v>728</v>
      </c>
      <c r="Q8" s="130" t="s">
        <v>729</v>
      </c>
    </row>
    <row r="9" spans="1:17">
      <c r="A9" s="130" t="s">
        <v>468</v>
      </c>
      <c r="B9" s="130" t="s">
        <v>467</v>
      </c>
      <c r="C9" s="130">
        <v>202</v>
      </c>
      <c r="D9" s="130">
        <v>32</v>
      </c>
      <c r="F9" s="130" t="s">
        <v>466</v>
      </c>
      <c r="G9" s="130" t="s">
        <v>465</v>
      </c>
      <c r="H9" s="130">
        <v>121</v>
      </c>
      <c r="I9" s="130">
        <v>38</v>
      </c>
      <c r="K9" s="130" t="s">
        <v>464</v>
      </c>
      <c r="L9" s="130" t="s">
        <v>463</v>
      </c>
      <c r="M9" s="130">
        <v>238</v>
      </c>
      <c r="N9" s="130">
        <v>60</v>
      </c>
    </row>
    <row r="10" spans="1:17">
      <c r="A10" s="130" t="s">
        <v>462</v>
      </c>
      <c r="B10" s="130" t="s">
        <v>461</v>
      </c>
      <c r="C10" s="130">
        <v>203</v>
      </c>
      <c r="D10" s="130">
        <v>32</v>
      </c>
      <c r="F10" s="130" t="s">
        <v>460</v>
      </c>
      <c r="G10" s="130" t="s">
        <v>459</v>
      </c>
      <c r="H10" s="130">
        <v>114</v>
      </c>
      <c r="I10" s="130">
        <v>38</v>
      </c>
      <c r="K10" s="130" t="s">
        <v>458</v>
      </c>
      <c r="L10" s="130" t="s">
        <v>457</v>
      </c>
      <c r="M10" s="130">
        <v>235</v>
      </c>
      <c r="N10" s="130">
        <v>60</v>
      </c>
    </row>
    <row r="11" spans="1:17">
      <c r="A11" s="130" t="s">
        <v>456</v>
      </c>
      <c r="B11" s="130" t="s">
        <v>455</v>
      </c>
      <c r="C11" s="130">
        <v>99</v>
      </c>
      <c r="D11" s="130">
        <v>32</v>
      </c>
      <c r="F11" s="130" t="s">
        <v>454</v>
      </c>
      <c r="G11" s="130" t="s">
        <v>453</v>
      </c>
      <c r="H11" s="130">
        <v>211</v>
      </c>
      <c r="I11" s="130">
        <v>38</v>
      </c>
      <c r="K11" s="130" t="s">
        <v>452</v>
      </c>
      <c r="L11" s="130" t="s">
        <v>451</v>
      </c>
      <c r="M11" s="130">
        <v>236</v>
      </c>
      <c r="N11" s="130">
        <v>60</v>
      </c>
    </row>
    <row r="12" spans="1:17">
      <c r="F12" s="130" t="s">
        <v>450</v>
      </c>
      <c r="G12" s="130" t="s">
        <v>449</v>
      </c>
      <c r="H12" s="130">
        <v>217</v>
      </c>
      <c r="I12" s="130">
        <v>38</v>
      </c>
      <c r="K12" s="130" t="s">
        <v>584</v>
      </c>
      <c r="L12" s="130" t="s">
        <v>448</v>
      </c>
      <c r="M12" s="130">
        <v>129</v>
      </c>
      <c r="N12" s="130">
        <v>60</v>
      </c>
    </row>
    <row r="13" spans="1:17">
      <c r="F13" s="130" t="s">
        <v>447</v>
      </c>
      <c r="G13" s="130" t="s">
        <v>446</v>
      </c>
      <c r="H13" s="130">
        <v>95</v>
      </c>
      <c r="I13" s="130">
        <v>38</v>
      </c>
      <c r="K13" s="130" t="s">
        <v>585</v>
      </c>
      <c r="L13" s="130" t="s">
        <v>445</v>
      </c>
      <c r="M13" s="130">
        <v>232</v>
      </c>
      <c r="N13" s="130">
        <v>60</v>
      </c>
    </row>
    <row r="14" spans="1:17">
      <c r="F14" s="130" t="s">
        <v>444</v>
      </c>
      <c r="G14" s="130" t="s">
        <v>443</v>
      </c>
      <c r="H14" s="130">
        <v>101</v>
      </c>
      <c r="I14" s="130">
        <v>38</v>
      </c>
      <c r="K14" s="130" t="s">
        <v>586</v>
      </c>
      <c r="L14" s="130" t="s">
        <v>442</v>
      </c>
      <c r="M14" s="130">
        <v>177</v>
      </c>
      <c r="N14" s="130">
        <v>60</v>
      </c>
    </row>
    <row r="15" spans="1:17">
      <c r="F15" s="130" t="s">
        <v>441</v>
      </c>
      <c r="G15" s="130" t="s">
        <v>440</v>
      </c>
      <c r="H15" s="130">
        <v>216</v>
      </c>
      <c r="I15" s="130">
        <v>38</v>
      </c>
    </row>
    <row r="16" spans="1:17">
      <c r="F16" s="130" t="s">
        <v>439</v>
      </c>
      <c r="G16" s="130" t="s">
        <v>438</v>
      </c>
      <c r="H16" s="130">
        <v>212</v>
      </c>
      <c r="I16" s="130">
        <v>38</v>
      </c>
    </row>
    <row r="22" spans="1:14">
      <c r="A22" s="130" t="s">
        <v>305</v>
      </c>
      <c r="B22" s="130" t="s">
        <v>189</v>
      </c>
      <c r="C22" s="130" t="s">
        <v>437</v>
      </c>
      <c r="D22" s="130" t="s">
        <v>436</v>
      </c>
      <c r="F22" s="130" t="s">
        <v>305</v>
      </c>
      <c r="G22" s="130" t="s">
        <v>189</v>
      </c>
      <c r="H22" s="130" t="s">
        <v>437</v>
      </c>
      <c r="I22" s="130" t="s">
        <v>436</v>
      </c>
      <c r="K22" s="130" t="s">
        <v>305</v>
      </c>
      <c r="L22" s="130" t="s">
        <v>189</v>
      </c>
      <c r="M22" s="130" t="s">
        <v>437</v>
      </c>
      <c r="N22" s="130" t="s">
        <v>436</v>
      </c>
    </row>
    <row r="23" spans="1:14">
      <c r="A23" s="130" t="s">
        <v>435</v>
      </c>
      <c r="B23" s="130" t="s">
        <v>434</v>
      </c>
      <c r="C23" s="130">
        <v>156</v>
      </c>
      <c r="D23" s="130">
        <v>26</v>
      </c>
      <c r="F23" s="130" t="s">
        <v>433</v>
      </c>
      <c r="G23" s="130" t="s">
        <v>432</v>
      </c>
      <c r="H23" s="130">
        <v>143</v>
      </c>
      <c r="I23" s="130">
        <v>19</v>
      </c>
      <c r="K23" s="130" t="s">
        <v>431</v>
      </c>
      <c r="L23" s="130" t="s">
        <v>430</v>
      </c>
      <c r="M23" s="130">
        <v>185</v>
      </c>
      <c r="N23" s="130">
        <v>125</v>
      </c>
    </row>
    <row r="24" spans="1:14">
      <c r="A24" s="130" t="s">
        <v>429</v>
      </c>
      <c r="B24" s="130" t="s">
        <v>428</v>
      </c>
      <c r="C24" s="130">
        <v>172</v>
      </c>
      <c r="D24" s="130">
        <v>67</v>
      </c>
      <c r="F24" s="130" t="s">
        <v>427</v>
      </c>
      <c r="G24" s="130" t="s">
        <v>426</v>
      </c>
      <c r="H24" s="130">
        <v>176</v>
      </c>
      <c r="I24" s="130">
        <v>19</v>
      </c>
      <c r="K24" s="130" t="s">
        <v>425</v>
      </c>
      <c r="L24" s="130" t="s">
        <v>424</v>
      </c>
      <c r="M24" s="130">
        <v>189</v>
      </c>
      <c r="N24" s="130">
        <v>125</v>
      </c>
    </row>
    <row r="25" spans="1:14">
      <c r="A25" s="130" t="s">
        <v>423</v>
      </c>
      <c r="B25" s="130" t="s">
        <v>422</v>
      </c>
      <c r="C25" s="130">
        <v>251</v>
      </c>
      <c r="D25" s="130">
        <v>67</v>
      </c>
      <c r="F25" s="130" t="s">
        <v>421</v>
      </c>
      <c r="G25" s="130" t="s">
        <v>420</v>
      </c>
      <c r="H25" s="130">
        <v>152</v>
      </c>
      <c r="I25" s="130">
        <v>30</v>
      </c>
      <c r="K25" s="130" t="s">
        <v>414</v>
      </c>
      <c r="L25" s="130" t="s">
        <v>419</v>
      </c>
      <c r="M25" s="130">
        <v>188</v>
      </c>
      <c r="N25" s="130">
        <v>125</v>
      </c>
    </row>
    <row r="26" spans="1:14">
      <c r="A26" s="130" t="s">
        <v>418</v>
      </c>
      <c r="B26" s="130" t="s">
        <v>417</v>
      </c>
      <c r="C26" s="130">
        <v>140</v>
      </c>
      <c r="D26" s="130">
        <v>67</v>
      </c>
      <c r="F26" s="130" t="s">
        <v>416</v>
      </c>
      <c r="G26" s="130" t="s">
        <v>415</v>
      </c>
      <c r="H26" s="130">
        <v>159</v>
      </c>
      <c r="I26" s="130">
        <v>17</v>
      </c>
      <c r="K26" s="130" t="s">
        <v>536</v>
      </c>
      <c r="L26" s="130" t="s">
        <v>413</v>
      </c>
      <c r="M26" s="130">
        <v>187</v>
      </c>
      <c r="N26" s="130">
        <v>125</v>
      </c>
    </row>
    <row r="27" spans="1:14">
      <c r="A27" s="130" t="s">
        <v>412</v>
      </c>
      <c r="B27" s="130" t="s">
        <v>411</v>
      </c>
      <c r="C27" s="130">
        <v>247</v>
      </c>
      <c r="D27" s="130">
        <v>67</v>
      </c>
      <c r="F27" s="130" t="s">
        <v>410</v>
      </c>
      <c r="G27" s="130" t="s">
        <v>409</v>
      </c>
      <c r="H27" s="130">
        <v>283</v>
      </c>
      <c r="I27" s="130">
        <v>95</v>
      </c>
      <c r="K27" s="130" t="s">
        <v>408</v>
      </c>
      <c r="L27" s="130" t="s">
        <v>407</v>
      </c>
      <c r="M27" s="130">
        <v>265</v>
      </c>
      <c r="N27" s="130">
        <v>125</v>
      </c>
    </row>
    <row r="28" spans="1:14">
      <c r="A28" s="130" t="s">
        <v>406</v>
      </c>
      <c r="B28" s="130" t="s">
        <v>405</v>
      </c>
      <c r="C28" s="130">
        <v>243</v>
      </c>
      <c r="D28" s="130">
        <v>67</v>
      </c>
      <c r="F28" s="130" t="s">
        <v>404</v>
      </c>
      <c r="G28" s="130" t="s">
        <v>403</v>
      </c>
      <c r="H28" s="130">
        <v>279</v>
      </c>
      <c r="I28" s="130">
        <v>95</v>
      </c>
      <c r="K28" s="130" t="s">
        <v>402</v>
      </c>
      <c r="L28" s="130" t="s">
        <v>401</v>
      </c>
      <c r="M28" s="130">
        <v>184</v>
      </c>
      <c r="N28" s="130">
        <v>125</v>
      </c>
    </row>
    <row r="29" spans="1:14">
      <c r="A29" s="130" t="s">
        <v>400</v>
      </c>
      <c r="B29" s="130" t="s">
        <v>399</v>
      </c>
      <c r="C29" s="130">
        <v>254</v>
      </c>
      <c r="D29" s="130">
        <v>67</v>
      </c>
      <c r="F29" s="130" t="s">
        <v>398</v>
      </c>
      <c r="G29" s="130" t="s">
        <v>397</v>
      </c>
      <c r="H29" s="130">
        <v>273</v>
      </c>
      <c r="I29" s="130">
        <v>95</v>
      </c>
    </row>
    <row r="30" spans="1:14">
      <c r="A30" s="130" t="s">
        <v>396</v>
      </c>
      <c r="B30" s="130" t="s">
        <v>395</v>
      </c>
      <c r="C30" s="130">
        <v>244</v>
      </c>
      <c r="D30" s="130">
        <v>67</v>
      </c>
      <c r="F30" s="130" t="s">
        <v>394</v>
      </c>
      <c r="G30" s="130" t="s">
        <v>393</v>
      </c>
      <c r="H30" s="130">
        <v>271</v>
      </c>
      <c r="I30" s="130">
        <v>95</v>
      </c>
    </row>
    <row r="31" spans="1:14">
      <c r="A31" s="130" t="s">
        <v>392</v>
      </c>
      <c r="B31" s="130" t="s">
        <v>391</v>
      </c>
      <c r="C31" s="130">
        <v>248</v>
      </c>
      <c r="D31" s="130">
        <v>67</v>
      </c>
      <c r="F31" s="130" t="s">
        <v>390</v>
      </c>
      <c r="G31" s="130" t="s">
        <v>389</v>
      </c>
      <c r="H31" s="130">
        <v>137</v>
      </c>
      <c r="I31" s="130">
        <v>95</v>
      </c>
      <c r="K31" s="130" t="s">
        <v>305</v>
      </c>
      <c r="L31" s="130" t="s">
        <v>189</v>
      </c>
      <c r="M31" s="130" t="s">
        <v>437</v>
      </c>
      <c r="N31" s="130" t="s">
        <v>436</v>
      </c>
    </row>
    <row r="32" spans="1:14">
      <c r="A32" s="130" t="s">
        <v>388</v>
      </c>
      <c r="B32" s="130" t="s">
        <v>387</v>
      </c>
      <c r="C32" s="130">
        <v>146</v>
      </c>
      <c r="D32" s="130">
        <v>67</v>
      </c>
      <c r="F32" s="130" t="s">
        <v>386</v>
      </c>
      <c r="G32" s="130" t="s">
        <v>385</v>
      </c>
      <c r="H32" s="130">
        <v>136</v>
      </c>
      <c r="I32" s="130">
        <v>95</v>
      </c>
      <c r="K32" s="130" t="s">
        <v>708</v>
      </c>
      <c r="L32" s="130" t="s">
        <v>709</v>
      </c>
      <c r="M32" s="130">
        <v>3</v>
      </c>
      <c r="N32" s="130">
        <v>2</v>
      </c>
    </row>
    <row r="33" spans="1:14">
      <c r="A33" s="130" t="s">
        <v>384</v>
      </c>
      <c r="B33" s="130" t="s">
        <v>383</v>
      </c>
      <c r="C33" s="130">
        <v>245</v>
      </c>
      <c r="D33" s="130">
        <v>67</v>
      </c>
      <c r="F33" s="130" t="s">
        <v>382</v>
      </c>
      <c r="G33" s="130" t="s">
        <v>381</v>
      </c>
      <c r="H33" s="130">
        <v>277</v>
      </c>
      <c r="I33" s="130">
        <v>95</v>
      </c>
      <c r="K33" s="130" t="s">
        <v>514</v>
      </c>
      <c r="L33" s="130" t="s">
        <v>710</v>
      </c>
      <c r="M33" s="130">
        <v>4</v>
      </c>
      <c r="N33" s="130">
        <v>2</v>
      </c>
    </row>
    <row r="34" spans="1:14">
      <c r="A34" s="130" t="s">
        <v>380</v>
      </c>
      <c r="B34" s="130" t="s">
        <v>379</v>
      </c>
      <c r="C34" s="130">
        <v>259</v>
      </c>
      <c r="D34" s="130">
        <v>78</v>
      </c>
      <c r="F34" s="130" t="s">
        <v>378</v>
      </c>
      <c r="G34" s="130" t="s">
        <v>377</v>
      </c>
      <c r="H34" s="130">
        <v>272</v>
      </c>
      <c r="I34" s="130">
        <v>95</v>
      </c>
      <c r="K34" s="130" t="s">
        <v>711</v>
      </c>
      <c r="L34" s="130" t="s">
        <v>712</v>
      </c>
      <c r="M34" s="130">
        <v>5</v>
      </c>
      <c r="N34" s="130">
        <v>2</v>
      </c>
    </row>
    <row r="35" spans="1:14">
      <c r="A35" s="130" t="s">
        <v>376</v>
      </c>
      <c r="B35" s="130" t="s">
        <v>375</v>
      </c>
      <c r="C35" s="130">
        <v>262</v>
      </c>
      <c r="D35" s="130">
        <v>78</v>
      </c>
      <c r="F35" s="130" t="s">
        <v>374</v>
      </c>
      <c r="G35" s="130" t="s">
        <v>373</v>
      </c>
      <c r="H35" s="130">
        <v>281</v>
      </c>
      <c r="I35" s="130">
        <v>95</v>
      </c>
      <c r="K35" s="130" t="s">
        <v>713</v>
      </c>
      <c r="L35" s="130" t="s">
        <v>714</v>
      </c>
      <c r="M35" s="130">
        <v>6</v>
      </c>
      <c r="N35" s="130">
        <v>2</v>
      </c>
    </row>
    <row r="36" spans="1:14">
      <c r="A36" s="130" t="s">
        <v>372</v>
      </c>
      <c r="B36" s="130" t="s">
        <v>371</v>
      </c>
      <c r="C36" s="130">
        <v>266</v>
      </c>
      <c r="D36" s="130">
        <v>78</v>
      </c>
      <c r="F36" s="130" t="s">
        <v>370</v>
      </c>
      <c r="G36" s="130" t="s">
        <v>369</v>
      </c>
      <c r="H36" s="130">
        <v>115</v>
      </c>
      <c r="I36" s="130">
        <v>95</v>
      </c>
      <c r="K36" s="130" t="s">
        <v>715</v>
      </c>
      <c r="L36" s="130" t="s">
        <v>716</v>
      </c>
      <c r="M36" s="130">
        <v>7</v>
      </c>
      <c r="N36" s="130">
        <v>2</v>
      </c>
    </row>
    <row r="37" spans="1:14">
      <c r="A37" s="130" t="s">
        <v>368</v>
      </c>
      <c r="B37" s="130" t="s">
        <v>367</v>
      </c>
      <c r="C37" s="130">
        <v>165</v>
      </c>
      <c r="D37" s="130">
        <v>78</v>
      </c>
      <c r="F37" s="130" t="s">
        <v>366</v>
      </c>
      <c r="G37" s="130" t="s">
        <v>365</v>
      </c>
      <c r="H37" s="130">
        <v>130</v>
      </c>
      <c r="I37" s="130">
        <v>95</v>
      </c>
      <c r="K37" s="130" t="s">
        <v>717</v>
      </c>
      <c r="L37" s="130" t="s">
        <v>718</v>
      </c>
      <c r="M37" s="130">
        <v>8</v>
      </c>
      <c r="N37" s="130">
        <v>2</v>
      </c>
    </row>
    <row r="38" spans="1:14">
      <c r="A38" s="130" t="s">
        <v>364</v>
      </c>
      <c r="B38" s="130" t="s">
        <v>363</v>
      </c>
      <c r="C38" s="130">
        <v>164</v>
      </c>
      <c r="D38" s="130">
        <v>78</v>
      </c>
      <c r="F38" s="130" t="s">
        <v>362</v>
      </c>
      <c r="G38" s="130" t="s">
        <v>361</v>
      </c>
      <c r="H38" s="130">
        <v>278</v>
      </c>
      <c r="I38" s="130">
        <v>95</v>
      </c>
      <c r="K38" s="130" t="s">
        <v>719</v>
      </c>
      <c r="L38" s="130" t="s">
        <v>720</v>
      </c>
      <c r="M38" s="130">
        <v>9</v>
      </c>
      <c r="N38" s="130">
        <v>2</v>
      </c>
    </row>
    <row r="39" spans="1:14">
      <c r="A39" s="130" t="s">
        <v>360</v>
      </c>
      <c r="B39" s="130" t="s">
        <v>359</v>
      </c>
      <c r="C39" s="130">
        <v>258</v>
      </c>
      <c r="D39" s="130">
        <v>78</v>
      </c>
      <c r="F39" s="130" t="s">
        <v>358</v>
      </c>
      <c r="G39" s="130" t="s">
        <v>357</v>
      </c>
      <c r="H39" s="130">
        <v>276</v>
      </c>
      <c r="I39" s="130">
        <v>95</v>
      </c>
      <c r="K39" s="130" t="s">
        <v>721</v>
      </c>
      <c r="L39" s="130" t="s">
        <v>722</v>
      </c>
      <c r="M39" s="130">
        <v>10</v>
      </c>
      <c r="N39" s="130">
        <v>2</v>
      </c>
    </row>
    <row r="40" spans="1:14">
      <c r="A40" s="130" t="s">
        <v>356</v>
      </c>
      <c r="B40" s="130" t="s">
        <v>355</v>
      </c>
      <c r="C40" s="130">
        <v>174</v>
      </c>
      <c r="D40" s="130">
        <v>78</v>
      </c>
      <c r="F40" s="130" t="s">
        <v>354</v>
      </c>
      <c r="G40" s="130" t="s">
        <v>353</v>
      </c>
      <c r="H40" s="130">
        <v>138</v>
      </c>
      <c r="I40" s="130">
        <v>95</v>
      </c>
      <c r="K40" s="130" t="s">
        <v>723</v>
      </c>
      <c r="L40" s="130" t="s">
        <v>724</v>
      </c>
      <c r="M40" s="130">
        <v>11</v>
      </c>
      <c r="N40" s="130">
        <v>2</v>
      </c>
    </row>
    <row r="41" spans="1:14">
      <c r="A41" s="130" t="s">
        <v>352</v>
      </c>
      <c r="B41" s="130" t="s">
        <v>351</v>
      </c>
      <c r="C41" s="130">
        <v>168</v>
      </c>
      <c r="D41" s="130">
        <v>78</v>
      </c>
      <c r="F41" s="130" t="s">
        <v>350</v>
      </c>
      <c r="G41" s="130" t="s">
        <v>349</v>
      </c>
      <c r="H41" s="130">
        <v>294</v>
      </c>
      <c r="I41" s="130">
        <v>110</v>
      </c>
      <c r="K41" s="130" t="s">
        <v>725</v>
      </c>
      <c r="L41" s="130" t="s">
        <v>726</v>
      </c>
      <c r="M41" s="130">
        <v>12</v>
      </c>
      <c r="N41" s="130">
        <v>2</v>
      </c>
    </row>
    <row r="42" spans="1:14">
      <c r="A42" s="130" t="s">
        <v>348</v>
      </c>
      <c r="B42" s="130" t="s">
        <v>347</v>
      </c>
      <c r="C42" s="130">
        <v>252</v>
      </c>
      <c r="D42" s="130">
        <v>78</v>
      </c>
      <c r="F42" s="130" t="s">
        <v>346</v>
      </c>
      <c r="G42" s="130" t="s">
        <v>345</v>
      </c>
      <c r="H42" s="130">
        <v>284</v>
      </c>
      <c r="I42" s="130">
        <v>110</v>
      </c>
      <c r="K42" s="130" t="s">
        <v>402</v>
      </c>
      <c r="L42" s="130" t="s">
        <v>727</v>
      </c>
      <c r="M42" s="130">
        <v>13</v>
      </c>
      <c r="N42" s="130">
        <v>2</v>
      </c>
    </row>
    <row r="43" spans="1:14">
      <c r="A43" s="130" t="s">
        <v>344</v>
      </c>
      <c r="B43" s="130" t="s">
        <v>343</v>
      </c>
      <c r="C43" s="130">
        <v>170</v>
      </c>
      <c r="D43" s="130">
        <v>78</v>
      </c>
      <c r="F43" s="130" t="s">
        <v>342</v>
      </c>
      <c r="G43" s="130" t="s">
        <v>341</v>
      </c>
      <c r="H43" s="130">
        <v>253</v>
      </c>
      <c r="I43" s="130">
        <v>110</v>
      </c>
    </row>
    <row r="44" spans="1:14">
      <c r="A44" s="130" t="s">
        <v>340</v>
      </c>
      <c r="B44" s="130" t="s">
        <v>339</v>
      </c>
      <c r="C44" s="130">
        <v>260</v>
      </c>
      <c r="D44" s="130">
        <v>78</v>
      </c>
      <c r="F44" s="130" t="s">
        <v>338</v>
      </c>
      <c r="G44" s="130" t="s">
        <v>337</v>
      </c>
      <c r="H44" s="130">
        <v>295</v>
      </c>
      <c r="I44" s="130">
        <v>110</v>
      </c>
    </row>
    <row r="45" spans="1:14">
      <c r="A45" s="130" t="s">
        <v>336</v>
      </c>
      <c r="B45" s="130" t="s">
        <v>335</v>
      </c>
      <c r="C45" s="130">
        <v>256</v>
      </c>
      <c r="D45" s="130">
        <v>78</v>
      </c>
      <c r="F45" s="130" t="s">
        <v>334</v>
      </c>
      <c r="G45" s="130" t="s">
        <v>333</v>
      </c>
      <c r="H45" s="130">
        <v>288</v>
      </c>
      <c r="I45" s="130">
        <v>110</v>
      </c>
    </row>
    <row r="46" spans="1:14">
      <c r="A46" s="130" t="s">
        <v>332</v>
      </c>
      <c r="B46" s="130" t="s">
        <v>331</v>
      </c>
      <c r="C46" s="130">
        <v>175</v>
      </c>
      <c r="D46" s="130">
        <v>78</v>
      </c>
      <c r="F46" s="130" t="s">
        <v>330</v>
      </c>
      <c r="G46" s="130" t="s">
        <v>329</v>
      </c>
      <c r="H46" s="130">
        <v>255</v>
      </c>
      <c r="I46" s="130">
        <v>110</v>
      </c>
    </row>
    <row r="47" spans="1:14">
      <c r="A47" s="130" t="s">
        <v>328</v>
      </c>
      <c r="B47" s="130" t="s">
        <v>327</v>
      </c>
      <c r="C47" s="130">
        <v>268</v>
      </c>
      <c r="D47" s="130">
        <v>78</v>
      </c>
      <c r="F47" s="130" t="s">
        <v>326</v>
      </c>
      <c r="G47" s="130" t="s">
        <v>325</v>
      </c>
      <c r="H47" s="130">
        <v>289</v>
      </c>
      <c r="I47" s="130">
        <v>110</v>
      </c>
    </row>
    <row r="48" spans="1:14">
      <c r="A48" s="130" t="s">
        <v>324</v>
      </c>
      <c r="B48" s="130" t="s">
        <v>323</v>
      </c>
      <c r="C48" s="130">
        <v>261</v>
      </c>
      <c r="D48" s="130">
        <v>78</v>
      </c>
      <c r="F48" s="130" t="s">
        <v>322</v>
      </c>
      <c r="G48" s="130" t="s">
        <v>321</v>
      </c>
      <c r="H48" s="130">
        <v>257</v>
      </c>
      <c r="I48" s="130">
        <v>110</v>
      </c>
    </row>
    <row r="49" spans="1:9">
      <c r="A49" s="130" t="s">
        <v>320</v>
      </c>
      <c r="B49" s="130" t="s">
        <v>319</v>
      </c>
      <c r="C49" s="130">
        <v>169</v>
      </c>
      <c r="D49" s="130">
        <v>78</v>
      </c>
      <c r="F49" s="130" t="s">
        <v>318</v>
      </c>
      <c r="G49" s="130" t="s">
        <v>317</v>
      </c>
      <c r="H49" s="130">
        <v>263</v>
      </c>
      <c r="I49" s="130">
        <v>110</v>
      </c>
    </row>
    <row r="50" spans="1:9">
      <c r="F50" s="130" t="s">
        <v>316</v>
      </c>
      <c r="G50" s="130" t="s">
        <v>315</v>
      </c>
      <c r="H50" s="130">
        <v>192</v>
      </c>
      <c r="I50" s="130">
        <v>110</v>
      </c>
    </row>
    <row r="51" spans="1:9">
      <c r="F51" s="130" t="s">
        <v>314</v>
      </c>
      <c r="G51" s="130" t="s">
        <v>313</v>
      </c>
      <c r="H51" s="130">
        <v>155</v>
      </c>
      <c r="I51" s="130">
        <v>110</v>
      </c>
    </row>
    <row r="52" spans="1:9">
      <c r="F52" s="130" t="s">
        <v>312</v>
      </c>
      <c r="G52" s="130" t="s">
        <v>311</v>
      </c>
      <c r="H52" s="130">
        <v>162</v>
      </c>
      <c r="I52" s="130">
        <v>110</v>
      </c>
    </row>
    <row r="53" spans="1:9">
      <c r="F53" s="130" t="s">
        <v>310</v>
      </c>
      <c r="G53" s="130" t="s">
        <v>309</v>
      </c>
      <c r="H53" s="130">
        <v>264</v>
      </c>
      <c r="I53" s="130">
        <v>110</v>
      </c>
    </row>
    <row r="54" spans="1:9">
      <c r="F54" s="130" t="s">
        <v>308</v>
      </c>
      <c r="G54" s="130" t="s">
        <v>307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F28" sqref="F2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302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731</v>
      </c>
      <c r="T2" s="328" t="s">
        <v>730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525</v>
      </c>
      <c r="E4" s="487" t="s">
        <v>526</v>
      </c>
      <c r="F4" s="487" t="s">
        <v>527</v>
      </c>
      <c r="G4" s="487" t="s">
        <v>528</v>
      </c>
      <c r="H4" s="487" t="s">
        <v>529</v>
      </c>
      <c r="I4" s="487" t="s">
        <v>530</v>
      </c>
      <c r="J4" s="487" t="s">
        <v>531</v>
      </c>
      <c r="K4" s="487" t="s">
        <v>532</v>
      </c>
      <c r="L4" s="487" t="s">
        <v>533</v>
      </c>
      <c r="M4" s="487" t="s">
        <v>534</v>
      </c>
      <c r="N4" s="488" t="s">
        <v>535</v>
      </c>
      <c r="O4" s="489" t="s">
        <v>44</v>
      </c>
      <c r="P4" s="488" t="s">
        <v>45</v>
      </c>
      <c r="S4" s="490" t="s">
        <v>521</v>
      </c>
      <c r="T4" s="491" t="s">
        <v>522</v>
      </c>
    </row>
    <row r="5" spans="2:23" ht="22.5" customHeight="1">
      <c r="B5" s="224">
        <v>1995</v>
      </c>
      <c r="C5" s="336">
        <v>22.7</v>
      </c>
      <c r="D5" s="336">
        <v>7.2</v>
      </c>
      <c r="E5" s="336">
        <v>37.299999999999997</v>
      </c>
      <c r="F5" s="336">
        <v>48.2</v>
      </c>
      <c r="G5" s="336">
        <v>67.099999999999994</v>
      </c>
      <c r="H5" s="336">
        <v>24.5</v>
      </c>
      <c r="I5" s="336">
        <v>144.1</v>
      </c>
      <c r="J5" s="337">
        <v>992.7</v>
      </c>
      <c r="K5" s="336">
        <v>20.2</v>
      </c>
      <c r="L5" s="336">
        <v>19.3</v>
      </c>
      <c r="M5" s="336">
        <v>49.9</v>
      </c>
      <c r="N5" s="339">
        <v>15.1</v>
      </c>
      <c r="O5" s="343">
        <f>ROUND(SUM(C5:N5),1)</f>
        <v>1448.3</v>
      </c>
      <c r="P5" s="218">
        <f>ROUND(O5/12,1)</f>
        <v>120.7</v>
      </c>
      <c r="Q5" s="330"/>
      <c r="R5" s="331"/>
      <c r="S5" s="332" t="s">
        <v>498</v>
      </c>
      <c r="T5" s="333" t="s">
        <v>584</v>
      </c>
      <c r="V5" s="331"/>
      <c r="W5" s="334"/>
    </row>
    <row r="6" spans="2:23" ht="22.5" customHeight="1" thickBot="1">
      <c r="B6" s="224">
        <v>1996</v>
      </c>
      <c r="C6" s="336">
        <v>29.1</v>
      </c>
      <c r="D6" s="336">
        <v>5.7</v>
      </c>
      <c r="E6" s="336">
        <v>115.1</v>
      </c>
      <c r="F6" s="336">
        <v>48.1</v>
      </c>
      <c r="G6" s="336">
        <v>20</v>
      </c>
      <c r="H6" s="336">
        <v>179.2</v>
      </c>
      <c r="I6" s="336">
        <v>152.80000000000001</v>
      </c>
      <c r="J6" s="337">
        <v>74.099999999999994</v>
      </c>
      <c r="K6" s="336">
        <v>6.4</v>
      </c>
      <c r="L6" s="336">
        <v>92.2</v>
      </c>
      <c r="M6" s="336">
        <v>72.099999999999994</v>
      </c>
      <c r="N6" s="339">
        <v>35.299999999999997</v>
      </c>
      <c r="O6" s="343">
        <f t="shared" ref="O6:O34" si="0">ROUND(SUM(C6:N6),1)</f>
        <v>830.1</v>
      </c>
      <c r="P6" s="218">
        <f t="shared" ref="P6:P34" si="1">ROUND(O6/12,1)</f>
        <v>69.2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SEOSAN</v>
      </c>
      <c r="V6" s="331"/>
      <c r="W6" s="334"/>
    </row>
    <row r="7" spans="2:23" ht="22.5" customHeight="1">
      <c r="B7" s="224">
        <v>1997</v>
      </c>
      <c r="C7" s="336">
        <v>20.5</v>
      </c>
      <c r="D7" s="336">
        <v>32.5</v>
      </c>
      <c r="E7" s="336">
        <v>29.6</v>
      </c>
      <c r="F7" s="336">
        <v>69.5</v>
      </c>
      <c r="G7" s="336">
        <v>232.8</v>
      </c>
      <c r="H7" s="336">
        <v>204.4</v>
      </c>
      <c r="I7" s="336">
        <v>298.7</v>
      </c>
      <c r="J7" s="336">
        <v>87.2</v>
      </c>
      <c r="K7" s="336">
        <v>16.100000000000001</v>
      </c>
      <c r="L7" s="336">
        <v>8.6999999999999993</v>
      </c>
      <c r="M7" s="336">
        <v>116.7</v>
      </c>
      <c r="N7" s="339">
        <v>40.200000000000003</v>
      </c>
      <c r="O7" s="343">
        <f t="shared" si="0"/>
        <v>1156.9000000000001</v>
      </c>
      <c r="P7" s="218">
        <f t="shared" si="1"/>
        <v>96.4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40.1</v>
      </c>
      <c r="D8" s="336">
        <v>54.2</v>
      </c>
      <c r="E8" s="336">
        <v>35</v>
      </c>
      <c r="F8" s="336">
        <v>160.6</v>
      </c>
      <c r="G8" s="336">
        <v>95.5</v>
      </c>
      <c r="H8" s="336">
        <v>281.7</v>
      </c>
      <c r="I8" s="336">
        <v>295.60000000000002</v>
      </c>
      <c r="J8" s="336">
        <v>491.8</v>
      </c>
      <c r="K8" s="336">
        <v>168</v>
      </c>
      <c r="L8" s="336">
        <v>24.3</v>
      </c>
      <c r="M8" s="336">
        <v>55.6</v>
      </c>
      <c r="N8" s="339">
        <v>9.1999999999999993</v>
      </c>
      <c r="O8" s="343">
        <f t="shared" si="0"/>
        <v>1711.6</v>
      </c>
      <c r="P8" s="218">
        <f t="shared" si="1"/>
        <v>142.6</v>
      </c>
      <c r="Q8" s="330"/>
      <c r="T8" s="202"/>
      <c r="V8" s="331"/>
      <c r="W8" s="334"/>
    </row>
    <row r="9" spans="2:23" ht="22.5" customHeight="1">
      <c r="B9" s="224">
        <v>1999</v>
      </c>
      <c r="C9" s="336">
        <v>8</v>
      </c>
      <c r="D9" s="336">
        <v>7.8</v>
      </c>
      <c r="E9" s="336">
        <v>59.9</v>
      </c>
      <c r="F9" s="336">
        <v>90.1</v>
      </c>
      <c r="G9" s="336">
        <v>178.8</v>
      </c>
      <c r="H9" s="336">
        <v>105.1</v>
      </c>
      <c r="I9" s="336">
        <v>175.6</v>
      </c>
      <c r="J9" s="336">
        <v>497.4</v>
      </c>
      <c r="K9" s="336">
        <v>532.6</v>
      </c>
      <c r="L9" s="336">
        <v>111.3</v>
      </c>
      <c r="M9" s="336">
        <v>36.6</v>
      </c>
      <c r="N9" s="339">
        <v>23.4</v>
      </c>
      <c r="O9" s="343">
        <f t="shared" si="0"/>
        <v>1826.6</v>
      </c>
      <c r="P9" s="218">
        <f t="shared" si="1"/>
        <v>152.19999999999999</v>
      </c>
      <c r="Q9" s="330"/>
      <c r="R9" s="503" t="s">
        <v>739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63</v>
      </c>
      <c r="D10" s="336">
        <v>2.9</v>
      </c>
      <c r="E10" s="336">
        <v>3.7</v>
      </c>
      <c r="F10" s="336">
        <v>38.1</v>
      </c>
      <c r="G10" s="336">
        <v>62.1</v>
      </c>
      <c r="H10" s="336">
        <v>204.4</v>
      </c>
      <c r="I10" s="336">
        <v>60.8</v>
      </c>
      <c r="J10" s="336">
        <v>608.1</v>
      </c>
      <c r="K10" s="336">
        <v>298.10000000000002</v>
      </c>
      <c r="L10" s="336">
        <v>34.4</v>
      </c>
      <c r="M10" s="336">
        <v>24.8</v>
      </c>
      <c r="N10" s="339">
        <v>24.4</v>
      </c>
      <c r="O10" s="343">
        <f t="shared" si="0"/>
        <v>1424.8</v>
      </c>
      <c r="P10" s="218">
        <f t="shared" si="1"/>
        <v>118.7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66.900000000000006</v>
      </c>
      <c r="D11" s="336">
        <v>40.4</v>
      </c>
      <c r="E11" s="336">
        <v>12.7</v>
      </c>
      <c r="F11" s="336">
        <v>18.7</v>
      </c>
      <c r="G11" s="336">
        <v>17.8</v>
      </c>
      <c r="H11" s="336">
        <v>200.2</v>
      </c>
      <c r="I11" s="336">
        <v>402</v>
      </c>
      <c r="J11" s="336">
        <v>136.6</v>
      </c>
      <c r="K11" s="336">
        <v>15</v>
      </c>
      <c r="L11" s="336">
        <v>47.5</v>
      </c>
      <c r="M11" s="336">
        <v>8.1999999999999993</v>
      </c>
      <c r="N11" s="339">
        <v>20.8</v>
      </c>
      <c r="O11" s="343">
        <f t="shared" si="0"/>
        <v>986.8</v>
      </c>
      <c r="P11" s="218">
        <f t="shared" si="1"/>
        <v>82.2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22.5</v>
      </c>
      <c r="D12" s="336">
        <v>7</v>
      </c>
      <c r="E12" s="336">
        <v>29.3</v>
      </c>
      <c r="F12" s="336">
        <v>179.5</v>
      </c>
      <c r="G12" s="336">
        <v>177.3</v>
      </c>
      <c r="H12" s="336">
        <v>60.8</v>
      </c>
      <c r="I12" s="336">
        <v>296.10000000000002</v>
      </c>
      <c r="J12" s="336">
        <v>428.2</v>
      </c>
      <c r="K12" s="336">
        <v>57.5</v>
      </c>
      <c r="L12" s="336">
        <v>78.3</v>
      </c>
      <c r="M12" s="336">
        <v>36.299999999999997</v>
      </c>
      <c r="N12" s="339">
        <v>14.8</v>
      </c>
      <c r="O12" s="343">
        <f t="shared" si="0"/>
        <v>1387.6</v>
      </c>
      <c r="P12" s="218">
        <f t="shared" si="1"/>
        <v>115.6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20.9</v>
      </c>
      <c r="D13" s="336">
        <v>39</v>
      </c>
      <c r="E13" s="336">
        <v>22.5</v>
      </c>
      <c r="F13" s="336">
        <v>180</v>
      </c>
      <c r="G13" s="336">
        <v>105.5</v>
      </c>
      <c r="H13" s="336">
        <v>221.8</v>
      </c>
      <c r="I13" s="336">
        <v>290.2</v>
      </c>
      <c r="J13" s="336">
        <v>257.89999999999998</v>
      </c>
      <c r="K13" s="336">
        <v>201.9</v>
      </c>
      <c r="L13" s="336">
        <v>23</v>
      </c>
      <c r="M13" s="336">
        <v>53.6</v>
      </c>
      <c r="N13" s="339">
        <v>17.100000000000001</v>
      </c>
      <c r="O13" s="343">
        <f t="shared" si="0"/>
        <v>1433.4</v>
      </c>
      <c r="P13" s="218">
        <f t="shared" si="1"/>
        <v>119.5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27.3</v>
      </c>
      <c r="D14" s="336">
        <v>26.3</v>
      </c>
      <c r="E14" s="336">
        <v>15.7</v>
      </c>
      <c r="F14" s="336">
        <v>80.2</v>
      </c>
      <c r="G14" s="336">
        <v>140.30000000000001</v>
      </c>
      <c r="H14" s="336">
        <v>211.1</v>
      </c>
      <c r="I14" s="336">
        <v>321.89999999999998</v>
      </c>
      <c r="J14" s="336">
        <v>131.19999999999999</v>
      </c>
      <c r="K14" s="336">
        <v>282.60000000000002</v>
      </c>
      <c r="L14" s="336">
        <v>1.8</v>
      </c>
      <c r="M14" s="336">
        <v>70.5</v>
      </c>
      <c r="N14" s="339">
        <v>32</v>
      </c>
      <c r="O14" s="343">
        <f t="shared" si="0"/>
        <v>1340.9</v>
      </c>
      <c r="P14" s="218">
        <f t="shared" si="1"/>
        <v>111.7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10.4</v>
      </c>
      <c r="D15" s="336">
        <v>34</v>
      </c>
      <c r="E15" s="336">
        <v>36.1</v>
      </c>
      <c r="F15" s="336">
        <v>77.2</v>
      </c>
      <c r="G15" s="336">
        <v>56.1</v>
      </c>
      <c r="H15" s="336">
        <v>147</v>
      </c>
      <c r="I15" s="336">
        <v>386.1</v>
      </c>
      <c r="J15" s="336">
        <v>270.5</v>
      </c>
      <c r="K15" s="336">
        <v>228.7</v>
      </c>
      <c r="L15" s="336">
        <v>30.9</v>
      </c>
      <c r="M15" s="336">
        <v>19.600000000000001</v>
      </c>
      <c r="N15" s="339">
        <v>37.6</v>
      </c>
      <c r="O15" s="343">
        <f t="shared" si="0"/>
        <v>1334.2</v>
      </c>
      <c r="P15" s="218">
        <f t="shared" si="1"/>
        <v>111.2</v>
      </c>
      <c r="S15" s="202"/>
    </row>
    <row r="16" spans="2:23" ht="22.5" customHeight="1">
      <c r="B16" s="224">
        <v>2006</v>
      </c>
      <c r="C16" s="336">
        <v>29.7</v>
      </c>
      <c r="D16" s="336">
        <v>18.899999999999999</v>
      </c>
      <c r="E16" s="336">
        <v>5</v>
      </c>
      <c r="F16" s="336">
        <v>77.3</v>
      </c>
      <c r="G16" s="336">
        <v>133.5</v>
      </c>
      <c r="H16" s="336">
        <v>226.8</v>
      </c>
      <c r="I16" s="336">
        <v>494.5</v>
      </c>
      <c r="J16" s="336">
        <v>58.2</v>
      </c>
      <c r="K16" s="336">
        <v>10.1</v>
      </c>
      <c r="L16" s="336">
        <v>10.5</v>
      </c>
      <c r="M16" s="336">
        <v>55</v>
      </c>
      <c r="N16" s="339">
        <v>19.7</v>
      </c>
      <c r="O16" s="343">
        <f t="shared" si="0"/>
        <v>1139.2</v>
      </c>
      <c r="P16" s="218">
        <f t="shared" si="1"/>
        <v>94.9</v>
      </c>
      <c r="S16" s="202"/>
    </row>
    <row r="17" spans="2:19" ht="22.5" customHeight="1">
      <c r="B17" s="224">
        <v>2007</v>
      </c>
      <c r="C17" s="336">
        <v>13</v>
      </c>
      <c r="D17" s="336">
        <v>25.5</v>
      </c>
      <c r="E17" s="336">
        <v>127.2</v>
      </c>
      <c r="F17" s="336">
        <v>28.1</v>
      </c>
      <c r="G17" s="336">
        <v>108.5</v>
      </c>
      <c r="H17" s="336">
        <v>123.5</v>
      </c>
      <c r="I17" s="336">
        <v>257</v>
      </c>
      <c r="J17" s="336">
        <v>414.6</v>
      </c>
      <c r="K17" s="336">
        <v>305.8</v>
      </c>
      <c r="L17" s="336">
        <v>30.7</v>
      </c>
      <c r="M17" s="336">
        <v>14.4</v>
      </c>
      <c r="N17" s="339">
        <v>22.8</v>
      </c>
      <c r="O17" s="343">
        <f t="shared" si="0"/>
        <v>1471.1</v>
      </c>
      <c r="P17" s="218">
        <f t="shared" si="1"/>
        <v>122.6</v>
      </c>
      <c r="S17" s="202"/>
    </row>
    <row r="18" spans="2:19" ht="22.5" customHeight="1">
      <c r="B18" s="224">
        <v>2008</v>
      </c>
      <c r="C18" s="336">
        <v>15</v>
      </c>
      <c r="D18" s="336">
        <v>7</v>
      </c>
      <c r="E18" s="336">
        <v>26</v>
      </c>
      <c r="F18" s="336">
        <v>46.1</v>
      </c>
      <c r="G18" s="336">
        <v>88.5</v>
      </c>
      <c r="H18" s="336">
        <v>118.1</v>
      </c>
      <c r="I18" s="336">
        <v>335.5</v>
      </c>
      <c r="J18" s="336">
        <v>114.2</v>
      </c>
      <c r="K18" s="336">
        <v>62.7</v>
      </c>
      <c r="L18" s="336">
        <v>34</v>
      </c>
      <c r="M18" s="336">
        <v>34.6</v>
      </c>
      <c r="N18" s="339">
        <v>27.9</v>
      </c>
      <c r="O18" s="343">
        <f t="shared" si="0"/>
        <v>909.6</v>
      </c>
      <c r="P18" s="218">
        <f t="shared" si="1"/>
        <v>75.8</v>
      </c>
    </row>
    <row r="19" spans="2:19" ht="22.5" customHeight="1">
      <c r="B19" s="224">
        <v>2009</v>
      </c>
      <c r="C19" s="336">
        <v>15.2</v>
      </c>
      <c r="D19" s="336">
        <v>26.5</v>
      </c>
      <c r="E19" s="336">
        <v>67</v>
      </c>
      <c r="F19" s="336">
        <v>43</v>
      </c>
      <c r="G19" s="336">
        <v>117.9</v>
      </c>
      <c r="H19" s="336">
        <v>74.900000000000006</v>
      </c>
      <c r="I19" s="336">
        <v>364.9</v>
      </c>
      <c r="J19" s="336">
        <v>196.3</v>
      </c>
      <c r="K19" s="336">
        <v>16</v>
      </c>
      <c r="L19" s="336">
        <v>49.2</v>
      </c>
      <c r="M19" s="336">
        <v>59.1</v>
      </c>
      <c r="N19" s="339">
        <v>44.3</v>
      </c>
      <c r="O19" s="343">
        <f t="shared" si="0"/>
        <v>1074.3</v>
      </c>
      <c r="P19" s="218">
        <f t="shared" si="1"/>
        <v>89.5</v>
      </c>
    </row>
    <row r="20" spans="2:19" ht="22.5" customHeight="1">
      <c r="B20" s="224">
        <v>2010</v>
      </c>
      <c r="C20" s="336">
        <v>55.5</v>
      </c>
      <c r="D20" s="336">
        <v>58.4</v>
      </c>
      <c r="E20" s="336">
        <v>79.2</v>
      </c>
      <c r="F20" s="336">
        <v>52.2</v>
      </c>
      <c r="G20" s="336">
        <v>168</v>
      </c>
      <c r="H20" s="336">
        <v>94.9</v>
      </c>
      <c r="I20" s="336">
        <v>447.1</v>
      </c>
      <c r="J20" s="336">
        <v>707</v>
      </c>
      <c r="K20" s="336">
        <v>402</v>
      </c>
      <c r="L20" s="336">
        <v>29.1</v>
      </c>
      <c r="M20" s="336">
        <v>12</v>
      </c>
      <c r="N20" s="339">
        <v>36.4</v>
      </c>
      <c r="O20" s="343">
        <f t="shared" si="0"/>
        <v>2141.8000000000002</v>
      </c>
      <c r="P20" s="218">
        <f t="shared" si="1"/>
        <v>178.5</v>
      </c>
    </row>
    <row r="21" spans="2:19" ht="22.5" customHeight="1">
      <c r="B21" s="224">
        <v>2011</v>
      </c>
      <c r="C21" s="336">
        <v>8.8000000000000007</v>
      </c>
      <c r="D21" s="336">
        <v>55.8</v>
      </c>
      <c r="E21" s="336">
        <v>34.5</v>
      </c>
      <c r="F21" s="336">
        <v>96.2</v>
      </c>
      <c r="G21" s="336">
        <v>107.9</v>
      </c>
      <c r="H21" s="336">
        <v>462.6</v>
      </c>
      <c r="I21" s="336">
        <v>656.5</v>
      </c>
      <c r="J21" s="336">
        <v>151.19999999999999</v>
      </c>
      <c r="K21" s="336">
        <v>50.3</v>
      </c>
      <c r="L21" s="336">
        <v>18.100000000000001</v>
      </c>
      <c r="M21" s="336">
        <v>48.9</v>
      </c>
      <c r="N21" s="339">
        <v>13.6</v>
      </c>
      <c r="O21" s="343">
        <f t="shared" si="0"/>
        <v>1704.4</v>
      </c>
      <c r="P21" s="218">
        <f t="shared" si="1"/>
        <v>142</v>
      </c>
    </row>
    <row r="22" spans="2:19" ht="22.5" customHeight="1">
      <c r="B22" s="224">
        <v>2012</v>
      </c>
      <c r="C22" s="336">
        <v>15.1</v>
      </c>
      <c r="D22" s="336">
        <v>2.4</v>
      </c>
      <c r="E22" s="336">
        <v>41.6</v>
      </c>
      <c r="F22" s="336">
        <v>113.5</v>
      </c>
      <c r="G22" s="336">
        <v>14.5</v>
      </c>
      <c r="H22" s="336">
        <v>91.1</v>
      </c>
      <c r="I22" s="336">
        <v>266.8</v>
      </c>
      <c r="J22" s="336">
        <v>647.9</v>
      </c>
      <c r="K22" s="336">
        <v>201.5</v>
      </c>
      <c r="L22" s="336">
        <v>100.7</v>
      </c>
      <c r="M22" s="336">
        <v>82.1</v>
      </c>
      <c r="N22" s="339">
        <v>65.400000000000006</v>
      </c>
      <c r="O22" s="343">
        <f t="shared" si="0"/>
        <v>1642.6</v>
      </c>
      <c r="P22" s="218">
        <f t="shared" si="1"/>
        <v>136.9</v>
      </c>
    </row>
    <row r="23" spans="2:19" ht="22.5" customHeight="1">
      <c r="B23" s="224">
        <v>2013</v>
      </c>
      <c r="C23" s="336">
        <v>36.799999999999997</v>
      </c>
      <c r="D23" s="336">
        <v>64.8</v>
      </c>
      <c r="E23" s="336">
        <v>60.8</v>
      </c>
      <c r="F23" s="336">
        <v>61.8</v>
      </c>
      <c r="G23" s="336">
        <v>114.9</v>
      </c>
      <c r="H23" s="336">
        <v>94.4</v>
      </c>
      <c r="I23" s="336">
        <v>213.8</v>
      </c>
      <c r="J23" s="336">
        <v>120.6</v>
      </c>
      <c r="K23" s="336">
        <v>147.4</v>
      </c>
      <c r="L23" s="336">
        <v>5.7</v>
      </c>
      <c r="M23" s="336">
        <v>64.900000000000006</v>
      </c>
      <c r="N23" s="339">
        <v>32.799999999999997</v>
      </c>
      <c r="O23" s="343">
        <f t="shared" si="0"/>
        <v>1018.7</v>
      </c>
      <c r="P23" s="218">
        <f t="shared" si="1"/>
        <v>84.9</v>
      </c>
    </row>
    <row r="24" spans="2:19" ht="22.5" customHeight="1">
      <c r="B24" s="224">
        <v>2014</v>
      </c>
      <c r="C24" s="336">
        <v>7</v>
      </c>
      <c r="D24" s="336">
        <v>17</v>
      </c>
      <c r="E24" s="336">
        <v>31.2</v>
      </c>
      <c r="F24" s="336">
        <v>85.6</v>
      </c>
      <c r="G24" s="336">
        <v>52.7</v>
      </c>
      <c r="H24" s="336">
        <v>69.3</v>
      </c>
      <c r="I24" s="336">
        <v>151.69999999999999</v>
      </c>
      <c r="J24" s="336">
        <v>242.3</v>
      </c>
      <c r="K24" s="336">
        <v>106.7</v>
      </c>
      <c r="L24" s="336">
        <v>117.2</v>
      </c>
      <c r="M24" s="336">
        <v>37.799999999999997</v>
      </c>
      <c r="N24" s="339">
        <v>81.599999999999994</v>
      </c>
      <c r="O24" s="343">
        <f t="shared" si="0"/>
        <v>1000.1</v>
      </c>
      <c r="P24" s="218">
        <f t="shared" si="1"/>
        <v>83.3</v>
      </c>
    </row>
    <row r="25" spans="2:19" ht="22.5" customHeight="1">
      <c r="B25" s="224">
        <v>2015</v>
      </c>
      <c r="C25" s="336">
        <v>20.7</v>
      </c>
      <c r="D25" s="336">
        <v>23.1</v>
      </c>
      <c r="E25" s="336">
        <v>20.6</v>
      </c>
      <c r="F25" s="336">
        <v>116.8</v>
      </c>
      <c r="G25" s="336">
        <v>40.6</v>
      </c>
      <c r="H25" s="336">
        <v>64.099999999999994</v>
      </c>
      <c r="I25" s="336">
        <v>158.5</v>
      </c>
      <c r="J25" s="336">
        <v>63.1</v>
      </c>
      <c r="K25" s="336">
        <v>15.1</v>
      </c>
      <c r="L25" s="336">
        <v>73.099999999999994</v>
      </c>
      <c r="M25" s="336">
        <v>156.6</v>
      </c>
      <c r="N25" s="339">
        <v>63.6</v>
      </c>
      <c r="O25" s="343">
        <f t="shared" si="0"/>
        <v>815.9</v>
      </c>
      <c r="P25" s="218">
        <f t="shared" si="1"/>
        <v>68</v>
      </c>
    </row>
    <row r="26" spans="2:19" ht="22.5" customHeight="1">
      <c r="B26" s="224">
        <v>2016</v>
      </c>
      <c r="C26" s="336">
        <v>21.9</v>
      </c>
      <c r="D26" s="336">
        <v>61.7</v>
      </c>
      <c r="E26" s="336">
        <v>24.3</v>
      </c>
      <c r="F26" s="336">
        <v>87</v>
      </c>
      <c r="G26" s="336">
        <v>153.69999999999999</v>
      </c>
      <c r="H26" s="336">
        <v>36.799999999999997</v>
      </c>
      <c r="I26" s="336">
        <v>295.60000000000002</v>
      </c>
      <c r="J26" s="336">
        <v>34</v>
      </c>
      <c r="K26" s="336">
        <v>53.1</v>
      </c>
      <c r="L26" s="336">
        <v>73.8</v>
      </c>
      <c r="M26" s="336">
        <v>17.5</v>
      </c>
      <c r="N26" s="339">
        <v>62.7</v>
      </c>
      <c r="O26" s="343">
        <f t="shared" si="0"/>
        <v>922.1</v>
      </c>
      <c r="P26" s="218">
        <f t="shared" si="1"/>
        <v>76.8</v>
      </c>
    </row>
    <row r="27" spans="2:19" ht="22.5" customHeight="1">
      <c r="B27" s="224">
        <v>2017</v>
      </c>
      <c r="C27" s="336">
        <v>21.3</v>
      </c>
      <c r="D27" s="336">
        <v>31.4</v>
      </c>
      <c r="E27" s="336">
        <v>4.8</v>
      </c>
      <c r="F27" s="336">
        <v>38.9</v>
      </c>
      <c r="G27" s="336">
        <v>27.9</v>
      </c>
      <c r="H27" s="336">
        <v>23.3</v>
      </c>
      <c r="I27" s="336">
        <v>327.8</v>
      </c>
      <c r="J27" s="336">
        <v>231.3</v>
      </c>
      <c r="K27" s="336">
        <v>37.6</v>
      </c>
      <c r="L27" s="336">
        <v>25.5</v>
      </c>
      <c r="M27" s="336">
        <v>24.7</v>
      </c>
      <c r="N27" s="339">
        <v>35.9</v>
      </c>
      <c r="O27" s="343">
        <f t="shared" si="0"/>
        <v>830.4</v>
      </c>
      <c r="P27" s="218">
        <f t="shared" si="1"/>
        <v>69.2</v>
      </c>
    </row>
    <row r="28" spans="2:19" ht="22.5" customHeight="1">
      <c r="B28" s="224">
        <v>2018</v>
      </c>
      <c r="C28" s="336">
        <v>21</v>
      </c>
      <c r="D28" s="336">
        <v>40.5</v>
      </c>
      <c r="E28" s="336">
        <v>76.599999999999994</v>
      </c>
      <c r="F28" s="336">
        <v>132.80000000000001</v>
      </c>
      <c r="G28" s="336">
        <v>147.69999999999999</v>
      </c>
      <c r="H28" s="336">
        <v>162.30000000000001</v>
      </c>
      <c r="I28" s="336">
        <v>152.9</v>
      </c>
      <c r="J28" s="336">
        <v>156.80000000000001</v>
      </c>
      <c r="K28" s="336">
        <v>82.7</v>
      </c>
      <c r="L28" s="336">
        <v>153.19999999999999</v>
      </c>
      <c r="M28" s="336">
        <v>73.900000000000006</v>
      </c>
      <c r="N28" s="339">
        <v>26.8</v>
      </c>
      <c r="O28" s="343">
        <f t="shared" si="0"/>
        <v>1227.2</v>
      </c>
      <c r="P28" s="218">
        <f t="shared" si="1"/>
        <v>102.3</v>
      </c>
    </row>
    <row r="29" spans="2:19" ht="22.5" customHeight="1">
      <c r="B29" s="224">
        <v>2019</v>
      </c>
      <c r="C29" s="336">
        <v>1.1000000000000001</v>
      </c>
      <c r="D29" s="336">
        <v>30.2</v>
      </c>
      <c r="E29" s="336">
        <v>43.7</v>
      </c>
      <c r="F29" s="336">
        <v>43.9</v>
      </c>
      <c r="G29" s="336">
        <v>20.100000000000001</v>
      </c>
      <c r="H29" s="336">
        <v>56.3</v>
      </c>
      <c r="I29" s="336">
        <v>174.5</v>
      </c>
      <c r="J29" s="336">
        <v>121.1</v>
      </c>
      <c r="K29" s="336">
        <v>181.1</v>
      </c>
      <c r="L29" s="336">
        <v>81</v>
      </c>
      <c r="M29" s="336">
        <v>124.6</v>
      </c>
      <c r="N29" s="339">
        <v>37.4</v>
      </c>
      <c r="O29" s="343">
        <f t="shared" si="0"/>
        <v>915</v>
      </c>
      <c r="P29" s="218">
        <f t="shared" si="1"/>
        <v>76.3</v>
      </c>
    </row>
    <row r="30" spans="2:19" ht="22.5" customHeight="1">
      <c r="B30" s="224">
        <v>2020</v>
      </c>
      <c r="C30" s="336">
        <v>46</v>
      </c>
      <c r="D30" s="336">
        <v>72.3</v>
      </c>
      <c r="E30" s="336">
        <v>23</v>
      </c>
      <c r="F30" s="336">
        <v>20.7</v>
      </c>
      <c r="G30" s="336">
        <v>101.3</v>
      </c>
      <c r="H30" s="336">
        <v>144</v>
      </c>
      <c r="I30" s="336">
        <v>329.4</v>
      </c>
      <c r="J30" s="336">
        <v>400</v>
      </c>
      <c r="K30" s="336">
        <v>257.7</v>
      </c>
      <c r="L30" s="336">
        <v>12.6</v>
      </c>
      <c r="M30" s="336">
        <v>72</v>
      </c>
      <c r="N30" s="339">
        <v>9.6999999999999993</v>
      </c>
      <c r="O30" s="343">
        <f t="shared" si="0"/>
        <v>1488.7</v>
      </c>
      <c r="P30" s="218">
        <f t="shared" si="1"/>
        <v>124.1</v>
      </c>
    </row>
    <row r="31" spans="2:19" ht="22.5" customHeight="1">
      <c r="B31" s="224">
        <v>2021</v>
      </c>
      <c r="C31" s="336">
        <v>25.3</v>
      </c>
      <c r="D31" s="336">
        <v>9.6</v>
      </c>
      <c r="E31" s="336">
        <v>112.8</v>
      </c>
      <c r="F31" s="336">
        <v>110.6</v>
      </c>
      <c r="G31" s="336">
        <v>132.30000000000001</v>
      </c>
      <c r="H31" s="336">
        <v>70.900000000000006</v>
      </c>
      <c r="I31" s="336">
        <v>121.6</v>
      </c>
      <c r="J31" s="336">
        <v>217.8</v>
      </c>
      <c r="K31" s="336">
        <v>206</v>
      </c>
      <c r="L31" s="336">
        <v>55.9</v>
      </c>
      <c r="M31" s="336">
        <v>126.2</v>
      </c>
      <c r="N31" s="339">
        <v>18.3</v>
      </c>
      <c r="O31" s="343">
        <f t="shared" si="0"/>
        <v>1207.3</v>
      </c>
      <c r="P31" s="218">
        <f t="shared" si="1"/>
        <v>100.6</v>
      </c>
    </row>
    <row r="32" spans="2:19" ht="22.5" customHeight="1">
      <c r="B32" s="224">
        <v>2022</v>
      </c>
      <c r="C32" s="336">
        <v>8.6</v>
      </c>
      <c r="D32" s="336">
        <v>4.7</v>
      </c>
      <c r="E32" s="336">
        <v>72.099999999999994</v>
      </c>
      <c r="F32" s="336">
        <v>52.2</v>
      </c>
      <c r="G32" s="336">
        <v>2.9</v>
      </c>
      <c r="H32" s="336">
        <v>352.4</v>
      </c>
      <c r="I32" s="336">
        <v>178.4</v>
      </c>
      <c r="J32" s="336">
        <v>468.7</v>
      </c>
      <c r="K32" s="336">
        <v>165.9</v>
      </c>
      <c r="L32" s="336">
        <v>160</v>
      </c>
      <c r="M32" s="336">
        <v>72.900000000000006</v>
      </c>
      <c r="N32" s="339">
        <v>31.9</v>
      </c>
      <c r="O32" s="343">
        <f t="shared" si="0"/>
        <v>1570.7</v>
      </c>
      <c r="P32" s="218">
        <f t="shared" si="1"/>
        <v>130.9</v>
      </c>
    </row>
    <row r="33" spans="2:16" ht="22.5" customHeight="1">
      <c r="B33" s="224">
        <v>2023</v>
      </c>
      <c r="C33" s="336">
        <v>30.5</v>
      </c>
      <c r="D33" s="336">
        <v>0.1</v>
      </c>
      <c r="E33" s="336">
        <v>6.4</v>
      </c>
      <c r="F33" s="336">
        <v>54.6</v>
      </c>
      <c r="G33" s="336">
        <v>132.9</v>
      </c>
      <c r="H33" s="336">
        <v>138.1</v>
      </c>
      <c r="I33" s="336">
        <v>507</v>
      </c>
      <c r="J33" s="336">
        <v>225</v>
      </c>
      <c r="K33" s="336">
        <v>166.1</v>
      </c>
      <c r="L33" s="336">
        <v>39.6</v>
      </c>
      <c r="M33" s="336">
        <v>122.9</v>
      </c>
      <c r="N33" s="339">
        <v>106.5</v>
      </c>
      <c r="O33" s="343">
        <f t="shared" si="0"/>
        <v>1529.7</v>
      </c>
      <c r="P33" s="218">
        <f t="shared" si="1"/>
        <v>127.5</v>
      </c>
    </row>
    <row r="34" spans="2:16" ht="22.5" customHeight="1" thickBot="1">
      <c r="B34" s="346">
        <v>2024</v>
      </c>
      <c r="C34" s="347">
        <v>34.4</v>
      </c>
      <c r="D34" s="347">
        <v>86.4</v>
      </c>
      <c r="E34" s="347">
        <v>26.1</v>
      </c>
      <c r="F34" s="347">
        <v>45</v>
      </c>
      <c r="G34" s="347">
        <v>157.4</v>
      </c>
      <c r="H34" s="347">
        <v>120.4</v>
      </c>
      <c r="I34" s="347">
        <v>556.1</v>
      </c>
      <c r="J34" s="347">
        <v>197.6</v>
      </c>
      <c r="K34" s="347">
        <v>354.2</v>
      </c>
      <c r="L34" s="347">
        <v>150.30000000000001</v>
      </c>
      <c r="M34" s="347">
        <v>62.1</v>
      </c>
      <c r="N34" s="348">
        <v>16.100000000000001</v>
      </c>
      <c r="O34" s="349">
        <f t="shared" si="0"/>
        <v>1806.1</v>
      </c>
      <c r="P34" s="350">
        <f t="shared" si="1"/>
        <v>150.5</v>
      </c>
    </row>
    <row r="35" spans="2:16" ht="22.5" customHeight="1">
      <c r="B35" s="285" t="s">
        <v>36</v>
      </c>
      <c r="C35" s="351">
        <f>MAX(C5:C34)</f>
        <v>66.900000000000006</v>
      </c>
      <c r="D35" s="351">
        <f t="shared" ref="D35:N35" si="2">MAX(D5:D34)</f>
        <v>86.4</v>
      </c>
      <c r="E35" s="351">
        <f t="shared" si="2"/>
        <v>127.2</v>
      </c>
      <c r="F35" s="351">
        <f t="shared" si="2"/>
        <v>180</v>
      </c>
      <c r="G35" s="351">
        <f t="shared" si="2"/>
        <v>232.8</v>
      </c>
      <c r="H35" s="351">
        <f t="shared" si="2"/>
        <v>462.6</v>
      </c>
      <c r="I35" s="351">
        <f t="shared" si="2"/>
        <v>656.5</v>
      </c>
      <c r="J35" s="351">
        <f t="shared" si="2"/>
        <v>992.7</v>
      </c>
      <c r="K35" s="351">
        <f t="shared" si="2"/>
        <v>532.6</v>
      </c>
      <c r="L35" s="351">
        <f t="shared" si="2"/>
        <v>160</v>
      </c>
      <c r="M35" s="351">
        <f t="shared" si="2"/>
        <v>156.6</v>
      </c>
      <c r="N35" s="286">
        <f t="shared" si="2"/>
        <v>106.5</v>
      </c>
      <c r="O35" s="352">
        <f t="shared" ref="O35" si="3">MAX(O5:O34)</f>
        <v>2141.8000000000002</v>
      </c>
      <c r="P35" s="286">
        <f>MAX(P5:P34)</f>
        <v>178.5</v>
      </c>
    </row>
    <row r="36" spans="2:16" ht="22.5" customHeight="1">
      <c r="B36" s="224" t="s">
        <v>37</v>
      </c>
      <c r="C36" s="117">
        <f>ROUND(MIN(C5:C34),1)</f>
        <v>1.1000000000000001</v>
      </c>
      <c r="D36" s="117">
        <f t="shared" ref="D36:N36" si="4">ROUND(MIN(D5:D34),1)</f>
        <v>0.1</v>
      </c>
      <c r="E36" s="117">
        <f t="shared" si="4"/>
        <v>3.7</v>
      </c>
      <c r="F36" s="117">
        <f t="shared" si="4"/>
        <v>18.7</v>
      </c>
      <c r="G36" s="117">
        <f t="shared" si="4"/>
        <v>2.9</v>
      </c>
      <c r="H36" s="117">
        <f t="shared" si="4"/>
        <v>23.3</v>
      </c>
      <c r="I36" s="117">
        <f t="shared" si="4"/>
        <v>60.8</v>
      </c>
      <c r="J36" s="117">
        <f t="shared" si="4"/>
        <v>34</v>
      </c>
      <c r="K36" s="117">
        <f t="shared" si="4"/>
        <v>6.4</v>
      </c>
      <c r="L36" s="117">
        <f t="shared" si="4"/>
        <v>1.8</v>
      </c>
      <c r="M36" s="117">
        <f t="shared" si="4"/>
        <v>8.1999999999999993</v>
      </c>
      <c r="N36" s="218">
        <f t="shared" si="4"/>
        <v>9.1999999999999993</v>
      </c>
      <c r="O36" s="344">
        <f>ROUND(MIN(O5:O34),1)</f>
        <v>815.9</v>
      </c>
      <c r="P36" s="339">
        <f>ROUND(MIN(P5:P34),1)</f>
        <v>68</v>
      </c>
    </row>
    <row r="37" spans="2:16" ht="22.5" customHeight="1" thickBot="1">
      <c r="B37" s="212" t="s">
        <v>45</v>
      </c>
      <c r="C37" s="210">
        <f>ROUND(AVERAGE(C5:C34),1)</f>
        <v>25.3</v>
      </c>
      <c r="D37" s="210">
        <f t="shared" ref="D37:N37" si="5">ROUND(AVERAGE(D5:D34),1)</f>
        <v>29.8</v>
      </c>
      <c r="E37" s="210">
        <f t="shared" si="5"/>
        <v>42.7</v>
      </c>
      <c r="F37" s="210">
        <f t="shared" si="5"/>
        <v>76.599999999999994</v>
      </c>
      <c r="G37" s="210">
        <f t="shared" si="5"/>
        <v>99.2</v>
      </c>
      <c r="H37" s="210">
        <f t="shared" si="5"/>
        <v>145.5</v>
      </c>
      <c r="I37" s="210">
        <f t="shared" si="5"/>
        <v>293.8</v>
      </c>
      <c r="J37" s="210">
        <f t="shared" si="5"/>
        <v>291.39999999999998</v>
      </c>
      <c r="K37" s="210">
        <f t="shared" si="5"/>
        <v>155</v>
      </c>
      <c r="L37" s="210">
        <f t="shared" si="5"/>
        <v>56.4</v>
      </c>
      <c r="M37" s="210">
        <f t="shared" si="5"/>
        <v>60.2</v>
      </c>
      <c r="N37" s="213">
        <f t="shared" si="5"/>
        <v>34.1</v>
      </c>
      <c r="O37" s="345">
        <f>ROUND(AVERAGE(O5:O34),1)</f>
        <v>1309.9000000000001</v>
      </c>
      <c r="P37" s="342">
        <f>ROUND(AVERAGE(P5:P34),1)</f>
        <v>109.2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20.7</v>
      </c>
      <c r="D41" s="336">
        <f t="shared" si="6"/>
        <v>23.1</v>
      </c>
      <c r="E41" s="336">
        <f t="shared" si="6"/>
        <v>20.6</v>
      </c>
      <c r="F41" s="336">
        <f t="shared" si="6"/>
        <v>116.8</v>
      </c>
      <c r="G41" s="336">
        <f t="shared" si="6"/>
        <v>40.6</v>
      </c>
      <c r="H41" s="336">
        <f t="shared" si="6"/>
        <v>64.099999999999994</v>
      </c>
      <c r="I41" s="336">
        <f t="shared" si="6"/>
        <v>158.5</v>
      </c>
      <c r="J41" s="336">
        <f t="shared" si="6"/>
        <v>63.1</v>
      </c>
      <c r="K41" s="336">
        <f t="shared" si="6"/>
        <v>15.1</v>
      </c>
      <c r="L41" s="336">
        <f t="shared" si="6"/>
        <v>73.099999999999994</v>
      </c>
      <c r="M41" s="336">
        <f t="shared" si="6"/>
        <v>156.6</v>
      </c>
      <c r="N41" s="353">
        <f t="shared" si="6"/>
        <v>63.6</v>
      </c>
      <c r="O41" s="338">
        <f>ROUND(SUM(C41:N41),1)</f>
        <v>815.9</v>
      </c>
      <c r="P41" s="339">
        <f>ROUND(O41/12,1)</f>
        <v>68</v>
      </c>
    </row>
    <row r="42" spans="2:16" ht="22.5" customHeight="1">
      <c r="B42" s="338">
        <f t="shared" ref="B42:N42" si="7">B26</f>
        <v>2016</v>
      </c>
      <c r="C42" s="336">
        <f t="shared" si="7"/>
        <v>21.9</v>
      </c>
      <c r="D42" s="336">
        <f t="shared" si="7"/>
        <v>61.7</v>
      </c>
      <c r="E42" s="336">
        <f t="shared" si="7"/>
        <v>24.3</v>
      </c>
      <c r="F42" s="336">
        <f t="shared" si="7"/>
        <v>87</v>
      </c>
      <c r="G42" s="336">
        <f t="shared" si="7"/>
        <v>153.69999999999999</v>
      </c>
      <c r="H42" s="336">
        <f t="shared" si="7"/>
        <v>36.799999999999997</v>
      </c>
      <c r="I42" s="336">
        <f t="shared" si="7"/>
        <v>295.60000000000002</v>
      </c>
      <c r="J42" s="336">
        <f t="shared" si="7"/>
        <v>34</v>
      </c>
      <c r="K42" s="336">
        <f t="shared" si="7"/>
        <v>53.1</v>
      </c>
      <c r="L42" s="336">
        <f t="shared" si="7"/>
        <v>73.8</v>
      </c>
      <c r="M42" s="336">
        <f t="shared" si="7"/>
        <v>17.5</v>
      </c>
      <c r="N42" s="353">
        <f t="shared" si="7"/>
        <v>62.7</v>
      </c>
      <c r="O42" s="338">
        <f t="shared" ref="O42:O50" si="8">ROUND(SUM(C42:N42),1)</f>
        <v>922.1</v>
      </c>
      <c r="P42" s="339">
        <f t="shared" ref="P42:P50" si="9">ROUND(O42/12,1)</f>
        <v>76.8</v>
      </c>
    </row>
    <row r="43" spans="2:16" ht="22.5" customHeight="1">
      <c r="B43" s="338">
        <f t="shared" ref="B43:N43" si="10">B27</f>
        <v>2017</v>
      </c>
      <c r="C43" s="336">
        <f t="shared" si="10"/>
        <v>21.3</v>
      </c>
      <c r="D43" s="336">
        <f t="shared" si="10"/>
        <v>31.4</v>
      </c>
      <c r="E43" s="336">
        <f t="shared" si="10"/>
        <v>4.8</v>
      </c>
      <c r="F43" s="336">
        <f t="shared" si="10"/>
        <v>38.9</v>
      </c>
      <c r="G43" s="336">
        <f t="shared" si="10"/>
        <v>27.9</v>
      </c>
      <c r="H43" s="336">
        <f t="shared" si="10"/>
        <v>23.3</v>
      </c>
      <c r="I43" s="336">
        <f t="shared" si="10"/>
        <v>327.8</v>
      </c>
      <c r="J43" s="336">
        <f t="shared" si="10"/>
        <v>231.3</v>
      </c>
      <c r="K43" s="336">
        <f t="shared" si="10"/>
        <v>37.6</v>
      </c>
      <c r="L43" s="336">
        <f t="shared" si="10"/>
        <v>25.5</v>
      </c>
      <c r="M43" s="336">
        <f t="shared" si="10"/>
        <v>24.7</v>
      </c>
      <c r="N43" s="353">
        <f t="shared" si="10"/>
        <v>35.9</v>
      </c>
      <c r="O43" s="338">
        <f t="shared" si="8"/>
        <v>830.4</v>
      </c>
      <c r="P43" s="339">
        <f t="shared" si="9"/>
        <v>69.2</v>
      </c>
    </row>
    <row r="44" spans="2:16" ht="22.5" customHeight="1">
      <c r="B44" s="338">
        <f t="shared" ref="B44:N44" si="11">B28</f>
        <v>2018</v>
      </c>
      <c r="C44" s="336">
        <f t="shared" si="11"/>
        <v>21</v>
      </c>
      <c r="D44" s="336">
        <f t="shared" si="11"/>
        <v>40.5</v>
      </c>
      <c r="E44" s="336">
        <f t="shared" si="11"/>
        <v>76.599999999999994</v>
      </c>
      <c r="F44" s="336">
        <f t="shared" si="11"/>
        <v>132.80000000000001</v>
      </c>
      <c r="G44" s="336">
        <f t="shared" si="11"/>
        <v>147.69999999999999</v>
      </c>
      <c r="H44" s="336">
        <f t="shared" si="11"/>
        <v>162.30000000000001</v>
      </c>
      <c r="I44" s="336">
        <f t="shared" si="11"/>
        <v>152.9</v>
      </c>
      <c r="J44" s="336">
        <f t="shared" si="11"/>
        <v>156.80000000000001</v>
      </c>
      <c r="K44" s="336">
        <f t="shared" si="11"/>
        <v>82.7</v>
      </c>
      <c r="L44" s="336">
        <f t="shared" si="11"/>
        <v>153.19999999999999</v>
      </c>
      <c r="M44" s="336">
        <f t="shared" si="11"/>
        <v>73.900000000000006</v>
      </c>
      <c r="N44" s="353">
        <f t="shared" si="11"/>
        <v>26.8</v>
      </c>
      <c r="O44" s="338">
        <f t="shared" si="8"/>
        <v>1227.2</v>
      </c>
      <c r="P44" s="339">
        <f t="shared" si="9"/>
        <v>102.3</v>
      </c>
    </row>
    <row r="45" spans="2:16" ht="22.5" customHeight="1">
      <c r="B45" s="338">
        <f t="shared" ref="B45:N45" si="12">B29</f>
        <v>2019</v>
      </c>
      <c r="C45" s="336">
        <f t="shared" si="12"/>
        <v>1.1000000000000001</v>
      </c>
      <c r="D45" s="336">
        <f t="shared" si="12"/>
        <v>30.2</v>
      </c>
      <c r="E45" s="336">
        <f t="shared" si="12"/>
        <v>43.7</v>
      </c>
      <c r="F45" s="336">
        <f t="shared" si="12"/>
        <v>43.9</v>
      </c>
      <c r="G45" s="336">
        <f t="shared" si="12"/>
        <v>20.100000000000001</v>
      </c>
      <c r="H45" s="336">
        <f t="shared" si="12"/>
        <v>56.3</v>
      </c>
      <c r="I45" s="336">
        <f t="shared" si="12"/>
        <v>174.5</v>
      </c>
      <c r="J45" s="336">
        <f t="shared" si="12"/>
        <v>121.1</v>
      </c>
      <c r="K45" s="336">
        <f t="shared" si="12"/>
        <v>181.1</v>
      </c>
      <c r="L45" s="336">
        <f t="shared" si="12"/>
        <v>81</v>
      </c>
      <c r="M45" s="336">
        <f t="shared" si="12"/>
        <v>124.6</v>
      </c>
      <c r="N45" s="353">
        <f t="shared" si="12"/>
        <v>37.4</v>
      </c>
      <c r="O45" s="338">
        <f t="shared" si="8"/>
        <v>915</v>
      </c>
      <c r="P45" s="339">
        <f t="shared" si="9"/>
        <v>76.3</v>
      </c>
    </row>
    <row r="46" spans="2:16" ht="22.5" customHeight="1">
      <c r="B46" s="338">
        <f t="shared" ref="B46:N46" si="13">B30</f>
        <v>2020</v>
      </c>
      <c r="C46" s="336">
        <f t="shared" si="13"/>
        <v>46</v>
      </c>
      <c r="D46" s="336">
        <f t="shared" si="13"/>
        <v>72.3</v>
      </c>
      <c r="E46" s="336">
        <f t="shared" si="13"/>
        <v>23</v>
      </c>
      <c r="F46" s="336">
        <f t="shared" si="13"/>
        <v>20.7</v>
      </c>
      <c r="G46" s="336">
        <f t="shared" si="13"/>
        <v>101.3</v>
      </c>
      <c r="H46" s="336">
        <f t="shared" si="13"/>
        <v>144</v>
      </c>
      <c r="I46" s="336">
        <f t="shared" si="13"/>
        <v>329.4</v>
      </c>
      <c r="J46" s="336">
        <f t="shared" si="13"/>
        <v>400</v>
      </c>
      <c r="K46" s="336">
        <f t="shared" si="13"/>
        <v>257.7</v>
      </c>
      <c r="L46" s="336">
        <f t="shared" si="13"/>
        <v>12.6</v>
      </c>
      <c r="M46" s="336">
        <f t="shared" si="13"/>
        <v>72</v>
      </c>
      <c r="N46" s="353">
        <f t="shared" si="13"/>
        <v>9.6999999999999993</v>
      </c>
      <c r="O46" s="338">
        <f t="shared" si="8"/>
        <v>1488.7</v>
      </c>
      <c r="P46" s="339">
        <f t="shared" si="9"/>
        <v>124.1</v>
      </c>
    </row>
    <row r="47" spans="2:16" ht="22.5" customHeight="1">
      <c r="B47" s="338">
        <f t="shared" ref="B47:N47" si="14">B31</f>
        <v>2021</v>
      </c>
      <c r="C47" s="336">
        <f t="shared" si="14"/>
        <v>25.3</v>
      </c>
      <c r="D47" s="336">
        <f t="shared" si="14"/>
        <v>9.6</v>
      </c>
      <c r="E47" s="336">
        <f t="shared" si="14"/>
        <v>112.8</v>
      </c>
      <c r="F47" s="336">
        <f t="shared" si="14"/>
        <v>110.6</v>
      </c>
      <c r="G47" s="336">
        <f t="shared" si="14"/>
        <v>132.30000000000001</v>
      </c>
      <c r="H47" s="336">
        <f t="shared" si="14"/>
        <v>70.900000000000006</v>
      </c>
      <c r="I47" s="336">
        <f t="shared" si="14"/>
        <v>121.6</v>
      </c>
      <c r="J47" s="336">
        <f t="shared" si="14"/>
        <v>217.8</v>
      </c>
      <c r="K47" s="336">
        <f t="shared" si="14"/>
        <v>206</v>
      </c>
      <c r="L47" s="336">
        <f t="shared" si="14"/>
        <v>55.9</v>
      </c>
      <c r="M47" s="336">
        <f t="shared" si="14"/>
        <v>126.2</v>
      </c>
      <c r="N47" s="353">
        <f t="shared" si="14"/>
        <v>18.3</v>
      </c>
      <c r="O47" s="338">
        <f t="shared" si="8"/>
        <v>1207.3</v>
      </c>
      <c r="P47" s="339">
        <f t="shared" si="9"/>
        <v>100.6</v>
      </c>
    </row>
    <row r="48" spans="2:16" ht="22.5" customHeight="1">
      <c r="B48" s="338">
        <f t="shared" ref="B48:N48" si="15">B32</f>
        <v>2022</v>
      </c>
      <c r="C48" s="336">
        <f t="shared" si="15"/>
        <v>8.6</v>
      </c>
      <c r="D48" s="336">
        <f t="shared" si="15"/>
        <v>4.7</v>
      </c>
      <c r="E48" s="336">
        <f t="shared" si="15"/>
        <v>72.099999999999994</v>
      </c>
      <c r="F48" s="336">
        <f t="shared" si="15"/>
        <v>52.2</v>
      </c>
      <c r="G48" s="336">
        <f t="shared" si="15"/>
        <v>2.9</v>
      </c>
      <c r="H48" s="336">
        <f t="shared" si="15"/>
        <v>352.4</v>
      </c>
      <c r="I48" s="336">
        <f t="shared" si="15"/>
        <v>178.4</v>
      </c>
      <c r="J48" s="336">
        <f t="shared" si="15"/>
        <v>468.7</v>
      </c>
      <c r="K48" s="336">
        <f t="shared" si="15"/>
        <v>165.9</v>
      </c>
      <c r="L48" s="336">
        <f t="shared" si="15"/>
        <v>160</v>
      </c>
      <c r="M48" s="336">
        <f t="shared" si="15"/>
        <v>72.900000000000006</v>
      </c>
      <c r="N48" s="353">
        <f t="shared" si="15"/>
        <v>31.9</v>
      </c>
      <c r="O48" s="338">
        <f t="shared" si="8"/>
        <v>1570.7</v>
      </c>
      <c r="P48" s="339">
        <f t="shared" si="9"/>
        <v>130.9</v>
      </c>
    </row>
    <row r="49" spans="2:16" ht="22.5" customHeight="1">
      <c r="B49" s="338">
        <f t="shared" ref="B49:N49" si="16">B33</f>
        <v>2023</v>
      </c>
      <c r="C49" s="336">
        <f t="shared" si="16"/>
        <v>30.5</v>
      </c>
      <c r="D49" s="336">
        <f t="shared" si="16"/>
        <v>0.1</v>
      </c>
      <c r="E49" s="336">
        <f t="shared" si="16"/>
        <v>6.4</v>
      </c>
      <c r="F49" s="336">
        <f t="shared" si="16"/>
        <v>54.6</v>
      </c>
      <c r="G49" s="336">
        <f t="shared" si="16"/>
        <v>132.9</v>
      </c>
      <c r="H49" s="336">
        <f t="shared" si="16"/>
        <v>138.1</v>
      </c>
      <c r="I49" s="336">
        <f t="shared" si="16"/>
        <v>507</v>
      </c>
      <c r="J49" s="336">
        <f t="shared" si="16"/>
        <v>225</v>
      </c>
      <c r="K49" s="336">
        <f t="shared" si="16"/>
        <v>166.1</v>
      </c>
      <c r="L49" s="336">
        <f t="shared" si="16"/>
        <v>39.6</v>
      </c>
      <c r="M49" s="336">
        <f t="shared" si="16"/>
        <v>122.9</v>
      </c>
      <c r="N49" s="353">
        <f t="shared" si="16"/>
        <v>106.5</v>
      </c>
      <c r="O49" s="338">
        <f t="shared" si="8"/>
        <v>1529.7</v>
      </c>
      <c r="P49" s="339">
        <f t="shared" si="9"/>
        <v>127.5</v>
      </c>
    </row>
    <row r="50" spans="2:16" ht="22.5" customHeight="1" thickBot="1">
      <c r="B50" s="356">
        <f t="shared" ref="B50:N50" si="17">B34</f>
        <v>2024</v>
      </c>
      <c r="C50" s="347">
        <f t="shared" si="17"/>
        <v>34.4</v>
      </c>
      <c r="D50" s="347">
        <f t="shared" si="17"/>
        <v>86.4</v>
      </c>
      <c r="E50" s="347">
        <f>E34</f>
        <v>26.1</v>
      </c>
      <c r="F50" s="347">
        <f t="shared" si="17"/>
        <v>45</v>
      </c>
      <c r="G50" s="347">
        <f t="shared" si="17"/>
        <v>157.4</v>
      </c>
      <c r="H50" s="347">
        <f t="shared" si="17"/>
        <v>120.4</v>
      </c>
      <c r="I50" s="347">
        <f t="shared" si="17"/>
        <v>556.1</v>
      </c>
      <c r="J50" s="347">
        <f t="shared" si="17"/>
        <v>197.6</v>
      </c>
      <c r="K50" s="347">
        <f t="shared" si="17"/>
        <v>354.2</v>
      </c>
      <c r="L50" s="347">
        <f t="shared" si="17"/>
        <v>150.30000000000001</v>
      </c>
      <c r="M50" s="347">
        <f t="shared" si="17"/>
        <v>62.1</v>
      </c>
      <c r="N50" s="357">
        <f t="shared" si="17"/>
        <v>16.100000000000001</v>
      </c>
      <c r="O50" s="356">
        <f t="shared" si="8"/>
        <v>1806.1</v>
      </c>
      <c r="P50" s="348">
        <f t="shared" si="9"/>
        <v>150.5</v>
      </c>
    </row>
    <row r="51" spans="2:16" ht="22.5" customHeight="1">
      <c r="B51" s="358" t="s">
        <v>46</v>
      </c>
      <c r="C51" s="359">
        <f>MAX(C41:C50)</f>
        <v>46</v>
      </c>
      <c r="D51" s="359">
        <f t="shared" ref="D51:P51" si="18">MAX(D41:D50)</f>
        <v>86.4</v>
      </c>
      <c r="E51" s="359">
        <f t="shared" si="18"/>
        <v>112.8</v>
      </c>
      <c r="F51" s="359">
        <f t="shared" si="18"/>
        <v>132.80000000000001</v>
      </c>
      <c r="G51" s="359">
        <f t="shared" si="18"/>
        <v>157.4</v>
      </c>
      <c r="H51" s="359">
        <f t="shared" si="18"/>
        <v>352.4</v>
      </c>
      <c r="I51" s="359">
        <f t="shared" si="18"/>
        <v>556.1</v>
      </c>
      <c r="J51" s="359">
        <f t="shared" si="18"/>
        <v>468.7</v>
      </c>
      <c r="K51" s="359">
        <f t="shared" si="18"/>
        <v>354.2</v>
      </c>
      <c r="L51" s="359">
        <f t="shared" si="18"/>
        <v>160</v>
      </c>
      <c r="M51" s="359">
        <f t="shared" si="18"/>
        <v>156.6</v>
      </c>
      <c r="N51" s="360">
        <f t="shared" si="18"/>
        <v>106.5</v>
      </c>
      <c r="O51" s="358">
        <f t="shared" si="18"/>
        <v>1806.1</v>
      </c>
      <c r="P51" s="361">
        <f t="shared" si="18"/>
        <v>150.5</v>
      </c>
    </row>
    <row r="52" spans="2:16" ht="22.5" customHeight="1">
      <c r="B52" s="338" t="s">
        <v>47</v>
      </c>
      <c r="C52" s="336">
        <f>MIN(C41:C50)</f>
        <v>1.1000000000000001</v>
      </c>
      <c r="D52" s="336">
        <f t="shared" ref="D52:P52" si="19">MIN(D41:D50)</f>
        <v>0.1</v>
      </c>
      <c r="E52" s="336">
        <f t="shared" si="19"/>
        <v>4.8</v>
      </c>
      <c r="F52" s="336">
        <f t="shared" si="19"/>
        <v>20.7</v>
      </c>
      <c r="G52" s="336">
        <f t="shared" si="19"/>
        <v>2.9</v>
      </c>
      <c r="H52" s="336">
        <f t="shared" si="19"/>
        <v>23.3</v>
      </c>
      <c r="I52" s="336">
        <f t="shared" si="19"/>
        <v>121.6</v>
      </c>
      <c r="J52" s="336">
        <f t="shared" si="19"/>
        <v>34</v>
      </c>
      <c r="K52" s="336">
        <f t="shared" si="19"/>
        <v>15.1</v>
      </c>
      <c r="L52" s="336">
        <f t="shared" si="19"/>
        <v>12.6</v>
      </c>
      <c r="M52" s="336">
        <f t="shared" si="19"/>
        <v>17.5</v>
      </c>
      <c r="N52" s="353">
        <f t="shared" si="19"/>
        <v>9.6999999999999993</v>
      </c>
      <c r="O52" s="338">
        <f>MIN(O41:O50)</f>
        <v>815.9</v>
      </c>
      <c r="P52" s="339">
        <f t="shared" si="19"/>
        <v>68</v>
      </c>
    </row>
    <row r="53" spans="2:16" ht="22.5" customHeight="1" thickBot="1">
      <c r="B53" s="340" t="s">
        <v>30</v>
      </c>
      <c r="C53" s="341">
        <f>ROUND(AVERAGE(C41:C50),1)</f>
        <v>23.1</v>
      </c>
      <c r="D53" s="341">
        <f t="shared" ref="D53:N53" si="20">ROUND(AVERAGE(D41:D50),1)</f>
        <v>36</v>
      </c>
      <c r="E53" s="341">
        <f t="shared" si="20"/>
        <v>41</v>
      </c>
      <c r="F53" s="341">
        <f t="shared" si="20"/>
        <v>70.3</v>
      </c>
      <c r="G53" s="341">
        <f t="shared" si="20"/>
        <v>91.7</v>
      </c>
      <c r="H53" s="341">
        <f t="shared" si="20"/>
        <v>116.9</v>
      </c>
      <c r="I53" s="341">
        <f t="shared" si="20"/>
        <v>280.2</v>
      </c>
      <c r="J53" s="341">
        <f t="shared" si="20"/>
        <v>211.5</v>
      </c>
      <c r="K53" s="341">
        <f t="shared" si="20"/>
        <v>152</v>
      </c>
      <c r="L53" s="341">
        <f t="shared" si="20"/>
        <v>82.5</v>
      </c>
      <c r="M53" s="341">
        <f t="shared" si="20"/>
        <v>85.3</v>
      </c>
      <c r="N53" s="354">
        <f t="shared" si="20"/>
        <v>40.9</v>
      </c>
      <c r="O53" s="355">
        <f>ROUND(AVERAGE(O41:O50),1)</f>
        <v>1231.3</v>
      </c>
      <c r="P53" s="342">
        <f>ROUND(AVERAGE(P41:P50),1)</f>
        <v>102.6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22.7</v>
      </c>
      <c r="D3" s="309">
        <f>All!D5</f>
        <v>7.2</v>
      </c>
      <c r="E3" s="309">
        <f>All!E5</f>
        <v>37.299999999999997</v>
      </c>
      <c r="F3" s="309">
        <f>All!F5</f>
        <v>48.2</v>
      </c>
      <c r="G3" s="309">
        <f>All!G5</f>
        <v>67.099999999999994</v>
      </c>
      <c r="H3" s="309">
        <f>All!H5</f>
        <v>24.5</v>
      </c>
      <c r="I3" s="309">
        <f>All!I5</f>
        <v>144.1</v>
      </c>
      <c r="J3" s="309">
        <f>All!J5</f>
        <v>992.7</v>
      </c>
      <c r="K3" s="309">
        <f>All!K5</f>
        <v>20.2</v>
      </c>
      <c r="L3" s="309">
        <f>All!L5</f>
        <v>19.3</v>
      </c>
      <c r="M3" s="309">
        <f>All!M5</f>
        <v>49.9</v>
      </c>
      <c r="N3" s="309">
        <f>All!N5</f>
        <v>15.1</v>
      </c>
      <c r="O3" s="309">
        <f>All!O5</f>
        <v>1448.3</v>
      </c>
      <c r="P3" s="311">
        <f>All!P5</f>
        <v>120.7</v>
      </c>
    </row>
    <row r="4" spans="2:16" hidden="1" outlineLevel="1">
      <c r="B4" s="310">
        <f>All!B6</f>
        <v>1996</v>
      </c>
      <c r="C4" s="309">
        <f>All!C6</f>
        <v>29.1</v>
      </c>
      <c r="D4" s="309">
        <f>All!D6</f>
        <v>5.7</v>
      </c>
      <c r="E4" s="309">
        <f>All!E6</f>
        <v>115.1</v>
      </c>
      <c r="F4" s="309">
        <f>All!F6</f>
        <v>48.1</v>
      </c>
      <c r="G4" s="309">
        <f>All!G6</f>
        <v>20</v>
      </c>
      <c r="H4" s="309">
        <f>All!H6</f>
        <v>179.2</v>
      </c>
      <c r="I4" s="309">
        <f>All!I6</f>
        <v>152.80000000000001</v>
      </c>
      <c r="J4" s="309">
        <f>All!J6</f>
        <v>74.099999999999994</v>
      </c>
      <c r="K4" s="309">
        <f>All!K6</f>
        <v>6.4</v>
      </c>
      <c r="L4" s="309">
        <f>All!L6</f>
        <v>92.2</v>
      </c>
      <c r="M4" s="309">
        <f>All!M6</f>
        <v>72.099999999999994</v>
      </c>
      <c r="N4" s="309">
        <f>All!N6</f>
        <v>35.299999999999997</v>
      </c>
      <c r="O4" s="309">
        <f>All!O6</f>
        <v>830.1</v>
      </c>
      <c r="P4" s="311">
        <f>All!P6</f>
        <v>69.2</v>
      </c>
    </row>
    <row r="5" spans="2:16" hidden="1" outlineLevel="1">
      <c r="B5" s="310">
        <f>All!B7</f>
        <v>1997</v>
      </c>
      <c r="C5" s="309">
        <f>All!C7</f>
        <v>20.5</v>
      </c>
      <c r="D5" s="309">
        <f>All!D7</f>
        <v>32.5</v>
      </c>
      <c r="E5" s="309">
        <f>All!E7</f>
        <v>29.6</v>
      </c>
      <c r="F5" s="309">
        <f>All!F7</f>
        <v>69.5</v>
      </c>
      <c r="G5" s="309">
        <f>All!G7</f>
        <v>232.8</v>
      </c>
      <c r="H5" s="309">
        <f>All!H7</f>
        <v>204.4</v>
      </c>
      <c r="I5" s="309">
        <f>All!I7</f>
        <v>298.7</v>
      </c>
      <c r="J5" s="309">
        <f>All!J7</f>
        <v>87.2</v>
      </c>
      <c r="K5" s="309">
        <f>All!K7</f>
        <v>16.100000000000001</v>
      </c>
      <c r="L5" s="309">
        <f>All!L7</f>
        <v>8.6999999999999993</v>
      </c>
      <c r="M5" s="309">
        <f>All!M7</f>
        <v>116.7</v>
      </c>
      <c r="N5" s="309">
        <f>All!N7</f>
        <v>40.200000000000003</v>
      </c>
      <c r="O5" s="309">
        <f>All!O7</f>
        <v>1156.9000000000001</v>
      </c>
      <c r="P5" s="311">
        <f>All!P7</f>
        <v>96.4</v>
      </c>
    </row>
    <row r="6" spans="2:16" hidden="1" outlineLevel="1">
      <c r="B6" s="310">
        <f>All!B8</f>
        <v>1998</v>
      </c>
      <c r="C6" s="309">
        <f>All!C8</f>
        <v>40.1</v>
      </c>
      <c r="D6" s="309">
        <f>All!D8</f>
        <v>54.2</v>
      </c>
      <c r="E6" s="309">
        <f>All!E8</f>
        <v>35</v>
      </c>
      <c r="F6" s="309">
        <f>All!F8</f>
        <v>160.6</v>
      </c>
      <c r="G6" s="309">
        <f>All!G8</f>
        <v>95.5</v>
      </c>
      <c r="H6" s="309">
        <f>All!H8</f>
        <v>281.7</v>
      </c>
      <c r="I6" s="309">
        <f>All!I8</f>
        <v>295.60000000000002</v>
      </c>
      <c r="J6" s="309">
        <f>All!J8</f>
        <v>491.8</v>
      </c>
      <c r="K6" s="309">
        <f>All!K8</f>
        <v>168</v>
      </c>
      <c r="L6" s="309">
        <f>All!L8</f>
        <v>24.3</v>
      </c>
      <c r="M6" s="309">
        <f>All!M8</f>
        <v>55.6</v>
      </c>
      <c r="N6" s="309">
        <f>All!N8</f>
        <v>9.1999999999999993</v>
      </c>
      <c r="O6" s="309">
        <f>All!O8</f>
        <v>1711.6</v>
      </c>
      <c r="P6" s="311">
        <f>All!P8</f>
        <v>142.6</v>
      </c>
    </row>
    <row r="7" spans="2:16" hidden="1" outlineLevel="1">
      <c r="B7" s="310">
        <f>All!B9</f>
        <v>1999</v>
      </c>
      <c r="C7" s="309">
        <f>All!C9</f>
        <v>8</v>
      </c>
      <c r="D7" s="309">
        <f>All!D9</f>
        <v>7.8</v>
      </c>
      <c r="E7" s="309">
        <f>All!E9</f>
        <v>59.9</v>
      </c>
      <c r="F7" s="309">
        <f>All!F9</f>
        <v>90.1</v>
      </c>
      <c r="G7" s="309">
        <f>All!G9</f>
        <v>178.8</v>
      </c>
      <c r="H7" s="309">
        <f>All!H9</f>
        <v>105.1</v>
      </c>
      <c r="I7" s="309">
        <f>All!I9</f>
        <v>175.6</v>
      </c>
      <c r="J7" s="309">
        <f>All!J9</f>
        <v>497.4</v>
      </c>
      <c r="K7" s="309">
        <f>All!K9</f>
        <v>532.6</v>
      </c>
      <c r="L7" s="309">
        <f>All!L9</f>
        <v>111.3</v>
      </c>
      <c r="M7" s="309">
        <f>All!M9</f>
        <v>36.6</v>
      </c>
      <c r="N7" s="309">
        <f>All!N9</f>
        <v>23.4</v>
      </c>
      <c r="O7" s="309">
        <f>All!O9</f>
        <v>1826.6</v>
      </c>
      <c r="P7" s="311">
        <f>All!P9</f>
        <v>152.19999999999999</v>
      </c>
    </row>
    <row r="8" spans="2:16" hidden="1" outlineLevel="1">
      <c r="B8" s="310">
        <f>All!B10</f>
        <v>2000</v>
      </c>
      <c r="C8" s="309">
        <f>All!C10</f>
        <v>63</v>
      </c>
      <c r="D8" s="309">
        <f>All!D10</f>
        <v>2.9</v>
      </c>
      <c r="E8" s="309">
        <f>All!E10</f>
        <v>3.7</v>
      </c>
      <c r="F8" s="309">
        <f>All!F10</f>
        <v>38.1</v>
      </c>
      <c r="G8" s="309">
        <f>All!G10</f>
        <v>62.1</v>
      </c>
      <c r="H8" s="309">
        <f>All!H10</f>
        <v>204.4</v>
      </c>
      <c r="I8" s="309">
        <f>All!I10</f>
        <v>60.8</v>
      </c>
      <c r="J8" s="309">
        <f>All!J10</f>
        <v>608.1</v>
      </c>
      <c r="K8" s="309">
        <f>All!K10</f>
        <v>298.10000000000002</v>
      </c>
      <c r="L8" s="309">
        <f>All!L10</f>
        <v>34.4</v>
      </c>
      <c r="M8" s="309">
        <f>All!M10</f>
        <v>24.8</v>
      </c>
      <c r="N8" s="309">
        <f>All!N10</f>
        <v>24.4</v>
      </c>
      <c r="O8" s="309">
        <f>All!O10</f>
        <v>1424.8</v>
      </c>
      <c r="P8" s="311">
        <f>All!P10</f>
        <v>118.7</v>
      </c>
    </row>
    <row r="9" spans="2:16" hidden="1" outlineLevel="1">
      <c r="B9" s="310">
        <f>All!B11</f>
        <v>2001</v>
      </c>
      <c r="C9" s="309">
        <f>All!C11</f>
        <v>66.900000000000006</v>
      </c>
      <c r="D9" s="309">
        <f>All!D11</f>
        <v>40.4</v>
      </c>
      <c r="E9" s="309">
        <f>All!E11</f>
        <v>12.7</v>
      </c>
      <c r="F9" s="309">
        <f>All!F11</f>
        <v>18.7</v>
      </c>
      <c r="G9" s="309">
        <f>All!G11</f>
        <v>17.8</v>
      </c>
      <c r="H9" s="309">
        <f>All!H11</f>
        <v>200.2</v>
      </c>
      <c r="I9" s="309">
        <f>All!I11</f>
        <v>402</v>
      </c>
      <c r="J9" s="309">
        <f>All!J11</f>
        <v>136.6</v>
      </c>
      <c r="K9" s="309">
        <f>All!K11</f>
        <v>15</v>
      </c>
      <c r="L9" s="309">
        <f>All!L11</f>
        <v>47.5</v>
      </c>
      <c r="M9" s="309">
        <f>All!M11</f>
        <v>8.1999999999999993</v>
      </c>
      <c r="N9" s="309">
        <f>All!N11</f>
        <v>20.8</v>
      </c>
      <c r="O9" s="309">
        <f>All!O11</f>
        <v>986.8</v>
      </c>
      <c r="P9" s="311">
        <f>All!P11</f>
        <v>82.2</v>
      </c>
    </row>
    <row r="10" spans="2:16" hidden="1" outlineLevel="1">
      <c r="B10" s="310">
        <f>All!B12</f>
        <v>2002</v>
      </c>
      <c r="C10" s="309">
        <f>All!C12</f>
        <v>22.5</v>
      </c>
      <c r="D10" s="309">
        <f>All!D12</f>
        <v>7</v>
      </c>
      <c r="E10" s="309">
        <f>All!E12</f>
        <v>29.3</v>
      </c>
      <c r="F10" s="309">
        <f>All!F12</f>
        <v>179.5</v>
      </c>
      <c r="G10" s="309">
        <f>All!G12</f>
        <v>177.3</v>
      </c>
      <c r="H10" s="309">
        <f>All!H12</f>
        <v>60.8</v>
      </c>
      <c r="I10" s="309">
        <f>All!I12</f>
        <v>296.10000000000002</v>
      </c>
      <c r="J10" s="309">
        <f>All!J12</f>
        <v>428.2</v>
      </c>
      <c r="K10" s="309">
        <f>All!K12</f>
        <v>57.5</v>
      </c>
      <c r="L10" s="309">
        <f>All!L12</f>
        <v>78.3</v>
      </c>
      <c r="M10" s="309">
        <f>All!M12</f>
        <v>36.299999999999997</v>
      </c>
      <c r="N10" s="309">
        <f>All!N12</f>
        <v>14.8</v>
      </c>
      <c r="O10" s="309">
        <f>All!O12</f>
        <v>1387.6</v>
      </c>
      <c r="P10" s="311">
        <f>All!P12</f>
        <v>115.6</v>
      </c>
    </row>
    <row r="11" spans="2:16" hidden="1" outlineLevel="1">
      <c r="B11" s="310">
        <f>All!B13</f>
        <v>2003</v>
      </c>
      <c r="C11" s="309">
        <f>All!C13</f>
        <v>20.9</v>
      </c>
      <c r="D11" s="309">
        <f>All!D13</f>
        <v>39</v>
      </c>
      <c r="E11" s="309">
        <f>All!E13</f>
        <v>22.5</v>
      </c>
      <c r="F11" s="309">
        <f>All!F13</f>
        <v>180</v>
      </c>
      <c r="G11" s="309">
        <f>All!G13</f>
        <v>105.5</v>
      </c>
      <c r="H11" s="309">
        <f>All!H13</f>
        <v>221.8</v>
      </c>
      <c r="I11" s="309">
        <f>All!I13</f>
        <v>290.2</v>
      </c>
      <c r="J11" s="309">
        <f>All!J13</f>
        <v>257.89999999999998</v>
      </c>
      <c r="K11" s="309">
        <f>All!K13</f>
        <v>201.9</v>
      </c>
      <c r="L11" s="309">
        <f>All!L13</f>
        <v>23</v>
      </c>
      <c r="M11" s="309">
        <f>All!M13</f>
        <v>53.6</v>
      </c>
      <c r="N11" s="309">
        <f>All!N13</f>
        <v>17.100000000000001</v>
      </c>
      <c r="O11" s="309">
        <f>All!O13</f>
        <v>1433.4</v>
      </c>
      <c r="P11" s="311">
        <f>All!P13</f>
        <v>119.5</v>
      </c>
    </row>
    <row r="12" spans="2:16" hidden="1" outlineLevel="1">
      <c r="B12" s="310">
        <f>All!B14</f>
        <v>2004</v>
      </c>
      <c r="C12" s="309">
        <f>All!C14</f>
        <v>27.3</v>
      </c>
      <c r="D12" s="309">
        <f>All!D14</f>
        <v>26.3</v>
      </c>
      <c r="E12" s="309">
        <f>All!E14</f>
        <v>15.7</v>
      </c>
      <c r="F12" s="309">
        <f>All!F14</f>
        <v>80.2</v>
      </c>
      <c r="G12" s="309">
        <f>All!G14</f>
        <v>140.30000000000001</v>
      </c>
      <c r="H12" s="309">
        <f>All!H14</f>
        <v>211.1</v>
      </c>
      <c r="I12" s="309">
        <f>All!I14</f>
        <v>321.89999999999998</v>
      </c>
      <c r="J12" s="309">
        <f>All!J14</f>
        <v>131.19999999999999</v>
      </c>
      <c r="K12" s="309">
        <f>All!K14</f>
        <v>282.60000000000002</v>
      </c>
      <c r="L12" s="309">
        <f>All!L14</f>
        <v>1.8</v>
      </c>
      <c r="M12" s="309">
        <f>All!M14</f>
        <v>70.5</v>
      </c>
      <c r="N12" s="309">
        <f>All!N14</f>
        <v>32</v>
      </c>
      <c r="O12" s="309">
        <f>All!O14</f>
        <v>1340.9</v>
      </c>
      <c r="P12" s="311">
        <f>All!P14</f>
        <v>111.7</v>
      </c>
    </row>
    <row r="13" spans="2:16" hidden="1" outlineLevel="1">
      <c r="B13" s="310">
        <f>All!B15</f>
        <v>2005</v>
      </c>
      <c r="C13" s="309">
        <f>All!C15</f>
        <v>10.4</v>
      </c>
      <c r="D13" s="309">
        <f>All!D15</f>
        <v>34</v>
      </c>
      <c r="E13" s="309">
        <f>All!E15</f>
        <v>36.1</v>
      </c>
      <c r="F13" s="309">
        <f>All!F15</f>
        <v>77.2</v>
      </c>
      <c r="G13" s="309">
        <f>All!G15</f>
        <v>56.1</v>
      </c>
      <c r="H13" s="309">
        <f>All!H15</f>
        <v>147</v>
      </c>
      <c r="I13" s="309">
        <f>All!I15</f>
        <v>386.1</v>
      </c>
      <c r="J13" s="309">
        <f>All!J15</f>
        <v>270.5</v>
      </c>
      <c r="K13" s="309">
        <f>All!K15</f>
        <v>228.7</v>
      </c>
      <c r="L13" s="309">
        <f>All!L15</f>
        <v>30.9</v>
      </c>
      <c r="M13" s="309">
        <f>All!M15</f>
        <v>19.600000000000001</v>
      </c>
      <c r="N13" s="309">
        <f>All!N15</f>
        <v>37.6</v>
      </c>
      <c r="O13" s="309">
        <f>All!O15</f>
        <v>1334.2</v>
      </c>
      <c r="P13" s="311">
        <f>All!P15</f>
        <v>111.2</v>
      </c>
    </row>
    <row r="14" spans="2:16" hidden="1" outlineLevel="1">
      <c r="B14" s="310">
        <f>All!B16</f>
        <v>2006</v>
      </c>
      <c r="C14" s="309">
        <f>All!C16</f>
        <v>29.7</v>
      </c>
      <c r="D14" s="309">
        <f>All!D16</f>
        <v>18.899999999999999</v>
      </c>
      <c r="E14" s="309">
        <f>All!E16</f>
        <v>5</v>
      </c>
      <c r="F14" s="309">
        <f>All!F16</f>
        <v>77.3</v>
      </c>
      <c r="G14" s="309">
        <f>All!G16</f>
        <v>133.5</v>
      </c>
      <c r="H14" s="309">
        <f>All!H16</f>
        <v>226.8</v>
      </c>
      <c r="I14" s="309">
        <f>All!I16</f>
        <v>494.5</v>
      </c>
      <c r="J14" s="309">
        <f>All!J16</f>
        <v>58.2</v>
      </c>
      <c r="K14" s="309">
        <f>All!K16</f>
        <v>10.1</v>
      </c>
      <c r="L14" s="309">
        <f>All!L16</f>
        <v>10.5</v>
      </c>
      <c r="M14" s="309">
        <f>All!M16</f>
        <v>55</v>
      </c>
      <c r="N14" s="309">
        <f>All!N16</f>
        <v>19.7</v>
      </c>
      <c r="O14" s="309">
        <f>All!O16</f>
        <v>1139.2</v>
      </c>
      <c r="P14" s="311">
        <f>All!P16</f>
        <v>94.9</v>
      </c>
    </row>
    <row r="15" spans="2:16" hidden="1" outlineLevel="1">
      <c r="B15" s="310">
        <f>All!B17</f>
        <v>2007</v>
      </c>
      <c r="C15" s="309">
        <f>All!C17</f>
        <v>13</v>
      </c>
      <c r="D15" s="309">
        <f>All!D17</f>
        <v>25.5</v>
      </c>
      <c r="E15" s="309">
        <f>All!E17</f>
        <v>127.2</v>
      </c>
      <c r="F15" s="309">
        <f>All!F17</f>
        <v>28.1</v>
      </c>
      <c r="G15" s="309">
        <f>All!G17</f>
        <v>108.5</v>
      </c>
      <c r="H15" s="309">
        <f>All!H17</f>
        <v>123.5</v>
      </c>
      <c r="I15" s="309">
        <f>All!I17</f>
        <v>257</v>
      </c>
      <c r="J15" s="309">
        <f>All!J17</f>
        <v>414.6</v>
      </c>
      <c r="K15" s="309">
        <f>All!K17</f>
        <v>305.8</v>
      </c>
      <c r="L15" s="309">
        <f>All!L17</f>
        <v>30.7</v>
      </c>
      <c r="M15" s="309">
        <f>All!M17</f>
        <v>14.4</v>
      </c>
      <c r="N15" s="309">
        <f>All!N17</f>
        <v>22.8</v>
      </c>
      <c r="O15" s="309">
        <f>All!O17</f>
        <v>1471.1</v>
      </c>
      <c r="P15" s="311">
        <f>All!P17</f>
        <v>122.6</v>
      </c>
    </row>
    <row r="16" spans="2:16" hidden="1" outlineLevel="1">
      <c r="B16" s="310">
        <f>All!B18</f>
        <v>2008</v>
      </c>
      <c r="C16" s="309">
        <f>All!C18</f>
        <v>15</v>
      </c>
      <c r="D16" s="309">
        <f>All!D18</f>
        <v>7</v>
      </c>
      <c r="E16" s="309">
        <f>All!E18</f>
        <v>26</v>
      </c>
      <c r="F16" s="309">
        <f>All!F18</f>
        <v>46.1</v>
      </c>
      <c r="G16" s="309">
        <f>All!G18</f>
        <v>88.5</v>
      </c>
      <c r="H16" s="309">
        <f>All!H18</f>
        <v>118.1</v>
      </c>
      <c r="I16" s="309">
        <f>All!I18</f>
        <v>335.5</v>
      </c>
      <c r="J16" s="309">
        <f>All!J18</f>
        <v>114.2</v>
      </c>
      <c r="K16" s="309">
        <f>All!K18</f>
        <v>62.7</v>
      </c>
      <c r="L16" s="309">
        <f>All!L18</f>
        <v>34</v>
      </c>
      <c r="M16" s="309">
        <f>All!M18</f>
        <v>34.6</v>
      </c>
      <c r="N16" s="309">
        <f>All!N18</f>
        <v>27.9</v>
      </c>
      <c r="O16" s="309">
        <f>All!O18</f>
        <v>909.6</v>
      </c>
      <c r="P16" s="311">
        <f>All!P18</f>
        <v>75.8</v>
      </c>
    </row>
    <row r="17" spans="2:16" hidden="1" outlineLevel="1">
      <c r="B17" s="310">
        <f>All!B19</f>
        <v>2009</v>
      </c>
      <c r="C17" s="309">
        <f>All!C19</f>
        <v>15.2</v>
      </c>
      <c r="D17" s="309">
        <f>All!D19</f>
        <v>26.5</v>
      </c>
      <c r="E17" s="309">
        <f>All!E19</f>
        <v>67</v>
      </c>
      <c r="F17" s="309">
        <f>All!F19</f>
        <v>43</v>
      </c>
      <c r="G17" s="309">
        <f>All!G19</f>
        <v>117.9</v>
      </c>
      <c r="H17" s="309">
        <f>All!H19</f>
        <v>74.900000000000006</v>
      </c>
      <c r="I17" s="309">
        <f>All!I19</f>
        <v>364.9</v>
      </c>
      <c r="J17" s="309">
        <f>All!J19</f>
        <v>196.3</v>
      </c>
      <c r="K17" s="309">
        <f>All!K19</f>
        <v>16</v>
      </c>
      <c r="L17" s="309">
        <f>All!L19</f>
        <v>49.2</v>
      </c>
      <c r="M17" s="309">
        <f>All!M19</f>
        <v>59.1</v>
      </c>
      <c r="N17" s="309">
        <f>All!N19</f>
        <v>44.3</v>
      </c>
      <c r="O17" s="309">
        <f>All!O19</f>
        <v>1074.3</v>
      </c>
      <c r="P17" s="311">
        <f>All!P19</f>
        <v>89.5</v>
      </c>
    </row>
    <row r="18" spans="2:16" hidden="1" outlineLevel="1">
      <c r="B18" s="310">
        <f>All!B20</f>
        <v>2010</v>
      </c>
      <c r="C18" s="309">
        <f>All!C20</f>
        <v>55.5</v>
      </c>
      <c r="D18" s="309">
        <f>All!D20</f>
        <v>58.4</v>
      </c>
      <c r="E18" s="309">
        <f>All!E20</f>
        <v>79.2</v>
      </c>
      <c r="F18" s="309">
        <f>All!F20</f>
        <v>52.2</v>
      </c>
      <c r="G18" s="309">
        <f>All!G20</f>
        <v>168</v>
      </c>
      <c r="H18" s="309">
        <f>All!H20</f>
        <v>94.9</v>
      </c>
      <c r="I18" s="309">
        <f>All!I20</f>
        <v>447.1</v>
      </c>
      <c r="J18" s="309">
        <f>All!J20</f>
        <v>707</v>
      </c>
      <c r="K18" s="309">
        <f>All!K20</f>
        <v>402</v>
      </c>
      <c r="L18" s="309">
        <f>All!L20</f>
        <v>29.1</v>
      </c>
      <c r="M18" s="309">
        <f>All!M20</f>
        <v>12</v>
      </c>
      <c r="N18" s="309">
        <f>All!N20</f>
        <v>36.4</v>
      </c>
      <c r="O18" s="309">
        <f>All!O20</f>
        <v>2141.8000000000002</v>
      </c>
      <c r="P18" s="311">
        <f>All!P20</f>
        <v>178.5</v>
      </c>
    </row>
    <row r="19" spans="2:16" hidden="1" outlineLevel="1">
      <c r="B19" s="310">
        <f>All!B21</f>
        <v>2011</v>
      </c>
      <c r="C19" s="309">
        <f>All!C21</f>
        <v>8.8000000000000007</v>
      </c>
      <c r="D19" s="309">
        <f>All!D21</f>
        <v>55.8</v>
      </c>
      <c r="E19" s="309">
        <f>All!E21</f>
        <v>34.5</v>
      </c>
      <c r="F19" s="309">
        <f>All!F21</f>
        <v>96.2</v>
      </c>
      <c r="G19" s="309">
        <f>All!G21</f>
        <v>107.9</v>
      </c>
      <c r="H19" s="309">
        <f>All!H21</f>
        <v>462.6</v>
      </c>
      <c r="I19" s="309">
        <f>All!I21</f>
        <v>656.5</v>
      </c>
      <c r="J19" s="309">
        <f>All!J21</f>
        <v>151.19999999999999</v>
      </c>
      <c r="K19" s="309">
        <f>All!K21</f>
        <v>50.3</v>
      </c>
      <c r="L19" s="309">
        <f>All!L21</f>
        <v>18.100000000000001</v>
      </c>
      <c r="M19" s="309">
        <f>All!M21</f>
        <v>48.9</v>
      </c>
      <c r="N19" s="309">
        <f>All!N21</f>
        <v>13.6</v>
      </c>
      <c r="O19" s="309">
        <f>All!O21</f>
        <v>1704.4</v>
      </c>
      <c r="P19" s="311">
        <f>All!P21</f>
        <v>142</v>
      </c>
    </row>
    <row r="20" spans="2:16" hidden="1" outlineLevel="1">
      <c r="B20" s="310">
        <f>All!B22</f>
        <v>2012</v>
      </c>
      <c r="C20" s="309">
        <f>All!C22</f>
        <v>15.1</v>
      </c>
      <c r="D20" s="309">
        <f>All!D22</f>
        <v>2.4</v>
      </c>
      <c r="E20" s="309">
        <f>All!E22</f>
        <v>41.6</v>
      </c>
      <c r="F20" s="309">
        <f>All!F22</f>
        <v>113.5</v>
      </c>
      <c r="G20" s="309">
        <f>All!G22</f>
        <v>14.5</v>
      </c>
      <c r="H20" s="309">
        <f>All!H22</f>
        <v>91.1</v>
      </c>
      <c r="I20" s="309">
        <f>All!I22</f>
        <v>266.8</v>
      </c>
      <c r="J20" s="309">
        <f>All!J22</f>
        <v>647.9</v>
      </c>
      <c r="K20" s="309">
        <f>All!K22</f>
        <v>201.5</v>
      </c>
      <c r="L20" s="309">
        <f>All!L22</f>
        <v>100.7</v>
      </c>
      <c r="M20" s="309">
        <f>All!M22</f>
        <v>82.1</v>
      </c>
      <c r="N20" s="309">
        <f>All!N22</f>
        <v>65.400000000000006</v>
      </c>
      <c r="O20" s="309">
        <f>All!O22</f>
        <v>1642.6</v>
      </c>
      <c r="P20" s="311">
        <f>All!P22</f>
        <v>136.9</v>
      </c>
    </row>
    <row r="21" spans="2:16" hidden="1" outlineLevel="1">
      <c r="B21" s="310">
        <f>All!B23</f>
        <v>2013</v>
      </c>
      <c r="C21" s="309">
        <f>All!C23</f>
        <v>36.799999999999997</v>
      </c>
      <c r="D21" s="309">
        <f>All!D23</f>
        <v>64.8</v>
      </c>
      <c r="E21" s="309">
        <f>All!E23</f>
        <v>60.8</v>
      </c>
      <c r="F21" s="309">
        <f>All!F23</f>
        <v>61.8</v>
      </c>
      <c r="G21" s="309">
        <f>All!G23</f>
        <v>114.9</v>
      </c>
      <c r="H21" s="309">
        <f>All!H23</f>
        <v>94.4</v>
      </c>
      <c r="I21" s="309">
        <f>All!I23</f>
        <v>213.8</v>
      </c>
      <c r="J21" s="309">
        <f>All!J23</f>
        <v>120.6</v>
      </c>
      <c r="K21" s="309">
        <f>All!K23</f>
        <v>147.4</v>
      </c>
      <c r="L21" s="309">
        <f>All!L23</f>
        <v>5.7</v>
      </c>
      <c r="M21" s="309">
        <f>All!M23</f>
        <v>64.900000000000006</v>
      </c>
      <c r="N21" s="309">
        <f>All!N23</f>
        <v>32.799999999999997</v>
      </c>
      <c r="O21" s="309">
        <f>All!O23</f>
        <v>1018.7</v>
      </c>
      <c r="P21" s="311">
        <f>All!P23</f>
        <v>84.9</v>
      </c>
    </row>
    <row r="22" spans="2:16" hidden="1" outlineLevel="1">
      <c r="B22" s="310">
        <f>All!B24</f>
        <v>2014</v>
      </c>
      <c r="C22" s="309">
        <f>All!C24</f>
        <v>7</v>
      </c>
      <c r="D22" s="309">
        <f>All!D24</f>
        <v>17</v>
      </c>
      <c r="E22" s="309">
        <f>All!E24</f>
        <v>31.2</v>
      </c>
      <c r="F22" s="309">
        <f>All!F24</f>
        <v>85.6</v>
      </c>
      <c r="G22" s="309">
        <f>All!G24</f>
        <v>52.7</v>
      </c>
      <c r="H22" s="309">
        <f>All!H24</f>
        <v>69.3</v>
      </c>
      <c r="I22" s="309">
        <f>All!I24</f>
        <v>151.69999999999999</v>
      </c>
      <c r="J22" s="309">
        <f>All!J24</f>
        <v>242.3</v>
      </c>
      <c r="K22" s="309">
        <f>All!K24</f>
        <v>106.7</v>
      </c>
      <c r="L22" s="309">
        <f>All!L24</f>
        <v>117.2</v>
      </c>
      <c r="M22" s="309">
        <f>All!M24</f>
        <v>37.799999999999997</v>
      </c>
      <c r="N22" s="309">
        <f>All!N24</f>
        <v>81.599999999999994</v>
      </c>
      <c r="O22" s="309">
        <f>All!O24</f>
        <v>1000.1</v>
      </c>
      <c r="P22" s="311">
        <f>All!P24</f>
        <v>83.3</v>
      </c>
    </row>
    <row r="23" spans="2:16" collapsed="1">
      <c r="B23" s="310">
        <f>All!B25</f>
        <v>2015</v>
      </c>
      <c r="C23" s="309">
        <f>All!C25</f>
        <v>20.7</v>
      </c>
      <c r="D23" s="309">
        <f>All!D25</f>
        <v>23.1</v>
      </c>
      <c r="E23" s="309">
        <f>All!E25</f>
        <v>20.6</v>
      </c>
      <c r="F23" s="309">
        <f>All!F25</f>
        <v>116.8</v>
      </c>
      <c r="G23" s="309">
        <f>All!G25</f>
        <v>40.6</v>
      </c>
      <c r="H23" s="309">
        <f>All!H25</f>
        <v>64.099999999999994</v>
      </c>
      <c r="I23" s="309">
        <f>All!I25</f>
        <v>158.5</v>
      </c>
      <c r="J23" s="309">
        <f>All!J25</f>
        <v>63.1</v>
      </c>
      <c r="K23" s="309">
        <f>All!K25</f>
        <v>15.1</v>
      </c>
      <c r="L23" s="309">
        <f>All!L25</f>
        <v>73.099999999999994</v>
      </c>
      <c r="M23" s="309">
        <f>All!M25</f>
        <v>156.6</v>
      </c>
      <c r="N23" s="309">
        <f>All!N25</f>
        <v>63.6</v>
      </c>
      <c r="O23" s="309">
        <f>All!O25</f>
        <v>815.9</v>
      </c>
      <c r="P23" s="311">
        <f>All!P25</f>
        <v>68</v>
      </c>
    </row>
    <row r="24" spans="2:16">
      <c r="B24" s="310">
        <f>All!B26</f>
        <v>2016</v>
      </c>
      <c r="C24" s="309">
        <f>All!C26</f>
        <v>21.9</v>
      </c>
      <c r="D24" s="309">
        <f>All!D26</f>
        <v>61.7</v>
      </c>
      <c r="E24" s="309">
        <f>All!E26</f>
        <v>24.3</v>
      </c>
      <c r="F24" s="309">
        <f>All!F26</f>
        <v>87</v>
      </c>
      <c r="G24" s="309">
        <f>All!G26</f>
        <v>153.69999999999999</v>
      </c>
      <c r="H24" s="309">
        <f>All!H26</f>
        <v>36.799999999999997</v>
      </c>
      <c r="I24" s="309">
        <f>All!I26</f>
        <v>295.60000000000002</v>
      </c>
      <c r="J24" s="309">
        <f>All!J26</f>
        <v>34</v>
      </c>
      <c r="K24" s="309">
        <f>All!K26</f>
        <v>53.1</v>
      </c>
      <c r="L24" s="309">
        <f>All!L26</f>
        <v>73.8</v>
      </c>
      <c r="M24" s="309">
        <f>All!M26</f>
        <v>17.5</v>
      </c>
      <c r="N24" s="309">
        <f>All!N26</f>
        <v>62.7</v>
      </c>
      <c r="O24" s="309">
        <f>All!O26</f>
        <v>922.1</v>
      </c>
      <c r="P24" s="311">
        <f>All!P26</f>
        <v>76.8</v>
      </c>
    </row>
    <row r="25" spans="2:16">
      <c r="B25" s="310">
        <f>All!B27</f>
        <v>2017</v>
      </c>
      <c r="C25" s="309">
        <f>All!C27</f>
        <v>21.3</v>
      </c>
      <c r="D25" s="309">
        <f>All!D27</f>
        <v>31.4</v>
      </c>
      <c r="E25" s="309">
        <f>All!E27</f>
        <v>4.8</v>
      </c>
      <c r="F25" s="309">
        <f>All!F27</f>
        <v>38.9</v>
      </c>
      <c r="G25" s="309">
        <f>All!G27</f>
        <v>27.9</v>
      </c>
      <c r="H25" s="309">
        <f>All!H27</f>
        <v>23.3</v>
      </c>
      <c r="I25" s="309">
        <f>All!I27</f>
        <v>327.8</v>
      </c>
      <c r="J25" s="309">
        <f>All!J27</f>
        <v>231.3</v>
      </c>
      <c r="K25" s="309">
        <f>All!K27</f>
        <v>37.6</v>
      </c>
      <c r="L25" s="309">
        <f>All!L27</f>
        <v>25.5</v>
      </c>
      <c r="M25" s="309">
        <f>All!M27</f>
        <v>24.7</v>
      </c>
      <c r="N25" s="309">
        <f>All!N27</f>
        <v>35.9</v>
      </c>
      <c r="O25" s="309">
        <f>All!O27</f>
        <v>830.4</v>
      </c>
      <c r="P25" s="311">
        <f>All!P27</f>
        <v>69.2</v>
      </c>
    </row>
    <row r="26" spans="2:16">
      <c r="B26" s="310">
        <f>All!B28</f>
        <v>2018</v>
      </c>
      <c r="C26" s="309">
        <f>All!C28</f>
        <v>21</v>
      </c>
      <c r="D26" s="309">
        <f>All!D28</f>
        <v>40.5</v>
      </c>
      <c r="E26" s="309">
        <f>All!E28</f>
        <v>76.599999999999994</v>
      </c>
      <c r="F26" s="309">
        <f>All!F28</f>
        <v>132.80000000000001</v>
      </c>
      <c r="G26" s="309">
        <f>All!G28</f>
        <v>147.69999999999999</v>
      </c>
      <c r="H26" s="309">
        <f>All!H28</f>
        <v>162.30000000000001</v>
      </c>
      <c r="I26" s="309">
        <f>All!I28</f>
        <v>152.9</v>
      </c>
      <c r="J26" s="309">
        <f>All!J28</f>
        <v>156.80000000000001</v>
      </c>
      <c r="K26" s="309">
        <f>All!K28</f>
        <v>82.7</v>
      </c>
      <c r="L26" s="309">
        <f>All!L28</f>
        <v>153.19999999999999</v>
      </c>
      <c r="M26" s="309">
        <f>All!M28</f>
        <v>73.900000000000006</v>
      </c>
      <c r="N26" s="309">
        <f>All!N28</f>
        <v>26.8</v>
      </c>
      <c r="O26" s="309">
        <f>All!O28</f>
        <v>1227.2</v>
      </c>
      <c r="P26" s="311">
        <f>All!P28</f>
        <v>102.3</v>
      </c>
    </row>
    <row r="27" spans="2:16">
      <c r="B27" s="310">
        <f>All!B29</f>
        <v>2019</v>
      </c>
      <c r="C27" s="309">
        <f>All!C29</f>
        <v>1.1000000000000001</v>
      </c>
      <c r="D27" s="309">
        <f>All!D29</f>
        <v>30.2</v>
      </c>
      <c r="E27" s="309">
        <f>All!E29</f>
        <v>43.7</v>
      </c>
      <c r="F27" s="309">
        <f>All!F29</f>
        <v>43.9</v>
      </c>
      <c r="G27" s="309">
        <f>All!G29</f>
        <v>20.100000000000001</v>
      </c>
      <c r="H27" s="309">
        <f>All!H29</f>
        <v>56.3</v>
      </c>
      <c r="I27" s="309">
        <f>All!I29</f>
        <v>174.5</v>
      </c>
      <c r="J27" s="309">
        <f>All!J29</f>
        <v>121.1</v>
      </c>
      <c r="K27" s="309">
        <f>All!K29</f>
        <v>181.1</v>
      </c>
      <c r="L27" s="309">
        <f>All!L29</f>
        <v>81</v>
      </c>
      <c r="M27" s="309">
        <f>All!M29</f>
        <v>124.6</v>
      </c>
      <c r="N27" s="309">
        <f>All!N29</f>
        <v>37.4</v>
      </c>
      <c r="O27" s="309">
        <f>All!O29</f>
        <v>915</v>
      </c>
      <c r="P27" s="311">
        <f>All!P29</f>
        <v>76.3</v>
      </c>
    </row>
    <row r="28" spans="2:16">
      <c r="B28" s="310">
        <f>All!B30</f>
        <v>2020</v>
      </c>
      <c r="C28" s="309">
        <f>All!C30</f>
        <v>46</v>
      </c>
      <c r="D28" s="309">
        <f>All!D30</f>
        <v>72.3</v>
      </c>
      <c r="E28" s="309">
        <f>All!E30</f>
        <v>23</v>
      </c>
      <c r="F28" s="309">
        <f>All!F30</f>
        <v>20.7</v>
      </c>
      <c r="G28" s="309">
        <f>All!G30</f>
        <v>101.3</v>
      </c>
      <c r="H28" s="309">
        <f>All!H30</f>
        <v>144</v>
      </c>
      <c r="I28" s="309">
        <f>All!I30</f>
        <v>329.4</v>
      </c>
      <c r="J28" s="309">
        <f>All!J30</f>
        <v>400</v>
      </c>
      <c r="K28" s="309">
        <f>All!K30</f>
        <v>257.7</v>
      </c>
      <c r="L28" s="309">
        <f>All!L30</f>
        <v>12.6</v>
      </c>
      <c r="M28" s="309">
        <f>All!M30</f>
        <v>72</v>
      </c>
      <c r="N28" s="309">
        <f>All!N30</f>
        <v>9.6999999999999993</v>
      </c>
      <c r="O28" s="309">
        <f>All!O30</f>
        <v>1488.7</v>
      </c>
      <c r="P28" s="311">
        <f>All!P30</f>
        <v>124.1</v>
      </c>
    </row>
    <row r="29" spans="2:16">
      <c r="B29" s="310">
        <f>All!B31</f>
        <v>2021</v>
      </c>
      <c r="C29" s="309">
        <f>All!C31</f>
        <v>25.3</v>
      </c>
      <c r="D29" s="309">
        <f>All!D31</f>
        <v>9.6</v>
      </c>
      <c r="E29" s="309">
        <f>All!E31</f>
        <v>112.8</v>
      </c>
      <c r="F29" s="309">
        <f>All!F31</f>
        <v>110.6</v>
      </c>
      <c r="G29" s="309">
        <f>All!G31</f>
        <v>132.30000000000001</v>
      </c>
      <c r="H29" s="309">
        <f>All!H31</f>
        <v>70.900000000000006</v>
      </c>
      <c r="I29" s="309">
        <f>All!I31</f>
        <v>121.6</v>
      </c>
      <c r="J29" s="309">
        <f>All!J31</f>
        <v>217.8</v>
      </c>
      <c r="K29" s="309">
        <f>All!K31</f>
        <v>206</v>
      </c>
      <c r="L29" s="309">
        <f>All!L31</f>
        <v>55.9</v>
      </c>
      <c r="M29" s="309">
        <f>All!M31</f>
        <v>126.2</v>
      </c>
      <c r="N29" s="309">
        <f>All!N31</f>
        <v>18.3</v>
      </c>
      <c r="O29" s="309">
        <f>All!O31</f>
        <v>1207.3</v>
      </c>
      <c r="P29" s="311">
        <f>All!P31</f>
        <v>100.6</v>
      </c>
    </row>
    <row r="30" spans="2:16">
      <c r="B30" s="310">
        <f>All!B32</f>
        <v>2022</v>
      </c>
      <c r="C30" s="309">
        <f>All!C32</f>
        <v>8.6</v>
      </c>
      <c r="D30" s="309">
        <f>All!D32</f>
        <v>4.7</v>
      </c>
      <c r="E30" s="309">
        <f>All!E32</f>
        <v>72.099999999999994</v>
      </c>
      <c r="F30" s="309">
        <f>All!F32</f>
        <v>52.2</v>
      </c>
      <c r="G30" s="309">
        <f>All!G32</f>
        <v>2.9</v>
      </c>
      <c r="H30" s="309">
        <f>All!H32</f>
        <v>352.4</v>
      </c>
      <c r="I30" s="309">
        <f>All!I32</f>
        <v>178.4</v>
      </c>
      <c r="J30" s="309">
        <f>All!J32</f>
        <v>468.7</v>
      </c>
      <c r="K30" s="309">
        <f>All!K32</f>
        <v>165.9</v>
      </c>
      <c r="L30" s="309">
        <f>All!L32</f>
        <v>160</v>
      </c>
      <c r="M30" s="309">
        <f>All!M32</f>
        <v>72.900000000000006</v>
      </c>
      <c r="N30" s="309">
        <f>All!N32</f>
        <v>31.9</v>
      </c>
      <c r="O30" s="309">
        <f>All!O32</f>
        <v>1570.7</v>
      </c>
      <c r="P30" s="311">
        <f>All!P32</f>
        <v>130.9</v>
      </c>
    </row>
    <row r="31" spans="2:16">
      <c r="B31" s="310">
        <f>All!B33</f>
        <v>2023</v>
      </c>
      <c r="C31" s="309">
        <f>All!C33</f>
        <v>30.5</v>
      </c>
      <c r="D31" s="309">
        <f>All!D33</f>
        <v>0.1</v>
      </c>
      <c r="E31" s="309">
        <f>All!E33</f>
        <v>6.4</v>
      </c>
      <c r="F31" s="309">
        <f>All!F33</f>
        <v>54.6</v>
      </c>
      <c r="G31" s="309">
        <f>All!G33</f>
        <v>132.9</v>
      </c>
      <c r="H31" s="309">
        <f>All!H33</f>
        <v>138.1</v>
      </c>
      <c r="I31" s="309">
        <f>All!I33</f>
        <v>507</v>
      </c>
      <c r="J31" s="309">
        <f>All!J33</f>
        <v>225</v>
      </c>
      <c r="K31" s="309">
        <f>All!K33</f>
        <v>166.1</v>
      </c>
      <c r="L31" s="309">
        <f>All!L33</f>
        <v>39.6</v>
      </c>
      <c r="M31" s="309">
        <f>All!M33</f>
        <v>122.9</v>
      </c>
      <c r="N31" s="309">
        <f>All!N33</f>
        <v>106.5</v>
      </c>
      <c r="O31" s="309">
        <f>All!O33</f>
        <v>1529.7</v>
      </c>
      <c r="P31" s="311">
        <f>All!P33</f>
        <v>127.5</v>
      </c>
    </row>
    <row r="32" spans="2:16">
      <c r="B32" s="310">
        <f>All!B34</f>
        <v>2024</v>
      </c>
      <c r="C32" s="309">
        <f>All!C34</f>
        <v>34.4</v>
      </c>
      <c r="D32" s="309">
        <f>All!D34</f>
        <v>86.4</v>
      </c>
      <c r="E32" s="309">
        <f>All!E34</f>
        <v>26.1</v>
      </c>
      <c r="F32" s="309">
        <f>All!F34</f>
        <v>45</v>
      </c>
      <c r="G32" s="309">
        <f>All!G34</f>
        <v>157.4</v>
      </c>
      <c r="H32" s="309">
        <f>All!H34</f>
        <v>120.4</v>
      </c>
      <c r="I32" s="309">
        <f>All!I34</f>
        <v>556.1</v>
      </c>
      <c r="J32" s="309">
        <f>All!J34</f>
        <v>197.6</v>
      </c>
      <c r="K32" s="309">
        <f>All!K34</f>
        <v>354.2</v>
      </c>
      <c r="L32" s="309">
        <f>All!L34</f>
        <v>150.30000000000001</v>
      </c>
      <c r="M32" s="309">
        <f>All!M34</f>
        <v>62.1</v>
      </c>
      <c r="N32" s="309">
        <f>All!N34</f>
        <v>16.100000000000001</v>
      </c>
      <c r="O32" s="309">
        <f>All!O34</f>
        <v>1806.1</v>
      </c>
      <c r="P32" s="311">
        <f>All!P34</f>
        <v>150.5</v>
      </c>
    </row>
    <row r="33" spans="2:17">
      <c r="B33" s="467" t="s">
        <v>164</v>
      </c>
      <c r="C33" s="468">
        <f>ROUND(SUM(C23:C32)/10,1)</f>
        <v>23.1</v>
      </c>
      <c r="D33" s="468">
        <f t="shared" ref="D33:P33" si="0">ROUND(SUM(D23:D32)/10,1)</f>
        <v>36</v>
      </c>
      <c r="E33" s="468">
        <f t="shared" si="0"/>
        <v>41</v>
      </c>
      <c r="F33" s="468">
        <f t="shared" si="0"/>
        <v>70.3</v>
      </c>
      <c r="G33" s="468">
        <f t="shared" si="0"/>
        <v>91.7</v>
      </c>
      <c r="H33" s="468">
        <f t="shared" si="0"/>
        <v>116.9</v>
      </c>
      <c r="I33" s="468">
        <f t="shared" si="0"/>
        <v>280.2</v>
      </c>
      <c r="J33" s="468">
        <f t="shared" si="0"/>
        <v>211.5</v>
      </c>
      <c r="K33" s="468">
        <f t="shared" si="0"/>
        <v>152</v>
      </c>
      <c r="L33" s="468">
        <f t="shared" si="0"/>
        <v>82.5</v>
      </c>
      <c r="M33" s="468">
        <f t="shared" si="0"/>
        <v>85.3</v>
      </c>
      <c r="N33" s="468">
        <f t="shared" si="0"/>
        <v>40.9</v>
      </c>
      <c r="O33" s="468">
        <f t="shared" si="0"/>
        <v>1231.3</v>
      </c>
      <c r="P33" s="469">
        <f t="shared" si="0"/>
        <v>102.6</v>
      </c>
    </row>
    <row r="34" spans="2:17" ht="17.25" thickBot="1">
      <c r="B34" s="470" t="s">
        <v>163</v>
      </c>
      <c r="C34" s="471">
        <f>All!C37</f>
        <v>25.3</v>
      </c>
      <c r="D34" s="471">
        <f>All!D37</f>
        <v>29.8</v>
      </c>
      <c r="E34" s="471">
        <f>All!E37</f>
        <v>42.7</v>
      </c>
      <c r="F34" s="471">
        <f>All!F37</f>
        <v>76.599999999999994</v>
      </c>
      <c r="G34" s="471">
        <f>All!G37</f>
        <v>99.2</v>
      </c>
      <c r="H34" s="471">
        <f>All!H37</f>
        <v>145.5</v>
      </c>
      <c r="I34" s="471">
        <f>All!I37</f>
        <v>293.8</v>
      </c>
      <c r="J34" s="471">
        <f>All!J37</f>
        <v>291.39999999999998</v>
      </c>
      <c r="K34" s="471">
        <f>All!K37</f>
        <v>155</v>
      </c>
      <c r="L34" s="471">
        <f>All!L37</f>
        <v>56.4</v>
      </c>
      <c r="M34" s="471">
        <f>All!M37</f>
        <v>60.2</v>
      </c>
      <c r="N34" s="471">
        <f>All!N37</f>
        <v>34.1</v>
      </c>
      <c r="O34" s="471">
        <f>All!O37</f>
        <v>1309.9000000000001</v>
      </c>
      <c r="P34" s="472">
        <f>All!P37</f>
        <v>109.2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815.9</v>
      </c>
      <c r="D38" s="313" t="s">
        <v>30</v>
      </c>
      <c r="E38" s="314">
        <f>All!C53</f>
        <v>23.1</v>
      </c>
      <c r="F38" s="314">
        <f>All!D53</f>
        <v>36</v>
      </c>
      <c r="G38" s="314">
        <f>All!E53</f>
        <v>41</v>
      </c>
      <c r="H38" s="314">
        <f>All!F53</f>
        <v>70.3</v>
      </c>
      <c r="I38" s="314">
        <f>All!G53</f>
        <v>91.7</v>
      </c>
      <c r="J38" s="314">
        <f>All!H53</f>
        <v>116.9</v>
      </c>
      <c r="K38" s="314">
        <f>All!I53</f>
        <v>280.2</v>
      </c>
      <c r="L38" s="314">
        <f>All!J53</f>
        <v>211.5</v>
      </c>
      <c r="M38" s="314">
        <f>All!K53</f>
        <v>152</v>
      </c>
      <c r="N38" s="314">
        <f>All!L53</f>
        <v>82.5</v>
      </c>
      <c r="O38" s="314">
        <f>All!M53</f>
        <v>85.3</v>
      </c>
      <c r="P38" s="314">
        <f>All!N53</f>
        <v>40.9</v>
      </c>
      <c r="Q38" s="315">
        <f>All!P53</f>
        <v>102.6</v>
      </c>
    </row>
    <row r="39" spans="2:17">
      <c r="B39" s="310">
        <f t="shared" ref="B39:B48" si="1">B24</f>
        <v>2016</v>
      </c>
      <c r="C39" s="311">
        <f t="shared" ref="C39:C48" si="2">O24</f>
        <v>922.1</v>
      </c>
    </row>
    <row r="40" spans="2:17">
      <c r="B40" s="310">
        <f t="shared" si="1"/>
        <v>2017</v>
      </c>
      <c r="C40" s="311">
        <f t="shared" si="2"/>
        <v>830.4</v>
      </c>
    </row>
    <row r="41" spans="2:17">
      <c r="B41" s="310">
        <f t="shared" si="1"/>
        <v>2018</v>
      </c>
      <c r="C41" s="311">
        <f t="shared" si="2"/>
        <v>1227.2</v>
      </c>
    </row>
    <row r="42" spans="2:17">
      <c r="B42" s="310">
        <f t="shared" si="1"/>
        <v>2019</v>
      </c>
      <c r="C42" s="311">
        <f t="shared" si="2"/>
        <v>915</v>
      </c>
    </row>
    <row r="43" spans="2:17">
      <c r="B43" s="310">
        <f t="shared" si="1"/>
        <v>2020</v>
      </c>
      <c r="C43" s="311">
        <f t="shared" si="2"/>
        <v>1488.7</v>
      </c>
    </row>
    <row r="44" spans="2:17">
      <c r="B44" s="310">
        <f t="shared" si="1"/>
        <v>2021</v>
      </c>
      <c r="C44" s="311">
        <f t="shared" si="2"/>
        <v>1207.3</v>
      </c>
    </row>
    <row r="45" spans="2:17">
      <c r="B45" s="310">
        <f t="shared" si="1"/>
        <v>2022</v>
      </c>
      <c r="C45" s="311">
        <f t="shared" si="2"/>
        <v>1570.7</v>
      </c>
    </row>
    <row r="46" spans="2:17">
      <c r="B46" s="310">
        <f t="shared" si="1"/>
        <v>2023</v>
      </c>
      <c r="C46" s="311">
        <f t="shared" si="2"/>
        <v>1529.7</v>
      </c>
    </row>
    <row r="47" spans="2:17">
      <c r="B47" s="310">
        <f t="shared" si="1"/>
        <v>2024</v>
      </c>
      <c r="C47" s="311">
        <f t="shared" si="2"/>
        <v>1806.1</v>
      </c>
    </row>
    <row r="48" spans="2:17" ht="17.25" thickBot="1">
      <c r="B48" s="316" t="str">
        <f t="shared" si="1"/>
        <v>10년평균</v>
      </c>
      <c r="C48" s="317">
        <f t="shared" si="2"/>
        <v>1231.3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1448.3</v>
      </c>
    </row>
    <row r="53" spans="2:3">
      <c r="B53" s="320">
        <f t="shared" ref="B53:B81" si="3">B4</f>
        <v>1996</v>
      </c>
      <c r="C53" s="321">
        <f t="shared" ref="C53:C81" si="4">O4</f>
        <v>830.1</v>
      </c>
    </row>
    <row r="54" spans="2:3">
      <c r="B54" s="320">
        <f t="shared" si="3"/>
        <v>1997</v>
      </c>
      <c r="C54" s="321">
        <f t="shared" si="4"/>
        <v>1156.9000000000001</v>
      </c>
    </row>
    <row r="55" spans="2:3">
      <c r="B55" s="320">
        <f t="shared" si="3"/>
        <v>1998</v>
      </c>
      <c r="C55" s="321">
        <f t="shared" si="4"/>
        <v>1711.6</v>
      </c>
    </row>
    <row r="56" spans="2:3">
      <c r="B56" s="320">
        <f t="shared" si="3"/>
        <v>1999</v>
      </c>
      <c r="C56" s="321">
        <f t="shared" si="4"/>
        <v>1826.6</v>
      </c>
    </row>
    <row r="57" spans="2:3">
      <c r="B57" s="320">
        <f t="shared" si="3"/>
        <v>2000</v>
      </c>
      <c r="C57" s="321">
        <f t="shared" si="4"/>
        <v>1424.8</v>
      </c>
    </row>
    <row r="58" spans="2:3">
      <c r="B58" s="320">
        <f t="shared" si="3"/>
        <v>2001</v>
      </c>
      <c r="C58" s="321">
        <f t="shared" si="4"/>
        <v>986.8</v>
      </c>
    </row>
    <row r="59" spans="2:3">
      <c r="B59" s="320">
        <f t="shared" si="3"/>
        <v>2002</v>
      </c>
      <c r="C59" s="321">
        <f t="shared" si="4"/>
        <v>1387.6</v>
      </c>
    </row>
    <row r="60" spans="2:3">
      <c r="B60" s="320">
        <f t="shared" si="3"/>
        <v>2003</v>
      </c>
      <c r="C60" s="321">
        <f t="shared" si="4"/>
        <v>1433.4</v>
      </c>
    </row>
    <row r="61" spans="2:3">
      <c r="B61" s="320">
        <f t="shared" si="3"/>
        <v>2004</v>
      </c>
      <c r="C61" s="321">
        <f t="shared" si="4"/>
        <v>1340.9</v>
      </c>
    </row>
    <row r="62" spans="2:3">
      <c r="B62" s="320">
        <f t="shared" si="3"/>
        <v>2005</v>
      </c>
      <c r="C62" s="321">
        <f t="shared" si="4"/>
        <v>1334.2</v>
      </c>
    </row>
    <row r="63" spans="2:3">
      <c r="B63" s="320">
        <f t="shared" si="3"/>
        <v>2006</v>
      </c>
      <c r="C63" s="321">
        <f t="shared" si="4"/>
        <v>1139.2</v>
      </c>
    </row>
    <row r="64" spans="2:3">
      <c r="B64" s="320">
        <f t="shared" si="3"/>
        <v>2007</v>
      </c>
      <c r="C64" s="321">
        <f t="shared" si="4"/>
        <v>1471.1</v>
      </c>
    </row>
    <row r="65" spans="2:3">
      <c r="B65" s="320">
        <f t="shared" si="3"/>
        <v>2008</v>
      </c>
      <c r="C65" s="321">
        <f t="shared" si="4"/>
        <v>909.6</v>
      </c>
    </row>
    <row r="66" spans="2:3">
      <c r="B66" s="320">
        <f t="shared" si="3"/>
        <v>2009</v>
      </c>
      <c r="C66" s="321">
        <f t="shared" si="4"/>
        <v>1074.3</v>
      </c>
    </row>
    <row r="67" spans="2:3">
      <c r="B67" s="320">
        <f t="shared" si="3"/>
        <v>2010</v>
      </c>
      <c r="C67" s="321">
        <f t="shared" si="4"/>
        <v>2141.8000000000002</v>
      </c>
    </row>
    <row r="68" spans="2:3">
      <c r="B68" s="320">
        <f t="shared" si="3"/>
        <v>2011</v>
      </c>
      <c r="C68" s="321">
        <f t="shared" si="4"/>
        <v>1704.4</v>
      </c>
    </row>
    <row r="69" spans="2:3">
      <c r="B69" s="320">
        <f t="shared" si="3"/>
        <v>2012</v>
      </c>
      <c r="C69" s="321">
        <f t="shared" si="4"/>
        <v>1642.6</v>
      </c>
    </row>
    <row r="70" spans="2:3">
      <c r="B70" s="320">
        <f t="shared" si="3"/>
        <v>2013</v>
      </c>
      <c r="C70" s="321">
        <f t="shared" si="4"/>
        <v>1018.7</v>
      </c>
    </row>
    <row r="71" spans="2:3">
      <c r="B71" s="320">
        <f t="shared" si="3"/>
        <v>2014</v>
      </c>
      <c r="C71" s="321">
        <f t="shared" si="4"/>
        <v>1000.1</v>
      </c>
    </row>
    <row r="72" spans="2:3">
      <c r="B72" s="320">
        <f t="shared" si="3"/>
        <v>2015</v>
      </c>
      <c r="C72" s="321">
        <f t="shared" si="4"/>
        <v>815.9</v>
      </c>
    </row>
    <row r="73" spans="2:3">
      <c r="B73" s="320">
        <f t="shared" si="3"/>
        <v>2016</v>
      </c>
      <c r="C73" s="321">
        <f t="shared" si="4"/>
        <v>922.1</v>
      </c>
    </row>
    <row r="74" spans="2:3">
      <c r="B74" s="320">
        <f t="shared" si="3"/>
        <v>2017</v>
      </c>
      <c r="C74" s="321">
        <f t="shared" si="4"/>
        <v>830.4</v>
      </c>
    </row>
    <row r="75" spans="2:3">
      <c r="B75" s="320">
        <f t="shared" si="3"/>
        <v>2018</v>
      </c>
      <c r="C75" s="321">
        <f t="shared" si="4"/>
        <v>1227.2</v>
      </c>
    </row>
    <row r="76" spans="2:3">
      <c r="B76" s="320">
        <f t="shared" si="3"/>
        <v>2019</v>
      </c>
      <c r="C76" s="321">
        <f t="shared" si="4"/>
        <v>915</v>
      </c>
    </row>
    <row r="77" spans="2:3">
      <c r="B77" s="320">
        <f t="shared" si="3"/>
        <v>2020</v>
      </c>
      <c r="C77" s="321">
        <f t="shared" si="4"/>
        <v>1488.7</v>
      </c>
    </row>
    <row r="78" spans="2:3">
      <c r="B78" s="320">
        <f>B29</f>
        <v>2021</v>
      </c>
      <c r="C78" s="321">
        <f t="shared" si="4"/>
        <v>1207.3</v>
      </c>
    </row>
    <row r="79" spans="2:3">
      <c r="B79" s="320">
        <f t="shared" si="3"/>
        <v>2022</v>
      </c>
      <c r="C79" s="321">
        <f t="shared" si="4"/>
        <v>1570.7</v>
      </c>
    </row>
    <row r="80" spans="2:3">
      <c r="B80" s="320">
        <f t="shared" si="3"/>
        <v>2023</v>
      </c>
      <c r="C80" s="321">
        <f t="shared" si="4"/>
        <v>1529.7</v>
      </c>
    </row>
    <row r="81" spans="2:3">
      <c r="B81" s="320">
        <f t="shared" si="3"/>
        <v>2024</v>
      </c>
      <c r="C81" s="321">
        <f t="shared" si="4"/>
        <v>1806.1</v>
      </c>
    </row>
    <row r="82" spans="2:3" ht="17.25" thickBot="1">
      <c r="B82" s="313" t="str">
        <f>B34</f>
        <v>30년평균</v>
      </c>
      <c r="C82" s="322">
        <f>O34</f>
        <v>1309.9000000000001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Q31" sqref="Q31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서산기상청</v>
      </c>
      <c r="C2" s="362" t="s">
        <v>274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533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20.7</v>
      </c>
      <c r="D5" s="463">
        <f>All!D41</f>
        <v>23.1</v>
      </c>
      <c r="E5" s="464">
        <f>All!E41</f>
        <v>20.6</v>
      </c>
      <c r="F5" s="464">
        <f>All!F41</f>
        <v>116.8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15.1</v>
      </c>
      <c r="L5" s="464">
        <v>5</v>
      </c>
      <c r="M5" s="464">
        <f>All!M41</f>
        <v>156.6</v>
      </c>
      <c r="N5" s="465">
        <f>All!N41</f>
        <v>63.6</v>
      </c>
      <c r="O5" s="466">
        <f>All!O41</f>
        <v>815.9</v>
      </c>
      <c r="P5" s="465">
        <f>All!P41</f>
        <v>68</v>
      </c>
    </row>
    <row r="6" spans="2:16" ht="22.15" customHeight="1">
      <c r="B6" s="664">
        <f>All!B42</f>
        <v>2016</v>
      </c>
      <c r="C6" s="710">
        <f>All!C42</f>
        <v>21.9</v>
      </c>
      <c r="D6" s="711">
        <f>All!D42</f>
        <v>61.7</v>
      </c>
      <c r="E6" s="711">
        <f>All!E42</f>
        <v>24.3</v>
      </c>
      <c r="F6" s="711">
        <f>All!F42</f>
        <v>87</v>
      </c>
      <c r="G6" s="711">
        <f>All!G42</f>
        <v>153.69999999999999</v>
      </c>
      <c r="H6" s="711">
        <f>All!H42</f>
        <v>36.799999999999997</v>
      </c>
      <c r="I6" s="711">
        <f>All!I42</f>
        <v>295.60000000000002</v>
      </c>
      <c r="J6" s="711">
        <f>All!J42</f>
        <v>34</v>
      </c>
      <c r="K6" s="711">
        <f>All!K42</f>
        <v>53.1</v>
      </c>
      <c r="L6" s="711">
        <f>All!L42</f>
        <v>73.8</v>
      </c>
      <c r="M6" s="711">
        <f>All!M42</f>
        <v>17.5</v>
      </c>
      <c r="N6" s="712">
        <f>All!N42</f>
        <v>62.7</v>
      </c>
      <c r="O6" s="460">
        <f>All!O42</f>
        <v>922.1</v>
      </c>
      <c r="P6" s="712">
        <f>All!P42</f>
        <v>76.8</v>
      </c>
    </row>
    <row r="7" spans="2:16" ht="22.15" customHeight="1">
      <c r="B7" s="664">
        <f>All!B43</f>
        <v>2017</v>
      </c>
      <c r="C7" s="710">
        <f>All!C43</f>
        <v>21.3</v>
      </c>
      <c r="D7" s="711">
        <f>All!D43</f>
        <v>31.4</v>
      </c>
      <c r="E7" s="711">
        <f>All!E43</f>
        <v>4.8</v>
      </c>
      <c r="F7" s="711">
        <f>All!F43</f>
        <v>38.9</v>
      </c>
      <c r="G7" s="711">
        <f>All!G43</f>
        <v>27.9</v>
      </c>
      <c r="H7" s="711">
        <f>All!H43</f>
        <v>23.3</v>
      </c>
      <c r="I7" s="711">
        <f>All!I43</f>
        <v>327.8</v>
      </c>
      <c r="J7" s="711">
        <f>All!J43</f>
        <v>231.3</v>
      </c>
      <c r="K7" s="711">
        <f>All!K43</f>
        <v>37.6</v>
      </c>
      <c r="L7" s="711">
        <f>All!L43</f>
        <v>25.5</v>
      </c>
      <c r="M7" s="711">
        <f>All!M43</f>
        <v>24.7</v>
      </c>
      <c r="N7" s="712">
        <f>All!N43</f>
        <v>35.9</v>
      </c>
      <c r="O7" s="460">
        <f>All!O43</f>
        <v>830.4</v>
      </c>
      <c r="P7" s="712">
        <f>All!P43</f>
        <v>69.2</v>
      </c>
    </row>
    <row r="8" spans="2:16" ht="22.15" customHeight="1">
      <c r="B8" s="664">
        <f>All!B44</f>
        <v>2018</v>
      </c>
      <c r="C8" s="710">
        <f>All!C44</f>
        <v>21</v>
      </c>
      <c r="D8" s="711">
        <f>All!D44</f>
        <v>40.5</v>
      </c>
      <c r="E8" s="711">
        <f>All!E44</f>
        <v>76.599999999999994</v>
      </c>
      <c r="F8" s="711">
        <f>All!F44</f>
        <v>132.80000000000001</v>
      </c>
      <c r="G8" s="711">
        <f>All!G44</f>
        <v>147.69999999999999</v>
      </c>
      <c r="H8" s="711">
        <f>All!H44</f>
        <v>162.30000000000001</v>
      </c>
      <c r="I8" s="711">
        <f>All!I44</f>
        <v>152.9</v>
      </c>
      <c r="J8" s="711">
        <f>All!J44</f>
        <v>156.80000000000001</v>
      </c>
      <c r="K8" s="711">
        <f>All!K44</f>
        <v>82.7</v>
      </c>
      <c r="L8" s="711">
        <f>All!L44</f>
        <v>153.19999999999999</v>
      </c>
      <c r="M8" s="711">
        <f>All!M44</f>
        <v>73.900000000000006</v>
      </c>
      <c r="N8" s="712">
        <f>All!N44</f>
        <v>26.8</v>
      </c>
      <c r="O8" s="460">
        <f>All!O44</f>
        <v>1227.2</v>
      </c>
      <c r="P8" s="712">
        <f>All!P44</f>
        <v>102.3</v>
      </c>
    </row>
    <row r="9" spans="2:16" ht="22.15" customHeight="1">
      <c r="B9" s="664">
        <f>All!B45</f>
        <v>2019</v>
      </c>
      <c r="C9" s="710">
        <f>All!C45</f>
        <v>1.1000000000000001</v>
      </c>
      <c r="D9" s="711">
        <f>All!D45</f>
        <v>30.2</v>
      </c>
      <c r="E9" s="711">
        <f>All!E45</f>
        <v>43.7</v>
      </c>
      <c r="F9" s="711">
        <f>All!F45</f>
        <v>43.9</v>
      </c>
      <c r="G9" s="711">
        <f>All!G45</f>
        <v>20.100000000000001</v>
      </c>
      <c r="H9" s="711">
        <f>All!H45</f>
        <v>56.3</v>
      </c>
      <c r="I9" s="711">
        <f>All!I45</f>
        <v>174.5</v>
      </c>
      <c r="J9" s="711">
        <f>All!J45</f>
        <v>121.1</v>
      </c>
      <c r="K9" s="711">
        <f>All!K45</f>
        <v>181.1</v>
      </c>
      <c r="L9" s="711">
        <f>All!L45</f>
        <v>81</v>
      </c>
      <c r="M9" s="711">
        <f>All!M45</f>
        <v>124.6</v>
      </c>
      <c r="N9" s="712">
        <f>All!N45</f>
        <v>37.4</v>
      </c>
      <c r="O9" s="460">
        <f>All!O45</f>
        <v>915</v>
      </c>
      <c r="P9" s="712">
        <f>All!P45</f>
        <v>76.3</v>
      </c>
    </row>
    <row r="10" spans="2:16" ht="22.15" customHeight="1">
      <c r="B10" s="664">
        <f>All!B46</f>
        <v>2020</v>
      </c>
      <c r="C10" s="710">
        <f>All!C46</f>
        <v>46</v>
      </c>
      <c r="D10" s="711">
        <f>All!D46</f>
        <v>72.3</v>
      </c>
      <c r="E10" s="711">
        <f>All!E46</f>
        <v>23</v>
      </c>
      <c r="F10" s="711">
        <f>All!F46</f>
        <v>20.7</v>
      </c>
      <c r="G10" s="711">
        <f>All!G46</f>
        <v>101.3</v>
      </c>
      <c r="H10" s="711">
        <f>All!H46</f>
        <v>144</v>
      </c>
      <c r="I10" s="711">
        <f>All!I46</f>
        <v>329.4</v>
      </c>
      <c r="J10" s="711">
        <f>All!J46</f>
        <v>400</v>
      </c>
      <c r="K10" s="711">
        <f>All!K46</f>
        <v>257.7</v>
      </c>
      <c r="L10" s="711">
        <f>All!L46</f>
        <v>12.6</v>
      </c>
      <c r="M10" s="711">
        <f>All!M46</f>
        <v>72</v>
      </c>
      <c r="N10" s="712">
        <f>All!N46</f>
        <v>9.6999999999999993</v>
      </c>
      <c r="O10" s="460">
        <f>All!O46</f>
        <v>1488.7</v>
      </c>
      <c r="P10" s="712">
        <f>All!P46</f>
        <v>124.1</v>
      </c>
    </row>
    <row r="11" spans="2:16" ht="22.15" customHeight="1">
      <c r="B11" s="664">
        <f>All!B47</f>
        <v>2021</v>
      </c>
      <c r="C11" s="710">
        <f>All!C47</f>
        <v>25.3</v>
      </c>
      <c r="D11" s="711">
        <f>All!D47</f>
        <v>9.6</v>
      </c>
      <c r="E11" s="711">
        <f>All!E47</f>
        <v>112.8</v>
      </c>
      <c r="F11" s="711">
        <f>All!F47</f>
        <v>110.6</v>
      </c>
      <c r="G11" s="711">
        <f>All!G47</f>
        <v>132.30000000000001</v>
      </c>
      <c r="H11" s="711">
        <f>All!H47</f>
        <v>70.900000000000006</v>
      </c>
      <c r="I11" s="711">
        <f>All!I47</f>
        <v>121.6</v>
      </c>
      <c r="J11" s="711">
        <f>All!J47</f>
        <v>217.8</v>
      </c>
      <c r="K11" s="711">
        <f>All!K47</f>
        <v>206</v>
      </c>
      <c r="L11" s="711">
        <f>All!L47</f>
        <v>55.9</v>
      </c>
      <c r="M11" s="711">
        <f>All!M47</f>
        <v>126.2</v>
      </c>
      <c r="N11" s="712">
        <f>All!N47</f>
        <v>18.3</v>
      </c>
      <c r="O11" s="460">
        <f>All!O47</f>
        <v>1207.3</v>
      </c>
      <c r="P11" s="712">
        <f>All!P47</f>
        <v>100.6</v>
      </c>
    </row>
    <row r="12" spans="2:16" ht="22.15" customHeight="1">
      <c r="B12" s="664">
        <f>All!B48</f>
        <v>2022</v>
      </c>
      <c r="C12" s="710">
        <f>All!C48</f>
        <v>8.6</v>
      </c>
      <c r="D12" s="711">
        <f>All!D48</f>
        <v>4.7</v>
      </c>
      <c r="E12" s="711">
        <f>All!E48</f>
        <v>72.099999999999994</v>
      </c>
      <c r="F12" s="711">
        <f>All!F48</f>
        <v>52.2</v>
      </c>
      <c r="G12" s="711">
        <f>All!G48</f>
        <v>2.9</v>
      </c>
      <c r="H12" s="711">
        <f>All!H48</f>
        <v>352.4</v>
      </c>
      <c r="I12" s="711">
        <f>All!I48</f>
        <v>178.4</v>
      </c>
      <c r="J12" s="711">
        <f>All!J48</f>
        <v>468.7</v>
      </c>
      <c r="K12" s="711">
        <f>All!K48</f>
        <v>165.9</v>
      </c>
      <c r="L12" s="711">
        <f>All!L48</f>
        <v>160</v>
      </c>
      <c r="M12" s="711">
        <f>All!M48</f>
        <v>72.900000000000006</v>
      </c>
      <c r="N12" s="712">
        <f>All!N48</f>
        <v>31.9</v>
      </c>
      <c r="O12" s="460">
        <f>All!O48</f>
        <v>1570.7</v>
      </c>
      <c r="P12" s="712">
        <f>All!P48</f>
        <v>130.9</v>
      </c>
    </row>
    <row r="13" spans="2:16" ht="22.15" customHeight="1">
      <c r="B13" s="664">
        <f>All!B49</f>
        <v>2023</v>
      </c>
      <c r="C13" s="710">
        <f>All!C49</f>
        <v>30.5</v>
      </c>
      <c r="D13" s="711">
        <f>All!D49</f>
        <v>0.1</v>
      </c>
      <c r="E13" s="711">
        <f>All!E49</f>
        <v>6.4</v>
      </c>
      <c r="F13" s="711">
        <f>All!F49</f>
        <v>54.6</v>
      </c>
      <c r="G13" s="711">
        <f>All!G49</f>
        <v>132.9</v>
      </c>
      <c r="H13" s="711">
        <f>All!H49</f>
        <v>138.1</v>
      </c>
      <c r="I13" s="711">
        <f>All!I49</f>
        <v>507</v>
      </c>
      <c r="J13" s="711">
        <f>All!J49</f>
        <v>225</v>
      </c>
      <c r="K13" s="711">
        <f>All!K49</f>
        <v>166.1</v>
      </c>
      <c r="L13" s="711">
        <f>All!L49</f>
        <v>39.6</v>
      </c>
      <c r="M13" s="711">
        <f>All!M49</f>
        <v>122.9</v>
      </c>
      <c r="N13" s="712">
        <f>All!N49</f>
        <v>106.5</v>
      </c>
      <c r="O13" s="460">
        <f>All!O49</f>
        <v>1529.7</v>
      </c>
      <c r="P13" s="712">
        <f>All!P49</f>
        <v>127.5</v>
      </c>
    </row>
    <row r="14" spans="2:16" ht="22.15" customHeight="1" thickBot="1">
      <c r="B14" s="666">
        <f>All!B50</f>
        <v>2024</v>
      </c>
      <c r="C14" s="721">
        <f>All!C50</f>
        <v>34.4</v>
      </c>
      <c r="D14" s="722">
        <f>All!D50</f>
        <v>86.4</v>
      </c>
      <c r="E14" s="722">
        <f>All!E50</f>
        <v>26.1</v>
      </c>
      <c r="F14" s="722">
        <f>All!F50</f>
        <v>45</v>
      </c>
      <c r="G14" s="722">
        <f>All!G50</f>
        <v>157.4</v>
      </c>
      <c r="H14" s="722">
        <f>All!H50</f>
        <v>120.4</v>
      </c>
      <c r="I14" s="722">
        <f>All!I50</f>
        <v>556.1</v>
      </c>
      <c r="J14" s="722">
        <f>All!J50</f>
        <v>197.6</v>
      </c>
      <c r="K14" s="722">
        <f>All!K50</f>
        <v>354.2</v>
      </c>
      <c r="L14" s="722">
        <f>All!L50</f>
        <v>150.30000000000001</v>
      </c>
      <c r="M14" s="722">
        <f>All!M50</f>
        <v>62.1</v>
      </c>
      <c r="N14" s="723">
        <f>All!N50</f>
        <v>16.100000000000001</v>
      </c>
      <c r="O14" s="724">
        <f>All!O50</f>
        <v>1806.1</v>
      </c>
      <c r="P14" s="723">
        <f>All!P50</f>
        <v>150.5</v>
      </c>
    </row>
    <row r="15" spans="2:16" ht="22.15" customHeight="1">
      <c r="B15" s="665" t="s">
        <v>21</v>
      </c>
      <c r="C15" s="716">
        <f>All!C51</f>
        <v>46</v>
      </c>
      <c r="D15" s="717">
        <f>All!D51</f>
        <v>86.4</v>
      </c>
      <c r="E15" s="717">
        <f>All!E51</f>
        <v>112.8</v>
      </c>
      <c r="F15" s="717">
        <f>All!F51</f>
        <v>132.80000000000001</v>
      </c>
      <c r="G15" s="717">
        <f>All!G51</f>
        <v>157.4</v>
      </c>
      <c r="H15" s="717">
        <f>All!H51</f>
        <v>352.4</v>
      </c>
      <c r="I15" s="717">
        <f>All!I51</f>
        <v>556.1</v>
      </c>
      <c r="J15" s="717">
        <f>All!J51</f>
        <v>468.7</v>
      </c>
      <c r="K15" s="717">
        <f>All!K51</f>
        <v>354.2</v>
      </c>
      <c r="L15" s="717">
        <f>All!L51</f>
        <v>160</v>
      </c>
      <c r="M15" s="717">
        <f>All!M51</f>
        <v>156.6</v>
      </c>
      <c r="N15" s="718">
        <f>All!N51</f>
        <v>106.5</v>
      </c>
      <c r="O15" s="461">
        <f>All!O51</f>
        <v>1806.1</v>
      </c>
      <c r="P15" s="718">
        <f>All!P51</f>
        <v>150.5</v>
      </c>
    </row>
    <row r="16" spans="2:16" ht="22.15" customHeight="1" thickBot="1">
      <c r="B16" s="664" t="s">
        <v>22</v>
      </c>
      <c r="C16" s="710">
        <f>All!C52</f>
        <v>1.1000000000000001</v>
      </c>
      <c r="D16" s="711">
        <f>All!D52</f>
        <v>0.1</v>
      </c>
      <c r="E16" s="711">
        <f>All!E52</f>
        <v>4.8</v>
      </c>
      <c r="F16" s="711">
        <f>All!F52</f>
        <v>20.7</v>
      </c>
      <c r="G16" s="711">
        <f>All!G52</f>
        <v>2.9</v>
      </c>
      <c r="H16" s="711">
        <f>All!H52</f>
        <v>23.3</v>
      </c>
      <c r="I16" s="711">
        <f>All!I52</f>
        <v>121.6</v>
      </c>
      <c r="J16" s="711">
        <f>All!J52</f>
        <v>34</v>
      </c>
      <c r="K16" s="711">
        <f>All!K52</f>
        <v>15.1</v>
      </c>
      <c r="L16" s="711">
        <f>All!L52</f>
        <v>12.6</v>
      </c>
      <c r="M16" s="711">
        <f>All!M52</f>
        <v>17.5</v>
      </c>
      <c r="N16" s="712">
        <f>All!N52</f>
        <v>9.6999999999999993</v>
      </c>
      <c r="O16" s="608">
        <f>All!O52</f>
        <v>815.9</v>
      </c>
      <c r="P16" s="719">
        <f>All!P52</f>
        <v>68</v>
      </c>
    </row>
    <row r="17" spans="2:16" ht="26.25" customHeight="1" thickBot="1">
      <c r="B17" s="666" t="s">
        <v>20</v>
      </c>
      <c r="C17" s="713">
        <f>All!C53</f>
        <v>23.1</v>
      </c>
      <c r="D17" s="714">
        <f>All!D53</f>
        <v>36</v>
      </c>
      <c r="E17" s="720">
        <f>All!E53</f>
        <v>41</v>
      </c>
      <c r="F17" s="714">
        <f>All!F53</f>
        <v>70.3</v>
      </c>
      <c r="G17" s="462">
        <f>All!G53</f>
        <v>91.7</v>
      </c>
      <c r="H17" s="462">
        <f>All!H53</f>
        <v>116.9</v>
      </c>
      <c r="I17" s="462">
        <f>All!I53</f>
        <v>280.2</v>
      </c>
      <c r="J17" s="462">
        <f>All!J53</f>
        <v>211.5</v>
      </c>
      <c r="K17" s="462">
        <f>All!K53</f>
        <v>152</v>
      </c>
      <c r="L17" s="714">
        <f>All!L53</f>
        <v>82.5</v>
      </c>
      <c r="M17" s="714">
        <f>All!M53</f>
        <v>85.3</v>
      </c>
      <c r="N17" s="715">
        <f>All!N53</f>
        <v>40.9</v>
      </c>
      <c r="O17" s="725">
        <f>All!O53</f>
        <v>1231.3</v>
      </c>
      <c r="P17" s="726">
        <f>All!P53</f>
        <v>102.6</v>
      </c>
    </row>
    <row r="18" spans="2:16" ht="28.5" customHeight="1" thickBot="1">
      <c r="B18" s="667" t="s">
        <v>23</v>
      </c>
      <c r="C18" s="365">
        <f>All!C37</f>
        <v>25.3</v>
      </c>
      <c r="D18" s="366">
        <f>All!D37</f>
        <v>29.8</v>
      </c>
      <c r="E18" s="366">
        <f>All!E37</f>
        <v>42.7</v>
      </c>
      <c r="F18" s="366">
        <f>All!F37</f>
        <v>76.599999999999994</v>
      </c>
      <c r="G18" s="366">
        <f>All!G37</f>
        <v>99.2</v>
      </c>
      <c r="H18" s="366">
        <f>All!H37</f>
        <v>145.5</v>
      </c>
      <c r="I18" s="367">
        <f>All!I37</f>
        <v>293.8</v>
      </c>
      <c r="J18" s="367">
        <f>All!J37</f>
        <v>291.39999999999998</v>
      </c>
      <c r="K18" s="367">
        <f>All!K37</f>
        <v>155</v>
      </c>
      <c r="L18" s="367">
        <f>All!L37</f>
        <v>56.4</v>
      </c>
      <c r="M18" s="367">
        <f>All!M37</f>
        <v>60.2</v>
      </c>
      <c r="N18" s="368">
        <f>All!N37</f>
        <v>34.1</v>
      </c>
      <c r="O18" s="609">
        <f>All!O37</f>
        <v>1309.9000000000001</v>
      </c>
      <c r="P18" s="368">
        <f>All!P37</f>
        <v>109.2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852.3</v>
      </c>
      <c r="F20" s="371"/>
    </row>
    <row r="21" spans="2:16">
      <c r="B21" s="372" t="s">
        <v>156</v>
      </c>
      <c r="D21" s="611">
        <f>O17</f>
        <v>1231.3</v>
      </c>
    </row>
    <row r="22" spans="2:16" ht="17.25" thickBot="1">
      <c r="B22" s="373"/>
      <c r="C22" s="374"/>
      <c r="D22" s="610">
        <f>D20/D21</f>
        <v>0.69219524080240391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815.9</v>
      </c>
      <c r="D24" s="377"/>
      <c r="E24" s="319"/>
      <c r="H24" s="378" t="s">
        <v>174</v>
      </c>
      <c r="I24" s="749" t="s">
        <v>185</v>
      </c>
      <c r="J24" s="750"/>
      <c r="K24" s="578">
        <f>INDEX(Location[recharge], MATCH(I24,Location[name],0))</f>
        <v>0.17100000000000001</v>
      </c>
      <c r="L24" s="579">
        <f>INDEX(Location[ratio], MATCH(I24,Location[name],0))</f>
        <v>0.72</v>
      </c>
    </row>
    <row r="25" spans="2:16" ht="21.95" customHeight="1">
      <c r="B25" s="379" t="s">
        <v>25</v>
      </c>
      <c r="C25" s="613">
        <f>O18</f>
        <v>1309.9000000000001</v>
      </c>
      <c r="D25" s="318"/>
      <c r="E25" s="321"/>
      <c r="H25" s="378" t="s">
        <v>175</v>
      </c>
      <c r="I25" s="751" t="s">
        <v>184</v>
      </c>
      <c r="J25" s="752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0.72</v>
      </c>
      <c r="D26" s="653">
        <f>L25</f>
        <v>0.68100000000000005</v>
      </c>
      <c r="E26" s="654">
        <f>L26</f>
        <v>0.72</v>
      </c>
      <c r="H26" s="378" t="s">
        <v>176</v>
      </c>
      <c r="I26" s="753" t="s">
        <v>231</v>
      </c>
      <c r="J26" s="754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2228487.1688000001</v>
      </c>
      <c r="D27" s="318"/>
      <c r="E27" s="382"/>
    </row>
    <row r="28" spans="2:16" ht="21.95" customHeight="1" thickBot="1">
      <c r="B28" s="655" t="s">
        <v>27</v>
      </c>
      <c r="C28" s="656">
        <f>K24</f>
        <v>0.17100000000000001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22.399290000000001</v>
      </c>
      <c r="D30" s="649">
        <f>max*rf_2/10</f>
        <v>19.91048</v>
      </c>
      <c r="E30" s="650">
        <f>max*rf_3/10</f>
        <v>22.399290000000001</v>
      </c>
    </row>
    <row r="31" spans="2:16" ht="22.15" customHeight="1" thickBot="1">
      <c r="E31" s="383"/>
      <c r="I31" s="384" t="s">
        <v>284</v>
      </c>
    </row>
    <row r="32" spans="2:16" ht="25.5" customHeight="1" thickBot="1">
      <c r="B32" s="502" t="s">
        <v>817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269</v>
      </c>
    </row>
    <row r="19" spans="1:7">
      <c r="A19" s="16" t="s">
        <v>305</v>
      </c>
      <c r="D19" s="16" t="s">
        <v>523</v>
      </c>
      <c r="G19" s="129" t="s">
        <v>286</v>
      </c>
    </row>
    <row r="20" spans="1:7">
      <c r="A20" s="16" t="s">
        <v>298</v>
      </c>
      <c r="D20" s="16">
        <v>150</v>
      </c>
      <c r="G20" s="129" t="s">
        <v>287</v>
      </c>
    </row>
    <row r="21" spans="1:7">
      <c r="A21" s="16" t="s">
        <v>299</v>
      </c>
      <c r="D21" s="16">
        <v>200</v>
      </c>
      <c r="G21" s="129" t="s">
        <v>288</v>
      </c>
    </row>
    <row r="22" spans="1:7">
      <c r="A22" s="16" t="s">
        <v>300</v>
      </c>
      <c r="D22" s="16">
        <v>250</v>
      </c>
      <c r="G22" s="129" t="s">
        <v>289</v>
      </c>
    </row>
    <row r="23" spans="1:7">
      <c r="A23" s="16" t="s">
        <v>301</v>
      </c>
      <c r="D23" s="16">
        <v>1700</v>
      </c>
      <c r="G23" s="129" t="s">
        <v>290</v>
      </c>
    </row>
    <row r="24" spans="1:7">
      <c r="A24" s="16" t="s">
        <v>302</v>
      </c>
      <c r="G24" s="129" t="s">
        <v>291</v>
      </c>
    </row>
    <row r="25" spans="1:7">
      <c r="A25" s="16" t="s">
        <v>303</v>
      </c>
      <c r="G25" s="129" t="s">
        <v>292</v>
      </c>
    </row>
    <row r="26" spans="1:7">
      <c r="A26" s="16" t="s">
        <v>304</v>
      </c>
      <c r="G26" s="129" t="s">
        <v>293</v>
      </c>
    </row>
    <row r="27" spans="1:7">
      <c r="G27" s="129" t="s">
        <v>294</v>
      </c>
    </row>
    <row r="28" spans="1:7">
      <c r="G28" s="129" t="s">
        <v>295</v>
      </c>
    </row>
    <row r="29" spans="1:7">
      <c r="G29" s="129" t="s">
        <v>296</v>
      </c>
    </row>
    <row r="30" spans="1:7">
      <c r="G30" s="129" t="s">
        <v>297</v>
      </c>
    </row>
    <row r="31" spans="1:7">
      <c r="G31" s="134" t="s">
        <v>537</v>
      </c>
    </row>
    <row r="32" spans="1:7">
      <c r="G32" s="129" t="s">
        <v>545</v>
      </c>
    </row>
    <row r="33" spans="7:7">
      <c r="G33" s="129" t="s">
        <v>546</v>
      </c>
    </row>
    <row r="34" spans="7:7">
      <c r="G34" s="129" t="s">
        <v>552</v>
      </c>
    </row>
    <row r="35" spans="7:7">
      <c r="G35" s="129" t="s">
        <v>811</v>
      </c>
    </row>
    <row r="36" spans="7:7">
      <c r="G36" s="129" t="s">
        <v>812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232</v>
      </c>
      <c r="B16" s="73">
        <v>0.153</v>
      </c>
      <c r="C16" s="73">
        <v>0.68100000000000005</v>
      </c>
    </row>
    <row r="17" spans="1:3" ht="18" customHeight="1">
      <c r="A17" s="71" t="s">
        <v>273</v>
      </c>
      <c r="B17" s="73">
        <v>0.13900000000000001</v>
      </c>
      <c r="C17" s="73">
        <v>0.70699999999999996</v>
      </c>
    </row>
    <row r="18" spans="1:3" ht="18" customHeight="1">
      <c r="A18" s="71" t="s">
        <v>749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264</v>
      </c>
    </row>
    <row r="4" spans="3:11" ht="40.5" customHeight="1">
      <c r="C4" s="697" t="s">
        <v>257</v>
      </c>
      <c r="D4" s="698" t="s">
        <v>242</v>
      </c>
      <c r="E4" s="698" t="s">
        <v>258</v>
      </c>
      <c r="F4" s="699" t="s">
        <v>263</v>
      </c>
      <c r="G4" s="698" t="s">
        <v>254</v>
      </c>
      <c r="H4" s="698" t="s">
        <v>259</v>
      </c>
      <c r="I4" s="698" t="s">
        <v>260</v>
      </c>
      <c r="J4" s="698" t="s">
        <v>261</v>
      </c>
      <c r="K4" s="700" t="s">
        <v>262</v>
      </c>
    </row>
    <row r="5" spans="3:11" ht="97.5" customHeight="1">
      <c r="C5" s="83" t="s">
        <v>219</v>
      </c>
      <c r="D5" s="110" t="s">
        <v>265</v>
      </c>
      <c r="E5" s="110" t="s">
        <v>266</v>
      </c>
      <c r="F5" s="110" t="s">
        <v>267</v>
      </c>
      <c r="G5" s="110" t="s">
        <v>816</v>
      </c>
      <c r="H5" s="110" t="s">
        <v>839</v>
      </c>
      <c r="I5" s="110" t="s">
        <v>840</v>
      </c>
      <c r="J5" s="110" t="s">
        <v>841</v>
      </c>
      <c r="K5" s="111" t="s">
        <v>842</v>
      </c>
    </row>
    <row r="6" spans="3:11" ht="97.5" customHeight="1">
      <c r="C6" s="83"/>
      <c r="D6" s="110"/>
      <c r="E6" s="110"/>
      <c r="F6" s="110"/>
      <c r="G6" s="110"/>
      <c r="H6" s="110"/>
      <c r="I6" s="110"/>
      <c r="J6" s="110"/>
      <c r="K6" s="111"/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/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762</v>
      </c>
      <c r="B4" s="660" t="s">
        <v>763</v>
      </c>
      <c r="C4" s="660" t="s">
        <v>764</v>
      </c>
      <c r="D4" s="660" t="s">
        <v>765</v>
      </c>
      <c r="E4" s="660" t="s">
        <v>766</v>
      </c>
      <c r="F4" s="660" t="s">
        <v>767</v>
      </c>
      <c r="G4" s="660" t="s">
        <v>768</v>
      </c>
      <c r="H4" s="661" t="s">
        <v>769</v>
      </c>
      <c r="I4" s="660" t="s">
        <v>770</v>
      </c>
      <c r="J4" s="660" t="s">
        <v>771</v>
      </c>
      <c r="K4" s="660" t="s">
        <v>772</v>
      </c>
      <c r="L4" s="660" t="s">
        <v>773</v>
      </c>
      <c r="M4" s="660" t="s">
        <v>774</v>
      </c>
      <c r="N4" s="660" t="s">
        <v>775</v>
      </c>
      <c r="O4" s="661" t="s">
        <v>776</v>
      </c>
      <c r="P4" s="661" t="s">
        <v>777</v>
      </c>
      <c r="Q4" s="660" t="s">
        <v>778</v>
      </c>
      <c r="R4" s="660" t="s">
        <v>779</v>
      </c>
      <c r="S4" s="660" t="s">
        <v>780</v>
      </c>
      <c r="T4" s="661" t="s">
        <v>781</v>
      </c>
      <c r="U4" s="660" t="s">
        <v>782</v>
      </c>
      <c r="V4" s="661" t="s">
        <v>783</v>
      </c>
      <c r="W4" s="661" t="s">
        <v>784</v>
      </c>
      <c r="X4" s="661" t="s">
        <v>785</v>
      </c>
      <c r="Y4" s="660" t="s">
        <v>786</v>
      </c>
      <c r="Z4" s="660" t="s">
        <v>787</v>
      </c>
      <c r="AA4" s="660" t="s">
        <v>788</v>
      </c>
      <c r="AB4" s="660" t="s">
        <v>789</v>
      </c>
      <c r="AC4" s="660" t="s">
        <v>790</v>
      </c>
      <c r="AD4" s="660" t="s">
        <v>791</v>
      </c>
      <c r="AE4" s="660" t="s">
        <v>792</v>
      </c>
      <c r="AF4" s="660" t="s">
        <v>793</v>
      </c>
      <c r="AG4" s="661" t="s">
        <v>794</v>
      </c>
      <c r="AH4" s="661" t="s">
        <v>795</v>
      </c>
      <c r="AI4" s="661" t="s">
        <v>796</v>
      </c>
      <c r="AJ4" s="661" t="s">
        <v>797</v>
      </c>
      <c r="AK4" s="661" t="s">
        <v>798</v>
      </c>
      <c r="AL4" s="661" t="s">
        <v>799</v>
      </c>
      <c r="AM4" s="661" t="s">
        <v>800</v>
      </c>
      <c r="AN4" s="661" t="s">
        <v>801</v>
      </c>
      <c r="AO4" s="661" t="s">
        <v>802</v>
      </c>
      <c r="AP4" s="661" t="s">
        <v>803</v>
      </c>
      <c r="AQ4" s="661" t="s">
        <v>804</v>
      </c>
      <c r="AR4" s="661" t="s">
        <v>805</v>
      </c>
      <c r="AS4" s="660" t="s">
        <v>808</v>
      </c>
      <c r="AT4" s="660" t="s">
        <v>809</v>
      </c>
      <c r="AU4" s="660" t="s">
        <v>810</v>
      </c>
      <c r="AV4" s="660" t="s">
        <v>813</v>
      </c>
      <c r="AW4" s="660" t="s">
        <v>814</v>
      </c>
      <c r="AX4" s="701" t="s">
        <v>815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11.31</v>
      </c>
      <c r="C5" s="475">
        <v>38.72</v>
      </c>
      <c r="D5" s="475">
        <v>13.249017850133063</v>
      </c>
      <c r="E5" s="475">
        <v>25.470982149866934</v>
      </c>
      <c r="F5" s="475">
        <v>27.409999999999997</v>
      </c>
      <c r="G5" s="479">
        <v>200</v>
      </c>
      <c r="H5" s="584">
        <v>0.1</v>
      </c>
      <c r="I5" s="585">
        <v>88</v>
      </c>
      <c r="J5" s="585">
        <v>13</v>
      </c>
      <c r="K5" s="585">
        <v>160</v>
      </c>
      <c r="L5" s="475">
        <v>3.5331272991751881</v>
      </c>
      <c r="M5" s="586">
        <v>5</v>
      </c>
      <c r="N5" s="475">
        <v>75</v>
      </c>
      <c r="O5" s="476">
        <v>2.734</v>
      </c>
      <c r="P5" s="476">
        <v>2.129</v>
      </c>
      <c r="Q5" s="476">
        <v>2.4314999999999998</v>
      </c>
      <c r="R5" s="477">
        <v>0.31109999999999999</v>
      </c>
      <c r="S5" s="477">
        <v>8.7009999999999995E-4</v>
      </c>
      <c r="T5" s="476">
        <v>3.2419999999999997E-2</v>
      </c>
      <c r="U5" s="478">
        <v>0.375</v>
      </c>
      <c r="V5" s="475">
        <v>47.9</v>
      </c>
      <c r="W5" s="475">
        <v>58.7</v>
      </c>
      <c r="X5" s="475">
        <v>48.6</v>
      </c>
      <c r="Y5" s="476">
        <v>-2.9920653834266719</v>
      </c>
      <c r="Z5" s="476">
        <v>1.9930000000000001</v>
      </c>
      <c r="AA5" s="585">
        <v>183</v>
      </c>
      <c r="AB5" s="475">
        <v>165.36068205721458</v>
      </c>
      <c r="AC5" s="475">
        <v>100</v>
      </c>
      <c r="AD5" s="475">
        <v>11.47</v>
      </c>
      <c r="AE5" s="475">
        <v>24.39</v>
      </c>
      <c r="AF5" s="475">
        <v>2.2489999999999999E-4</v>
      </c>
      <c r="AG5" s="475">
        <v>9.1489299999999996E-2</v>
      </c>
      <c r="AH5" s="480">
        <v>0.90163934426229508</v>
      </c>
      <c r="AI5" s="476">
        <v>6.3520341974657759</v>
      </c>
      <c r="AJ5" s="476">
        <v>5.0000000000000001E-4</v>
      </c>
      <c r="AK5" s="473" t="s">
        <v>246</v>
      </c>
      <c r="AL5" s="476">
        <v>1.2645999999999999</v>
      </c>
      <c r="AM5" s="476">
        <v>1.2666999999999999</v>
      </c>
      <c r="AN5" s="476">
        <v>2.4944000000000002</v>
      </c>
      <c r="AO5" s="473" t="s">
        <v>838</v>
      </c>
      <c r="AP5" s="473" t="s">
        <v>288</v>
      </c>
      <c r="AQ5" s="475">
        <v>118.5</v>
      </c>
      <c r="AR5" s="473" t="s">
        <v>836</v>
      </c>
      <c r="AS5" s="585">
        <v>60</v>
      </c>
      <c r="AT5" s="585">
        <v>40</v>
      </c>
      <c r="AU5" s="585">
        <v>200</v>
      </c>
      <c r="AV5" s="585">
        <v>2880</v>
      </c>
      <c r="AW5" s="475">
        <v>14.947345236852538</v>
      </c>
      <c r="AX5" s="702">
        <v>23.772654763147461</v>
      </c>
    </row>
    <row r="6" spans="1:702" ht="23.1" customHeight="1">
      <c r="A6" s="474"/>
      <c r="B6" s="475"/>
      <c r="C6" s="475"/>
      <c r="D6" s="475"/>
      <c r="E6" s="475"/>
      <c r="F6" s="475"/>
      <c r="G6" s="479"/>
      <c r="H6" s="584"/>
      <c r="I6" s="585"/>
      <c r="J6" s="585"/>
      <c r="K6" s="585"/>
      <c r="L6" s="475"/>
      <c r="M6" s="586"/>
      <c r="N6" s="475"/>
      <c r="O6" s="476"/>
      <c r="P6" s="476"/>
      <c r="Q6" s="476"/>
      <c r="R6" s="477"/>
      <c r="S6" s="477"/>
      <c r="T6" s="476"/>
      <c r="U6" s="478"/>
      <c r="V6" s="475"/>
      <c r="W6" s="475"/>
      <c r="X6" s="475"/>
      <c r="Y6" s="476"/>
      <c r="Z6" s="476"/>
      <c r="AA6" s="585"/>
      <c r="AB6" s="475"/>
      <c r="AC6" s="475"/>
      <c r="AD6" s="475"/>
      <c r="AE6" s="475"/>
      <c r="AF6" s="475"/>
      <c r="AG6" s="475"/>
      <c r="AH6" s="480"/>
      <c r="AI6" s="476"/>
      <c r="AJ6" s="476"/>
      <c r="AK6" s="473"/>
      <c r="AL6" s="476"/>
      <c r="AM6" s="476"/>
      <c r="AN6" s="476"/>
      <c r="AO6" s="473"/>
      <c r="AP6" s="473"/>
      <c r="AQ6" s="475"/>
      <c r="AR6" s="473"/>
      <c r="AS6" s="585"/>
      <c r="AT6" s="585"/>
      <c r="AU6" s="585"/>
      <c r="AV6" s="585"/>
      <c r="AW6" s="475"/>
      <c r="AX6" s="702"/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242</v>
      </c>
      <c r="E6" s="689" t="s">
        <v>278</v>
      </c>
      <c r="F6" s="689"/>
      <c r="G6" s="689" t="s">
        <v>279</v>
      </c>
      <c r="H6" s="689"/>
      <c r="I6" s="689" t="s">
        <v>280</v>
      </c>
      <c r="J6" s="689"/>
      <c r="K6" s="689" t="s">
        <v>281</v>
      </c>
      <c r="L6" s="690"/>
    </row>
    <row r="7" spans="1:12" ht="20.100000000000001" customHeight="1">
      <c r="D7" s="691" t="s">
        <v>282</v>
      </c>
      <c r="E7" s="692">
        <v>42</v>
      </c>
      <c r="F7" s="692">
        <v>73.910000000000011</v>
      </c>
      <c r="G7" s="692">
        <v>28</v>
      </c>
      <c r="H7" s="692">
        <v>20.16</v>
      </c>
      <c r="I7" s="692">
        <v>14</v>
      </c>
      <c r="J7" s="692">
        <v>53.750000000000007</v>
      </c>
      <c r="K7" s="692">
        <v>0</v>
      </c>
      <c r="L7" s="693">
        <v>0</v>
      </c>
    </row>
    <row r="8" spans="1:12" ht="20.100000000000001" customHeight="1" thickBot="1">
      <c r="D8" s="694" t="s">
        <v>283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560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165.36068205721458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2.2489999999999999E-4</v>
      </c>
      <c r="S3" s="230">
        <v>9.1489299999999996E-2</v>
      </c>
    </row>
    <row r="4" spans="7:19" ht="20.100000000000001" customHeight="1">
      <c r="G4" s="135"/>
      <c r="H4" s="143"/>
      <c r="I4" s="140"/>
      <c r="J4" s="143"/>
      <c r="K4" s="147"/>
      <c r="M4" s="247" t="s">
        <v>205</v>
      </c>
      <c r="N4" s="237">
        <f>MIN(I3:I35)</f>
        <v>165.36068205721458</v>
      </c>
      <c r="O4" s="238">
        <f>MAX(I3:I35)</f>
        <v>165.36068205721458</v>
      </c>
      <c r="Q4" s="149"/>
      <c r="R4" s="150"/>
      <c r="S4" s="151"/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559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59" t="s">
        <v>219</v>
      </c>
      <c r="G43" s="755">
        <v>100</v>
      </c>
      <c r="H43" s="226">
        <v>24.39</v>
      </c>
      <c r="I43" s="757">
        <v>165.36068205721458</v>
      </c>
    </row>
    <row r="44" spans="6:25" ht="15.95" customHeight="1">
      <c r="F44" s="760"/>
      <c r="G44" s="756"/>
      <c r="H44" s="164">
        <v>11.47</v>
      </c>
      <c r="I44" s="758"/>
      <c r="K44" s="203"/>
    </row>
    <row r="45" spans="6:25" ht="15.95" customHeight="1">
      <c r="F45" s="761"/>
      <c r="G45" s="763"/>
      <c r="H45" s="136"/>
      <c r="I45" s="765"/>
      <c r="K45" s="203"/>
    </row>
    <row r="46" spans="6:25" ht="15.95" customHeight="1">
      <c r="F46" s="762"/>
      <c r="G46" s="764"/>
      <c r="H46" s="136"/>
      <c r="I46" s="765"/>
      <c r="K46" s="252" t="s">
        <v>705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66"/>
      <c r="G47" s="767"/>
      <c r="H47" s="164"/>
      <c r="I47" s="758"/>
      <c r="K47" s="252" t="s">
        <v>706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60"/>
      <c r="G48" s="756"/>
      <c r="H48" s="164"/>
      <c r="I48" s="758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61"/>
      <c r="G49" s="763"/>
      <c r="H49" s="136"/>
      <c r="I49" s="765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62"/>
      <c r="G50" s="764"/>
      <c r="H50" s="136"/>
      <c r="I50" s="765"/>
      <c r="K50" s="203"/>
    </row>
    <row r="51" spans="6:25" ht="15.95" customHeight="1">
      <c r="F51" s="766"/>
      <c r="G51" s="767"/>
      <c r="H51" s="164"/>
      <c r="I51" s="758"/>
      <c r="K51" s="203"/>
    </row>
    <row r="52" spans="6:25" ht="15.95" customHeight="1">
      <c r="F52" s="760"/>
      <c r="G52" s="756"/>
      <c r="H52" s="164"/>
      <c r="I52" s="758"/>
      <c r="K52" s="203"/>
    </row>
    <row r="53" spans="6:25" ht="15.95" customHeight="1">
      <c r="F53" s="761"/>
      <c r="G53" s="763"/>
      <c r="H53" s="136"/>
      <c r="I53" s="765"/>
      <c r="K53" s="203"/>
    </row>
    <row r="54" spans="6:25" ht="15.95" customHeight="1">
      <c r="F54" s="762"/>
      <c r="G54" s="764"/>
      <c r="H54" s="136"/>
      <c r="I54" s="765"/>
      <c r="K54" s="203"/>
    </row>
    <row r="55" spans="6:25" ht="15.95" customHeight="1">
      <c r="F55" s="766"/>
      <c r="G55" s="767"/>
      <c r="H55" s="164"/>
      <c r="I55" s="758"/>
      <c r="K55" s="203"/>
    </row>
    <row r="56" spans="6:25" ht="15.95" customHeight="1">
      <c r="F56" s="760"/>
      <c r="G56" s="756"/>
      <c r="H56" s="164"/>
      <c r="I56" s="758"/>
      <c r="K56" s="203"/>
    </row>
    <row r="57" spans="6:25" ht="15.95" hidden="1" customHeight="1" outlineLevel="1">
      <c r="F57" s="761"/>
      <c r="G57" s="763"/>
      <c r="H57" s="136"/>
      <c r="I57" s="765"/>
      <c r="K57" s="203"/>
    </row>
    <row r="58" spans="6:25" ht="15.95" hidden="1" customHeight="1" outlineLevel="1">
      <c r="F58" s="762"/>
      <c r="G58" s="764"/>
      <c r="H58" s="136"/>
      <c r="I58" s="765"/>
      <c r="K58" s="203"/>
    </row>
    <row r="59" spans="6:25" ht="15.95" hidden="1" customHeight="1" outlineLevel="1">
      <c r="F59" s="766"/>
      <c r="G59" s="767"/>
      <c r="H59" s="164"/>
      <c r="I59" s="758"/>
      <c r="K59" s="203"/>
    </row>
    <row r="60" spans="6:25" ht="15.95" hidden="1" customHeight="1" outlineLevel="1">
      <c r="F60" s="760"/>
      <c r="G60" s="756"/>
      <c r="H60" s="164"/>
      <c r="I60" s="758"/>
      <c r="K60" s="203"/>
    </row>
    <row r="61" spans="6:25" ht="15.95" hidden="1" customHeight="1" outlineLevel="1">
      <c r="F61" s="761"/>
      <c r="G61" s="763"/>
      <c r="H61" s="136"/>
      <c r="I61" s="765"/>
      <c r="K61" s="203"/>
    </row>
    <row r="62" spans="6:25" ht="15.95" hidden="1" customHeight="1" outlineLevel="1">
      <c r="F62" s="762"/>
      <c r="G62" s="764"/>
      <c r="H62" s="136"/>
      <c r="I62" s="765"/>
      <c r="K62" s="203"/>
    </row>
    <row r="63" spans="6:25" ht="15.95" hidden="1" customHeight="1" outlineLevel="1">
      <c r="F63" s="766"/>
      <c r="G63" s="767"/>
      <c r="H63" s="164"/>
      <c r="I63" s="758"/>
      <c r="K63" s="203"/>
    </row>
    <row r="64" spans="6:25" ht="15.95" hidden="1" customHeight="1" outlineLevel="1">
      <c r="F64" s="760"/>
      <c r="G64" s="756"/>
      <c r="H64" s="164"/>
      <c r="I64" s="758"/>
      <c r="K64" s="203"/>
    </row>
    <row r="65" spans="6:11" ht="15.95" hidden="1" customHeight="1" outlineLevel="1">
      <c r="F65" s="761"/>
      <c r="G65" s="763"/>
      <c r="H65" s="136"/>
      <c r="I65" s="765"/>
      <c r="K65" s="203"/>
    </row>
    <row r="66" spans="6:11" ht="15.95" hidden="1" customHeight="1" outlineLevel="1">
      <c r="F66" s="762"/>
      <c r="G66" s="764"/>
      <c r="H66" s="136"/>
      <c r="I66" s="765"/>
      <c r="K66" s="203"/>
    </row>
    <row r="67" spans="6:11" ht="15.95" hidden="1" customHeight="1" outlineLevel="1">
      <c r="F67" s="766"/>
      <c r="G67" s="767"/>
      <c r="H67" s="164"/>
      <c r="I67" s="758"/>
      <c r="K67" s="203"/>
    </row>
    <row r="68" spans="6:11" ht="15.95" hidden="1" customHeight="1" outlineLevel="1">
      <c r="F68" s="760"/>
      <c r="G68" s="756"/>
      <c r="H68" s="164"/>
      <c r="I68" s="758"/>
      <c r="K68" s="203"/>
    </row>
    <row r="69" spans="6:11" ht="15.95" hidden="1" customHeight="1" outlineLevel="1">
      <c r="F69" s="761"/>
      <c r="G69" s="763"/>
      <c r="H69" s="136"/>
      <c r="I69" s="765"/>
      <c r="K69" s="203"/>
    </row>
    <row r="70" spans="6:11" ht="15.95" hidden="1" customHeight="1" outlineLevel="1">
      <c r="F70" s="762"/>
      <c r="G70" s="764"/>
      <c r="H70" s="136"/>
      <c r="I70" s="765"/>
      <c r="K70" s="203"/>
    </row>
    <row r="71" spans="6:11" ht="15.95" hidden="1" customHeight="1" outlineLevel="1">
      <c r="F71" s="766"/>
      <c r="G71" s="767"/>
      <c r="H71" s="164"/>
      <c r="I71" s="758"/>
      <c r="K71" s="203"/>
    </row>
    <row r="72" spans="6:11" ht="15.95" hidden="1" customHeight="1" outlineLevel="1">
      <c r="F72" s="760"/>
      <c r="G72" s="756"/>
      <c r="H72" s="164"/>
      <c r="I72" s="758"/>
      <c r="K72" s="203"/>
    </row>
    <row r="73" spans="6:11" ht="15.95" hidden="1" customHeight="1" outlineLevel="1">
      <c r="F73" s="761"/>
      <c r="G73" s="763"/>
      <c r="H73" s="136"/>
      <c r="I73" s="765"/>
    </row>
    <row r="74" spans="6:11" ht="15.95" hidden="1" customHeight="1" outlineLevel="1">
      <c r="F74" s="762"/>
      <c r="G74" s="764"/>
      <c r="H74" s="136"/>
      <c r="I74" s="765"/>
    </row>
    <row r="75" spans="6:11" ht="15.95" hidden="1" customHeight="1" outlineLevel="1">
      <c r="F75" s="766"/>
      <c r="G75" s="767"/>
      <c r="H75" s="164"/>
      <c r="I75" s="758"/>
    </row>
    <row r="76" spans="6:11" ht="15.95" hidden="1" customHeight="1" outlineLevel="1">
      <c r="F76" s="760"/>
      <c r="G76" s="756"/>
      <c r="H76" s="164"/>
      <c r="I76" s="758"/>
    </row>
    <row r="77" spans="6:11" ht="15.95" hidden="1" customHeight="1" outlineLevel="1">
      <c r="F77" s="761"/>
      <c r="G77" s="763"/>
      <c r="H77" s="136"/>
      <c r="I77" s="765"/>
    </row>
    <row r="78" spans="6:11" ht="15.95" hidden="1" customHeight="1" outlineLevel="1">
      <c r="F78" s="762"/>
      <c r="G78" s="764"/>
      <c r="H78" s="136"/>
      <c r="I78" s="765"/>
    </row>
    <row r="79" spans="6:11" ht="15.95" hidden="1" customHeight="1" outlineLevel="1">
      <c r="F79" s="766"/>
      <c r="G79" s="767"/>
      <c r="H79" s="164"/>
      <c r="I79" s="758"/>
    </row>
    <row r="80" spans="6:11" ht="15.95" hidden="1" customHeight="1" outlineLevel="1">
      <c r="F80" s="760"/>
      <c r="G80" s="756"/>
      <c r="H80" s="164"/>
      <c r="I80" s="758"/>
    </row>
    <row r="81" spans="6:9" ht="15.95" hidden="1" customHeight="1" outlineLevel="1">
      <c r="F81" s="761"/>
      <c r="G81" s="763"/>
      <c r="H81" s="136"/>
      <c r="I81" s="765"/>
    </row>
    <row r="82" spans="6:9" ht="15.95" hidden="1" customHeight="1" outlineLevel="1">
      <c r="F82" s="762"/>
      <c r="G82" s="764"/>
      <c r="H82" s="136"/>
      <c r="I82" s="765"/>
    </row>
    <row r="83" spans="6:9" ht="15.95" hidden="1" customHeight="1" outlineLevel="1">
      <c r="F83" s="766"/>
      <c r="G83" s="767"/>
      <c r="H83" s="164"/>
      <c r="I83" s="758"/>
    </row>
    <row r="84" spans="6:9" ht="15.95" hidden="1" customHeight="1" outlineLevel="1">
      <c r="F84" s="760"/>
      <c r="G84" s="756"/>
      <c r="H84" s="164"/>
      <c r="I84" s="758"/>
    </row>
    <row r="85" spans="6:9" ht="15.95" hidden="1" customHeight="1" outlineLevel="1">
      <c r="F85" s="761"/>
      <c r="G85" s="763"/>
      <c r="H85" s="136"/>
      <c r="I85" s="765"/>
    </row>
    <row r="86" spans="6:9" ht="15.95" hidden="1" customHeight="1" outlineLevel="1">
      <c r="F86" s="762"/>
      <c r="G86" s="764"/>
      <c r="H86" s="136"/>
      <c r="I86" s="765"/>
    </row>
    <row r="87" spans="6:9" ht="15.95" hidden="1" customHeight="1" outlineLevel="1">
      <c r="F87" s="766"/>
      <c r="G87" s="767"/>
      <c r="H87" s="164"/>
      <c r="I87" s="758"/>
    </row>
    <row r="88" spans="6:9" ht="15.95" hidden="1" customHeight="1" outlineLevel="1">
      <c r="F88" s="760"/>
      <c r="G88" s="756"/>
      <c r="H88" s="164"/>
      <c r="I88" s="758"/>
    </row>
    <row r="89" spans="6:9" ht="15.95" hidden="1" customHeight="1" outlineLevel="1">
      <c r="F89" s="761"/>
      <c r="G89" s="763"/>
      <c r="H89" s="136"/>
      <c r="I89" s="765"/>
    </row>
    <row r="90" spans="6:9" ht="15.95" hidden="1" customHeight="1" outlineLevel="1">
      <c r="F90" s="762"/>
      <c r="G90" s="764"/>
      <c r="H90" s="136"/>
      <c r="I90" s="765"/>
    </row>
    <row r="91" spans="6:9" ht="15.95" hidden="1" customHeight="1" outlineLevel="1">
      <c r="F91" s="766"/>
      <c r="G91" s="767"/>
      <c r="H91" s="164"/>
      <c r="I91" s="758"/>
    </row>
    <row r="92" spans="6:9" ht="15.95" hidden="1" customHeight="1" outlineLevel="1">
      <c r="F92" s="760"/>
      <c r="G92" s="756"/>
      <c r="H92" s="164"/>
      <c r="I92" s="758"/>
    </row>
    <row r="93" spans="6:9" ht="15.95" hidden="1" customHeight="1" outlineLevel="1">
      <c r="F93" s="761"/>
      <c r="G93" s="763"/>
      <c r="H93" s="136"/>
      <c r="I93" s="765"/>
    </row>
    <row r="94" spans="6:9" ht="15.95" hidden="1" customHeight="1" outlineLevel="1">
      <c r="F94" s="762"/>
      <c r="G94" s="764"/>
      <c r="H94" s="136"/>
      <c r="I94" s="765"/>
    </row>
    <row r="95" spans="6:9" ht="15.95" hidden="1" customHeight="1" outlineLevel="1">
      <c r="F95" s="771"/>
      <c r="G95" s="768"/>
      <c r="H95" s="117"/>
      <c r="I95" s="770"/>
    </row>
    <row r="96" spans="6:9" ht="15.95" hidden="1" customHeight="1" outlineLevel="1">
      <c r="F96" s="772"/>
      <c r="G96" s="769"/>
      <c r="H96" s="117"/>
      <c r="I96" s="770"/>
    </row>
    <row r="97" spans="6:9" ht="15.95" hidden="1" customHeight="1" outlineLevel="1">
      <c r="F97" s="773"/>
      <c r="G97" s="775"/>
      <c r="H97" s="141"/>
      <c r="I97" s="777"/>
    </row>
    <row r="98" spans="6:9" ht="15.95" hidden="1" customHeight="1" outlineLevel="1">
      <c r="F98" s="779"/>
      <c r="G98" s="780"/>
      <c r="H98" s="141"/>
      <c r="I98" s="777"/>
    </row>
    <row r="99" spans="6:9" ht="15.95" hidden="1" customHeight="1" outlineLevel="1">
      <c r="F99" s="771"/>
      <c r="G99" s="768"/>
      <c r="H99" s="117"/>
      <c r="I99" s="770"/>
    </row>
    <row r="100" spans="6:9" ht="15.95" hidden="1" customHeight="1" outlineLevel="1">
      <c r="F100" s="772"/>
      <c r="G100" s="769"/>
      <c r="H100" s="117"/>
      <c r="I100" s="770"/>
    </row>
    <row r="101" spans="6:9" ht="15.95" hidden="1" customHeight="1" outlineLevel="1">
      <c r="F101" s="773"/>
      <c r="G101" s="775"/>
      <c r="H101" s="141"/>
      <c r="I101" s="777"/>
    </row>
    <row r="102" spans="6:9" ht="15.95" hidden="1" customHeight="1" outlineLevel="1" thickBot="1">
      <c r="F102" s="774"/>
      <c r="G102" s="776"/>
      <c r="H102" s="219"/>
      <c r="I102" s="77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268</v>
      </c>
      <c r="G1" s="231" t="s">
        <v>558</v>
      </c>
      <c r="L1" s="231" t="s">
        <v>748</v>
      </c>
      <c r="S1" s="231" t="s">
        <v>224</v>
      </c>
    </row>
    <row r="2" spans="2:21" ht="36.75" customHeight="1">
      <c r="C2" s="676" t="s">
        <v>209</v>
      </c>
      <c r="D2" s="677" t="s">
        <v>549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746</v>
      </c>
      <c r="Q2" s="682" t="s">
        <v>747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11.31</v>
      </c>
      <c r="G3" s="600">
        <v>38.72</v>
      </c>
      <c r="H3" s="600">
        <v>27.409999999999997</v>
      </c>
      <c r="I3" s="600">
        <v>0.1</v>
      </c>
      <c r="J3" s="601">
        <v>3.5331272991751881</v>
      </c>
      <c r="K3" s="203"/>
      <c r="L3" s="163">
        <v>160</v>
      </c>
      <c r="M3" s="164">
        <v>0.1</v>
      </c>
      <c r="N3" s="164">
        <v>0.1</v>
      </c>
      <c r="O3" s="164">
        <v>75</v>
      </c>
      <c r="P3" s="164">
        <v>2.734</v>
      </c>
      <c r="Q3" s="167">
        <v>0.31109999999999999</v>
      </c>
      <c r="S3" s="214">
        <v>38.72</v>
      </c>
      <c r="T3" s="199">
        <v>13.249017850133063</v>
      </c>
      <c r="U3" s="209">
        <v>25.470982149866934</v>
      </c>
    </row>
    <row r="4" spans="2:21" ht="20.100000000000001" customHeight="1">
      <c r="C4" s="602"/>
      <c r="D4" s="603"/>
      <c r="E4" s="603"/>
      <c r="F4" s="603"/>
      <c r="G4" s="603"/>
      <c r="H4" s="603"/>
      <c r="I4" s="603"/>
      <c r="J4" s="604"/>
      <c r="K4" s="203"/>
      <c r="L4" s="135"/>
      <c r="M4" s="136"/>
      <c r="N4" s="136"/>
      <c r="O4" s="136"/>
      <c r="P4" s="136"/>
      <c r="Q4" s="138"/>
      <c r="S4" s="179"/>
      <c r="T4" s="140"/>
      <c r="U4" s="137"/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705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706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227</v>
      </c>
      <c r="E36" s="231" t="s">
        <v>557</v>
      </c>
      <c r="G36" s="234"/>
      <c r="S36" s="253"/>
      <c r="T36" s="253"/>
    </row>
    <row r="37" spans="3:36" s="256" customFormat="1" ht="36" customHeight="1">
      <c r="C37" s="672" t="s">
        <v>244</v>
      </c>
      <c r="D37" s="673" t="s">
        <v>81</v>
      </c>
      <c r="E37" s="673"/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230</v>
      </c>
      <c r="D38" s="587">
        <v>2.4314999999999998</v>
      </c>
      <c r="E38" s="588"/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3.2419999999999997E-2</v>
      </c>
      <c r="E39" s="588"/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8.7009999999999995E-4</v>
      </c>
      <c r="E40" s="590"/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550</v>
      </c>
      <c r="D41" s="587">
        <v>0.375</v>
      </c>
      <c r="E41" s="588"/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229</v>
      </c>
      <c r="D42" s="591">
        <v>27.409999999999997</v>
      </c>
      <c r="E42" s="592"/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228</v>
      </c>
      <c r="D43" s="593">
        <v>75</v>
      </c>
      <c r="E43" s="594"/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551</v>
      </c>
      <c r="D46" s="203"/>
      <c r="E46" s="203"/>
      <c r="G46" s="203"/>
      <c r="H46" s="231" t="s">
        <v>741</v>
      </c>
      <c r="I46" s="231"/>
      <c r="J46" s="260"/>
      <c r="K46" s="203"/>
      <c r="L46" s="203"/>
      <c r="M46" s="203"/>
      <c r="N46" s="203"/>
      <c r="P46" s="231" t="s">
        <v>742</v>
      </c>
      <c r="Q46" s="203"/>
      <c r="R46" s="203"/>
    </row>
    <row r="47" spans="3:36" s="203" customFormat="1" ht="33.75" customHeight="1">
      <c r="C47" s="524" t="s">
        <v>257</v>
      </c>
      <c r="D47" s="525" t="s">
        <v>561</v>
      </c>
      <c r="E47" s="525" t="s">
        <v>572</v>
      </c>
      <c r="F47" s="526" t="s">
        <v>573</v>
      </c>
      <c r="H47" s="684" t="s">
        <v>199</v>
      </c>
      <c r="I47" s="685" t="s">
        <v>574</v>
      </c>
      <c r="J47" s="686" t="s">
        <v>100</v>
      </c>
      <c r="K47" s="685" t="s">
        <v>578</v>
      </c>
      <c r="L47" s="685" t="s">
        <v>575</v>
      </c>
      <c r="M47" s="685" t="s">
        <v>204</v>
      </c>
      <c r="N47" s="687" t="s">
        <v>203</v>
      </c>
      <c r="P47" s="684" t="s">
        <v>199</v>
      </c>
      <c r="Q47" s="685" t="s">
        <v>576</v>
      </c>
      <c r="R47" s="687" t="s">
        <v>577</v>
      </c>
    </row>
    <row r="48" spans="3:36" ht="20.100000000000001" customHeight="1">
      <c r="C48" s="771" t="s">
        <v>81</v>
      </c>
      <c r="D48" s="533" t="s">
        <v>743</v>
      </c>
      <c r="E48" s="528">
        <v>2.734</v>
      </c>
      <c r="F48" s="534">
        <v>8.7009999999999995E-4</v>
      </c>
      <c r="G48" s="557"/>
      <c r="H48" s="220" t="s">
        <v>219</v>
      </c>
      <c r="I48" s="165">
        <v>47.9</v>
      </c>
      <c r="J48" s="165">
        <v>58.7</v>
      </c>
      <c r="K48" s="165">
        <v>48.6</v>
      </c>
      <c r="L48" s="165">
        <v>51.733333333333334</v>
      </c>
      <c r="M48" s="165">
        <v>58.7</v>
      </c>
      <c r="N48" s="221">
        <v>47.9</v>
      </c>
      <c r="P48" s="224" t="s">
        <v>219</v>
      </c>
      <c r="Q48" s="216">
        <v>-2.9920653834266719</v>
      </c>
      <c r="R48" s="554">
        <v>1.9930000000000001</v>
      </c>
      <c r="S48" s="532"/>
      <c r="T48" s="532"/>
      <c r="U48" s="532"/>
      <c r="V48" s="532"/>
    </row>
    <row r="49" spans="3:22" ht="20.100000000000001" customHeight="1">
      <c r="C49" s="781"/>
      <c r="D49" s="535" t="s">
        <v>744</v>
      </c>
      <c r="E49" s="528">
        <v>2.129</v>
      </c>
      <c r="F49" s="560"/>
      <c r="G49" s="203"/>
      <c r="H49" s="142"/>
      <c r="I49" s="143"/>
      <c r="J49" s="143"/>
      <c r="K49" s="143"/>
      <c r="L49" s="143"/>
      <c r="M49" s="143"/>
      <c r="N49" s="144"/>
      <c r="P49" s="145"/>
      <c r="Q49" s="139"/>
      <c r="R49" s="555"/>
      <c r="S49" s="532"/>
      <c r="T49" s="532"/>
      <c r="U49" s="532"/>
      <c r="V49" s="532"/>
    </row>
    <row r="50" spans="3:22" ht="20.100000000000001" customHeight="1">
      <c r="C50" s="772"/>
      <c r="D50" s="535" t="s">
        <v>745</v>
      </c>
      <c r="E50" s="537">
        <v>2.4314999999999998</v>
      </c>
      <c r="F50" s="538">
        <v>8.7009999999999995E-4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73" t="s">
        <v>147</v>
      </c>
      <c r="D51" s="539"/>
      <c r="E51" s="529"/>
      <c r="F51" s="540"/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82"/>
      <c r="D52" s="539"/>
      <c r="E52" s="529"/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79"/>
      <c r="D53" s="539"/>
      <c r="E53" s="541"/>
      <c r="F53" s="542"/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71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81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72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73" t="s">
        <v>750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82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79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751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752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753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754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755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756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71" t="s">
        <v>757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81"/>
      <c r="D79" s="535"/>
      <c r="E79" s="528"/>
      <c r="F79" s="538"/>
      <c r="H79" s="279" t="s">
        <v>199</v>
      </c>
      <c r="I79" s="280" t="s">
        <v>579</v>
      </c>
      <c r="J79" s="281" t="s">
        <v>573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72"/>
      <c r="D80" s="535"/>
      <c r="E80" s="537"/>
      <c r="F80" s="538"/>
      <c r="H80" s="220" t="s">
        <v>219</v>
      </c>
      <c r="I80" s="270">
        <v>2.129</v>
      </c>
      <c r="J80" s="271">
        <v>8.7009999999999995E-4</v>
      </c>
      <c r="K80" s="457" t="s">
        <v>707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73"/>
      <c r="D81" s="539"/>
      <c r="E81" s="529"/>
      <c r="F81" s="540"/>
      <c r="H81" s="142"/>
      <c r="I81" s="274"/>
      <c r="J81" s="275"/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82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79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71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81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72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73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82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79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71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81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72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73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82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79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71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81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72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73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82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79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71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81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72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73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82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79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71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81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72"/>
      <c r="D110" s="535"/>
      <c r="E110" s="537"/>
      <c r="F110" s="538"/>
      <c r="H110" s="202"/>
    </row>
    <row r="111" spans="3:18" ht="20.100000000000001" customHeight="1" outlineLevel="1">
      <c r="C111" s="773"/>
      <c r="D111" s="539"/>
      <c r="E111" s="529"/>
      <c r="F111" s="540"/>
      <c r="H111" s="202"/>
    </row>
    <row r="112" spans="3:18" ht="20.100000000000001" customHeight="1" outlineLevel="1">
      <c r="C112" s="782"/>
      <c r="D112" s="539"/>
      <c r="E112" s="529"/>
      <c r="F112" s="540"/>
      <c r="H112" s="202"/>
    </row>
    <row r="113" spans="3:8" ht="20.100000000000001" customHeight="1" outlineLevel="1">
      <c r="C113" s="779"/>
      <c r="D113" s="539"/>
      <c r="E113" s="541"/>
      <c r="F113" s="542"/>
      <c r="H113" s="202"/>
    </row>
    <row r="114" spans="3:8" ht="20.100000000000001" customHeight="1" outlineLevel="1">
      <c r="C114" s="771"/>
      <c r="D114" s="535"/>
      <c r="E114" s="528"/>
      <c r="F114" s="534"/>
      <c r="H114" s="202"/>
    </row>
    <row r="115" spans="3:8" ht="20.100000000000001" customHeight="1" outlineLevel="1">
      <c r="C115" s="781"/>
      <c r="D115" s="535"/>
      <c r="E115" s="528"/>
      <c r="F115" s="534"/>
      <c r="H115" s="202"/>
    </row>
    <row r="116" spans="3:8" ht="20.100000000000001" customHeight="1" outlineLevel="1">
      <c r="C116" s="772"/>
      <c r="D116" s="535"/>
      <c r="E116" s="537"/>
      <c r="F116" s="538"/>
      <c r="H116" s="202"/>
    </row>
    <row r="117" spans="3:8" ht="20.100000000000001" customHeight="1" outlineLevel="1">
      <c r="C117" s="773"/>
      <c r="D117" s="539"/>
      <c r="E117" s="529"/>
      <c r="F117" s="540"/>
      <c r="H117" s="202"/>
    </row>
    <row r="118" spans="3:8" ht="20.100000000000001" customHeight="1" outlineLevel="1">
      <c r="C118" s="782"/>
      <c r="D118" s="539"/>
      <c r="E118" s="529"/>
      <c r="F118" s="540"/>
      <c r="H118" s="202"/>
    </row>
    <row r="119" spans="3:8" ht="20.100000000000001" customHeight="1" outlineLevel="1">
      <c r="C119" s="779"/>
      <c r="D119" s="539"/>
      <c r="E119" s="541"/>
      <c r="F119" s="542"/>
      <c r="H119" s="202"/>
    </row>
    <row r="120" spans="3:8" ht="20.100000000000001" customHeight="1" outlineLevel="1">
      <c r="C120" s="771"/>
      <c r="D120" s="535"/>
      <c r="E120" s="528"/>
      <c r="F120" s="534"/>
      <c r="H120" s="202"/>
    </row>
    <row r="121" spans="3:8" ht="20.100000000000001" customHeight="1" outlineLevel="1">
      <c r="C121" s="781"/>
      <c r="D121" s="535"/>
      <c r="E121" s="528"/>
      <c r="F121" s="534"/>
      <c r="H121" s="202"/>
    </row>
    <row r="122" spans="3:8" ht="20.100000000000001" customHeight="1" outlineLevel="1">
      <c r="C122" s="772"/>
      <c r="D122" s="535"/>
      <c r="E122" s="537"/>
      <c r="F122" s="538"/>
      <c r="H122" s="202"/>
    </row>
    <row r="123" spans="3:8" ht="20.100000000000001" customHeight="1" outlineLevel="1">
      <c r="C123" s="773"/>
      <c r="D123" s="539"/>
      <c r="E123" s="529"/>
      <c r="F123" s="540"/>
      <c r="H123" s="202"/>
    </row>
    <row r="124" spans="3:8" ht="20.100000000000001" customHeight="1" outlineLevel="1">
      <c r="C124" s="782"/>
      <c r="D124" s="539"/>
      <c r="E124" s="529"/>
      <c r="F124" s="540"/>
      <c r="H124" s="202"/>
    </row>
    <row r="125" spans="3:8" ht="20.100000000000001" customHeight="1" outlineLevel="1">
      <c r="C125" s="779"/>
      <c r="D125" s="539"/>
      <c r="E125" s="541"/>
      <c r="F125" s="542"/>
      <c r="H125" s="202"/>
    </row>
    <row r="126" spans="3:8" ht="20.25" customHeight="1" outlineLevel="1">
      <c r="C126" s="771"/>
      <c r="D126" s="535"/>
      <c r="E126" s="528"/>
      <c r="F126" s="534"/>
      <c r="H126" s="202"/>
    </row>
    <row r="127" spans="3:8" ht="20.100000000000001" customHeight="1" outlineLevel="1">
      <c r="C127" s="781"/>
      <c r="D127" s="535"/>
      <c r="E127" s="528"/>
      <c r="F127" s="534"/>
      <c r="H127" s="202"/>
    </row>
    <row r="128" spans="3:8" ht="20.100000000000001" customHeight="1" outlineLevel="1">
      <c r="C128" s="772"/>
      <c r="D128" s="535"/>
      <c r="E128" s="537"/>
      <c r="F128" s="538"/>
      <c r="H128" s="202"/>
    </row>
    <row r="129" spans="3:12" ht="20.100000000000001" customHeight="1" outlineLevel="1">
      <c r="C129" s="773"/>
      <c r="D129" s="539"/>
      <c r="E129" s="544"/>
      <c r="F129" s="444"/>
      <c r="H129" s="202"/>
    </row>
    <row r="130" spans="3:12" ht="20.100000000000001" customHeight="1" outlineLevel="1">
      <c r="C130" s="782"/>
      <c r="D130" s="539"/>
      <c r="E130" s="544"/>
      <c r="F130" s="438"/>
    </row>
    <row r="131" spans="3:12" ht="20.100000000000001" customHeight="1" outlineLevel="1">
      <c r="C131" s="779"/>
      <c r="D131" s="539"/>
      <c r="E131" s="545"/>
      <c r="F131" s="546"/>
    </row>
    <row r="132" spans="3:12" ht="20.100000000000001" customHeight="1" outlineLevel="1">
      <c r="C132" s="771"/>
      <c r="D132" s="535"/>
      <c r="E132" s="533"/>
      <c r="F132" s="443"/>
    </row>
    <row r="133" spans="3:12" ht="20.100000000000001" customHeight="1" outlineLevel="1">
      <c r="C133" s="781"/>
      <c r="D133" s="535"/>
      <c r="E133" s="533"/>
      <c r="F133" s="427"/>
    </row>
    <row r="134" spans="3:12" ht="20.100000000000001" customHeight="1" outlineLevel="1">
      <c r="C134" s="772"/>
      <c r="D134" s="535"/>
      <c r="E134" s="547"/>
      <c r="F134" s="548"/>
    </row>
    <row r="135" spans="3:12" ht="20.100000000000001" customHeight="1" outlineLevel="1">
      <c r="C135" s="773"/>
      <c r="D135" s="539"/>
      <c r="E135" s="544"/>
      <c r="F135" s="444"/>
    </row>
    <row r="136" spans="3:12" ht="20.100000000000001" customHeight="1" outlineLevel="1">
      <c r="C136" s="782"/>
      <c r="D136" s="539"/>
      <c r="E136" s="544"/>
      <c r="F136" s="438"/>
    </row>
    <row r="137" spans="3:12" ht="20.100000000000001" customHeight="1" outlineLevel="1" thickBot="1">
      <c r="C137" s="774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P8" sqref="P8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226</v>
      </c>
    </row>
    <row r="3" spans="1:15" s="30" customFormat="1" ht="28.5" customHeight="1">
      <c r="C3" s="131" t="s">
        <v>257</v>
      </c>
      <c r="D3" s="132" t="s">
        <v>562</v>
      </c>
      <c r="E3" s="132" t="s">
        <v>254</v>
      </c>
      <c r="F3" s="132" t="s">
        <v>255</v>
      </c>
      <c r="G3" s="132" t="s">
        <v>563</v>
      </c>
      <c r="H3" s="132" t="s">
        <v>564</v>
      </c>
      <c r="I3" s="132" t="s">
        <v>565</v>
      </c>
      <c r="J3" s="132" t="s">
        <v>566</v>
      </c>
      <c r="K3" s="132" t="s">
        <v>567</v>
      </c>
      <c r="L3" s="132" t="s">
        <v>568</v>
      </c>
      <c r="M3" s="132" t="s">
        <v>569</v>
      </c>
      <c r="N3" s="132" t="s">
        <v>570</v>
      </c>
      <c r="O3" s="133" t="s">
        <v>571</v>
      </c>
    </row>
    <row r="4" spans="1:15" ht="20.100000000000001" customHeight="1">
      <c r="C4" s="448" t="s">
        <v>219</v>
      </c>
      <c r="D4" s="449" t="s">
        <v>846</v>
      </c>
      <c r="E4" s="449">
        <v>160</v>
      </c>
      <c r="F4" s="449">
        <v>2.4315000000000002</v>
      </c>
      <c r="G4" s="450">
        <v>2.4315000000000002</v>
      </c>
      <c r="H4" s="449">
        <v>0.03</v>
      </c>
      <c r="I4" s="449">
        <v>75</v>
      </c>
      <c r="J4" s="451">
        <v>75</v>
      </c>
      <c r="K4" s="449">
        <v>313</v>
      </c>
      <c r="L4" s="451">
        <v>313</v>
      </c>
      <c r="M4" s="449">
        <v>4.7000000000000002E-3</v>
      </c>
      <c r="N4" s="450">
        <v>4.7000000000000002E-3</v>
      </c>
      <c r="O4" s="452" t="s">
        <v>847</v>
      </c>
    </row>
    <row r="5" spans="1:15" ht="20.100000000000001" customHeight="1">
      <c r="C5" s="448"/>
      <c r="D5" s="449"/>
      <c r="E5" s="449"/>
      <c r="F5" s="449"/>
      <c r="G5" s="450"/>
      <c r="H5" s="449"/>
      <c r="I5" s="449"/>
      <c r="J5" s="451"/>
      <c r="K5" s="449"/>
      <c r="L5" s="451"/>
      <c r="M5" s="449"/>
      <c r="N5" s="450"/>
      <c r="O5" s="452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705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706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234</v>
      </c>
      <c r="M2" s="231" t="s">
        <v>548</v>
      </c>
    </row>
    <row r="3" spans="1:88" s="30" customFormat="1" ht="42.75" customHeight="1">
      <c r="A3" s="259"/>
      <c r="B3" s="259"/>
      <c r="C3" s="259"/>
      <c r="D3" s="261" t="s">
        <v>247</v>
      </c>
      <c r="E3" s="264" t="s">
        <v>248</v>
      </c>
      <c r="F3" s="264" t="s">
        <v>249</v>
      </c>
      <c r="G3" s="264" t="s">
        <v>250</v>
      </c>
      <c r="H3" s="264" t="s">
        <v>251</v>
      </c>
      <c r="I3" s="264" t="s">
        <v>252</v>
      </c>
      <c r="J3" s="264" t="s">
        <v>240</v>
      </c>
      <c r="K3" s="265" t="s">
        <v>241</v>
      </c>
      <c r="L3" s="259"/>
      <c r="M3" s="261" t="s">
        <v>247</v>
      </c>
      <c r="N3" s="264" t="s">
        <v>248</v>
      </c>
      <c r="O3" s="264" t="s">
        <v>249</v>
      </c>
      <c r="P3" s="264" t="s">
        <v>251</v>
      </c>
      <c r="Q3" s="264" t="s">
        <v>252</v>
      </c>
      <c r="R3" s="264" t="s">
        <v>240</v>
      </c>
      <c r="S3" s="265" t="s">
        <v>241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2506086.9561999999</v>
      </c>
      <c r="E4" s="80">
        <v>1309.9000000000001</v>
      </c>
      <c r="F4" s="80">
        <v>1555.920908436339</v>
      </c>
      <c r="G4" s="282">
        <v>0.70599999999999996</v>
      </c>
      <c r="H4" s="80">
        <v>1098.4801613560553</v>
      </c>
      <c r="I4" s="81">
        <v>600</v>
      </c>
      <c r="J4" s="80">
        <v>320</v>
      </c>
      <c r="K4" s="82">
        <v>178.48016135605531</v>
      </c>
      <c r="L4" s="284"/>
      <c r="M4" s="79">
        <f>D4</f>
        <v>2506086.9561999999</v>
      </c>
      <c r="N4" s="80">
        <f>E4</f>
        <v>1309.9000000000001</v>
      </c>
      <c r="O4" s="80">
        <f>F4</f>
        <v>1555.920908436339</v>
      </c>
      <c r="P4" s="80">
        <f>H4</f>
        <v>1098.4801613560553</v>
      </c>
      <c r="Q4" s="81">
        <f>I4</f>
        <v>600</v>
      </c>
      <c r="R4" s="80">
        <f>J4</f>
        <v>320</v>
      </c>
      <c r="S4" s="82">
        <f>K4</f>
        <v>178.48016135605531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247</v>
      </c>
      <c r="E7" s="264" t="s">
        <v>248</v>
      </c>
      <c r="F7" s="264" t="s">
        <v>249</v>
      </c>
      <c r="G7" s="264" t="s">
        <v>250</v>
      </c>
      <c r="H7" s="264" t="s">
        <v>251</v>
      </c>
      <c r="I7" s="264" t="s">
        <v>252</v>
      </c>
      <c r="J7" s="264" t="s">
        <v>253</v>
      </c>
      <c r="K7" s="265" t="s">
        <v>240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2506086.9561999999</v>
      </c>
      <c r="E8" s="80">
        <v>1309.9000000000001</v>
      </c>
      <c r="F8" s="80">
        <v>1555.920908436339</v>
      </c>
      <c r="G8" s="282">
        <v>0.70599999999999996</v>
      </c>
      <c r="H8" s="80">
        <v>1098.4801613560553</v>
      </c>
      <c r="I8" s="81">
        <v>600</v>
      </c>
      <c r="J8" s="80">
        <v>498.48016135605531</v>
      </c>
      <c r="K8" s="82">
        <v>320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256</v>
      </c>
      <c r="G10" s="201" t="s">
        <v>555</v>
      </c>
      <c r="M10" s="201" t="s">
        <v>556</v>
      </c>
    </row>
    <row r="11" spans="1:88" s="30" customFormat="1" ht="39" customHeight="1">
      <c r="A11" s="259"/>
      <c r="B11" s="259"/>
      <c r="C11" s="259"/>
      <c r="D11" s="419" t="s">
        <v>587</v>
      </c>
      <c r="E11" s="420" t="s">
        <v>588</v>
      </c>
      <c r="F11" s="420" t="s">
        <v>254</v>
      </c>
      <c r="G11" s="420" t="s">
        <v>589</v>
      </c>
      <c r="H11" s="420" t="s">
        <v>590</v>
      </c>
      <c r="I11" s="420" t="s">
        <v>154</v>
      </c>
      <c r="J11" s="420" t="s">
        <v>255</v>
      </c>
      <c r="K11" s="421" t="s">
        <v>591</v>
      </c>
      <c r="M11" s="416" t="s">
        <v>587</v>
      </c>
      <c r="N11" s="417" t="s">
        <v>588</v>
      </c>
      <c r="O11" s="417" t="s">
        <v>254</v>
      </c>
      <c r="P11" s="417" t="s">
        <v>589</v>
      </c>
      <c r="Q11" s="417" t="s">
        <v>590</v>
      </c>
      <c r="R11" s="417" t="s">
        <v>255</v>
      </c>
      <c r="S11" s="418" t="s">
        <v>591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150</v>
      </c>
      <c r="F12" s="423">
        <v>160</v>
      </c>
      <c r="G12" s="424">
        <v>23.3</v>
      </c>
      <c r="H12" s="424">
        <v>54.94</v>
      </c>
      <c r="I12" s="424">
        <v>31.639999999999997</v>
      </c>
      <c r="J12" s="425">
        <v>2.2524999999999999</v>
      </c>
      <c r="K12" s="443">
        <v>6.912E-4</v>
      </c>
      <c r="L12" s="203"/>
      <c r="M12" s="401" t="s">
        <v>219</v>
      </c>
      <c r="N12" s="402">
        <v>150</v>
      </c>
      <c r="O12" s="402">
        <v>160</v>
      </c>
      <c r="P12" s="403">
        <v>23.3</v>
      </c>
      <c r="Q12" s="403">
        <v>54.94</v>
      </c>
      <c r="R12" s="440">
        <v>2.2524999999999999</v>
      </c>
      <c r="S12" s="405">
        <v>6.912E-4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761</v>
      </c>
      <c r="E13" s="429">
        <v>150</v>
      </c>
      <c r="F13" s="429">
        <v>160</v>
      </c>
      <c r="G13" s="430">
        <v>19.100000000000001</v>
      </c>
      <c r="H13" s="430">
        <v>49.45</v>
      </c>
      <c r="I13" s="430">
        <v>30.35</v>
      </c>
      <c r="J13" s="431">
        <v>2.1154999999999999</v>
      </c>
      <c r="K13" s="444">
        <v>8.0670000000000004E-4</v>
      </c>
      <c r="L13" s="441"/>
      <c r="M13" s="406" t="s">
        <v>761</v>
      </c>
      <c r="N13" s="407">
        <v>150</v>
      </c>
      <c r="O13" s="407">
        <v>160</v>
      </c>
      <c r="P13" s="408">
        <v>19.100000000000001</v>
      </c>
      <c r="Q13" s="408">
        <v>49.45</v>
      </c>
      <c r="R13" s="442">
        <v>2.1154999999999999</v>
      </c>
      <c r="S13" s="409">
        <v>8.0670000000000004E-4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553</v>
      </c>
      <c r="I43" s="201" t="s">
        <v>554</v>
      </c>
      <c r="M43" s="204" t="s">
        <v>547</v>
      </c>
    </row>
    <row r="44" spans="1:88" ht="31.5" customHeight="1" thickBot="1">
      <c r="D44" s="103" t="s">
        <v>242</v>
      </c>
      <c r="E44" s="104" t="s">
        <v>592</v>
      </c>
      <c r="F44" s="104" t="s">
        <v>593</v>
      </c>
      <c r="G44" s="105" t="s">
        <v>276</v>
      </c>
      <c r="H44" s="202"/>
      <c r="I44" s="103" t="s">
        <v>242</v>
      </c>
      <c r="J44" s="104" t="s">
        <v>594</v>
      </c>
      <c r="K44" s="105" t="s">
        <v>595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285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819</v>
      </c>
      <c r="F45" s="195" t="s">
        <v>820</v>
      </c>
      <c r="G45" s="196" t="s">
        <v>758</v>
      </c>
      <c r="H45" s="203"/>
      <c r="I45" s="194" t="s">
        <v>219</v>
      </c>
      <c r="J45" s="195">
        <v>90</v>
      </c>
      <c r="K45" s="196">
        <v>114</v>
      </c>
      <c r="L45" s="203"/>
      <c r="M45" s="194" t="s">
        <v>819</v>
      </c>
      <c r="N45" s="195" t="s">
        <v>821</v>
      </c>
      <c r="O45" s="196" t="s">
        <v>822</v>
      </c>
      <c r="P45" s="203"/>
      <c r="Q45" s="127">
        <f>MAX(K45:K74)</f>
        <v>119</v>
      </c>
      <c r="R45" s="128" t="s">
        <v>818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761</v>
      </c>
      <c r="E46" s="192" t="s">
        <v>823</v>
      </c>
      <c r="F46" s="192" t="s">
        <v>824</v>
      </c>
      <c r="G46" s="193" t="s">
        <v>758</v>
      </c>
      <c r="H46" s="203"/>
      <c r="I46" s="191" t="s">
        <v>761</v>
      </c>
      <c r="J46" s="192">
        <v>95</v>
      </c>
      <c r="K46" s="193">
        <v>119</v>
      </c>
      <c r="L46" s="203"/>
      <c r="M46" s="191" t="s">
        <v>823</v>
      </c>
      <c r="N46" s="192" t="s">
        <v>825</v>
      </c>
      <c r="O46" s="193" t="s">
        <v>826</v>
      </c>
      <c r="P46" s="203"/>
      <c r="Q46" s="84">
        <f>MIN(J45:J74)</f>
        <v>90</v>
      </c>
      <c r="R46" s="109" t="s">
        <v>807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541</v>
      </c>
      <c r="R48" s="128">
        <v>52.8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542</v>
      </c>
      <c r="R49" s="109">
        <v>47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543</v>
      </c>
      <c r="R51" s="128">
        <v>191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544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233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761</v>
      </c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827</v>
      </c>
      <c r="E79" s="102" t="s">
        <v>827</v>
      </c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243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761</v>
      </c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828</v>
      </c>
      <c r="E84" s="102" t="s">
        <v>828</v>
      </c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580</v>
      </c>
    </row>
    <row r="88" spans="1:88" ht="30" customHeight="1">
      <c r="D88" s="261" t="s">
        <v>219</v>
      </c>
      <c r="E88" s="262" t="s">
        <v>761</v>
      </c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806</v>
      </c>
      <c r="E89" s="102" t="s">
        <v>806</v>
      </c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23.3</v>
      </c>
      <c r="F92" s="293">
        <v>19.100000000000001</v>
      </c>
      <c r="G92" s="294" t="s">
        <v>740</v>
      </c>
    </row>
    <row r="93" spans="1:88" ht="30" customHeight="1">
      <c r="D93" s="261" t="s">
        <v>219</v>
      </c>
      <c r="E93" s="262" t="s">
        <v>761</v>
      </c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829</v>
      </c>
      <c r="E94" s="102" t="s">
        <v>830</v>
      </c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54.94</v>
      </c>
      <c r="F97" s="293">
        <v>49.45</v>
      </c>
      <c r="G97" s="294" t="s">
        <v>540</v>
      </c>
    </row>
    <row r="98" spans="1:88" ht="30" customHeight="1">
      <c r="D98" s="261" t="s">
        <v>219</v>
      </c>
      <c r="E98" s="262" t="s">
        <v>761</v>
      </c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831</v>
      </c>
      <c r="E99" s="102" t="s">
        <v>832</v>
      </c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581</v>
      </c>
    </row>
    <row r="103" spans="1:88" ht="30" customHeight="1">
      <c r="D103" s="261" t="s">
        <v>219</v>
      </c>
      <c r="E103" s="262" t="s">
        <v>761</v>
      </c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834</v>
      </c>
      <c r="E104" s="102" t="s">
        <v>834</v>
      </c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245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761</v>
      </c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760</v>
      </c>
      <c r="E109" s="102" t="s">
        <v>760</v>
      </c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539</v>
      </c>
    </row>
    <row r="113" spans="4:33" ht="30" customHeight="1">
      <c r="D113" s="261" t="s">
        <v>219</v>
      </c>
      <c r="E113" s="262" t="s">
        <v>761</v>
      </c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833</v>
      </c>
      <c r="E114" s="102" t="s">
        <v>833</v>
      </c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538</v>
      </c>
    </row>
    <row r="118" spans="4:33" ht="30" customHeight="1">
      <c r="D118" s="261" t="s">
        <v>219</v>
      </c>
      <c r="E118" s="262" t="s">
        <v>761</v>
      </c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759</v>
      </c>
      <c r="E119" s="102" t="s">
        <v>759</v>
      </c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H14" sqref="H14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843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793" t="s">
        <v>0</v>
      </c>
      <c r="B2" s="783" t="s">
        <v>39</v>
      </c>
      <c r="C2" s="783" t="s">
        <v>6</v>
      </c>
      <c r="D2" s="783" t="s">
        <v>38</v>
      </c>
      <c r="E2" s="783" t="s">
        <v>194</v>
      </c>
      <c r="F2" s="783" t="s">
        <v>193</v>
      </c>
      <c r="G2" s="787" t="s">
        <v>1</v>
      </c>
      <c r="H2" s="787" t="s">
        <v>2</v>
      </c>
      <c r="I2" s="787" t="s">
        <v>162</v>
      </c>
      <c r="J2" s="791" t="s">
        <v>238</v>
      </c>
      <c r="K2" s="787" t="s">
        <v>237</v>
      </c>
      <c r="L2" s="787" t="s">
        <v>3</v>
      </c>
      <c r="M2" s="787" t="s">
        <v>4</v>
      </c>
      <c r="N2" s="787" t="s">
        <v>5</v>
      </c>
      <c r="O2" s="787" t="s">
        <v>236</v>
      </c>
      <c r="P2" s="789" t="s">
        <v>235</v>
      </c>
      <c r="Q2" s="783" t="s">
        <v>149</v>
      </c>
      <c r="R2" s="785" t="s">
        <v>87</v>
      </c>
    </row>
    <row r="3" spans="1:18" s="46" customFormat="1" ht="27" customHeight="1">
      <c r="A3" s="794"/>
      <c r="B3" s="784"/>
      <c r="C3" s="784"/>
      <c r="D3" s="784"/>
      <c r="E3" s="784"/>
      <c r="F3" s="784"/>
      <c r="G3" s="788"/>
      <c r="H3" s="788"/>
      <c r="I3" s="788"/>
      <c r="J3" s="792"/>
      <c r="K3" s="788"/>
      <c r="L3" s="788"/>
      <c r="M3" s="788"/>
      <c r="N3" s="788"/>
      <c r="O3" s="788"/>
      <c r="P3" s="790"/>
      <c r="Q3" s="784"/>
      <c r="R3" s="786"/>
    </row>
    <row r="4" spans="1:18" ht="23.1" customHeight="1" thickBot="1">
      <c r="A4" s="737" t="s">
        <v>835</v>
      </c>
      <c r="B4" s="738" t="str">
        <f>Recharge!$B$32</f>
        <v>주식회사 한일지하수</v>
      </c>
      <c r="C4" s="739"/>
      <c r="D4" s="740" t="s">
        <v>844</v>
      </c>
      <c r="E4" s="740" t="str">
        <f>Recharge!$I$24</f>
        <v>금강서해/대호방조제</v>
      </c>
      <c r="F4" s="740" t="str">
        <f>All!$B$2</f>
        <v>서산기상청</v>
      </c>
      <c r="G4" s="740">
        <v>200</v>
      </c>
      <c r="H4" s="740">
        <v>88</v>
      </c>
      <c r="I4" s="740">
        <v>160</v>
      </c>
      <c r="J4" s="740">
        <v>160</v>
      </c>
      <c r="K4" s="740">
        <v>200</v>
      </c>
      <c r="L4" s="740">
        <v>5</v>
      </c>
      <c r="M4" s="740">
        <v>60</v>
      </c>
      <c r="N4" s="741">
        <v>40</v>
      </c>
      <c r="O4" s="742">
        <f>ROUND(water!$F$7, 1)</f>
        <v>73.900000000000006</v>
      </c>
      <c r="P4" s="743">
        <v>2228487.1688000001</v>
      </c>
      <c r="Q4" s="740"/>
      <c r="R4" s="744"/>
    </row>
    <row r="5" spans="1:18" ht="23.25" customHeight="1" thickBot="1">
      <c r="A5" s="71"/>
      <c r="J5" s="85"/>
      <c r="P5" s="86"/>
    </row>
    <row r="6" spans="1:18" ht="23.25" customHeight="1" thickBot="1">
      <c r="I6" s="647">
        <f>SUM(I4:I5)</f>
        <v>160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당진시 고대면 보덕포로 522</v>
      </c>
      <c r="D2" s="391"/>
      <c r="E2" s="459">
        <f>K7</f>
        <v>146</v>
      </c>
      <c r="F2" s="459">
        <f>(G7*E2^2)/E7</f>
        <v>7.6278229899239145</v>
      </c>
      <c r="G2" s="459">
        <f>(F7*E2)/E7</f>
        <v>1.9466666666666668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27">
        <f>Well!C4</f>
        <v>0</v>
      </c>
      <c r="D3" s="509" t="s">
        <v>49</v>
      </c>
      <c r="E3" s="510" t="s">
        <v>108</v>
      </c>
      <c r="F3" s="511" t="s">
        <v>98</v>
      </c>
      <c r="G3" s="512" t="s">
        <v>582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28">
        <f>Well!R4</f>
        <v>0</v>
      </c>
      <c r="D4" s="513" t="s">
        <v>51</v>
      </c>
      <c r="E4" s="514">
        <v>0</v>
      </c>
      <c r="F4" s="514"/>
      <c r="G4" s="515">
        <v>0.31109999999999999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28">
        <f>Well!Q4</f>
        <v>0</v>
      </c>
      <c r="D5" s="513" t="s">
        <v>53</v>
      </c>
      <c r="E5" s="516">
        <v>2.734</v>
      </c>
      <c r="F5" s="517">
        <f>$E$5/$C$14</f>
        <v>3.6453333333333331E-2</v>
      </c>
      <c r="G5" s="518">
        <v>8.7009999999999995E-4</v>
      </c>
      <c r="H5" s="392">
        <v>-2.9920653834266719</v>
      </c>
      <c r="I5"/>
      <c r="J5" s="125" t="s">
        <v>277</v>
      </c>
      <c r="K5"/>
      <c r="L5"/>
      <c r="M5"/>
    </row>
    <row r="6" spans="1:13" ht="20.100000000000001" customHeight="1" thickBot="1">
      <c r="B6" s="505" t="s">
        <v>54</v>
      </c>
      <c r="C6" s="729" t="str">
        <f>Well!D4</f>
        <v xml:space="preserve"> 당진시 고대면 보덕포로 522</v>
      </c>
      <c r="D6" s="513" t="s">
        <v>56</v>
      </c>
      <c r="E6" s="517">
        <v>2.129</v>
      </c>
      <c r="F6" s="517">
        <f>$E$6/$C$14</f>
        <v>2.8386666666666668E-2</v>
      </c>
      <c r="G6" s="519">
        <v>118.5</v>
      </c>
      <c r="H6" s="393">
        <v>1.9930000000000001</v>
      </c>
      <c r="I6"/>
      <c r="J6" s="615" t="s">
        <v>275</v>
      </c>
      <c r="K6" s="616">
        <v>178</v>
      </c>
      <c r="L6"/>
      <c r="M6"/>
    </row>
    <row r="7" spans="1:13" ht="20.100000000000001" customHeight="1" thickBot="1">
      <c r="B7" s="506" t="s">
        <v>55</v>
      </c>
      <c r="C7" s="730">
        <f>Well!H4</f>
        <v>88</v>
      </c>
      <c r="D7" s="520" t="s">
        <v>58</v>
      </c>
      <c r="E7" s="521">
        <f>ROUND((E5+E6)/2,4)</f>
        <v>2.4315000000000002</v>
      </c>
      <c r="F7" s="522">
        <f>$E$7/$C$14</f>
        <v>3.2420000000000004E-2</v>
      </c>
      <c r="G7" s="523">
        <f>G5</f>
        <v>8.7009999999999995E-4</v>
      </c>
      <c r="I7"/>
      <c r="J7" s="617" t="s">
        <v>276</v>
      </c>
      <c r="K7" s="618">
        <v>146</v>
      </c>
      <c r="L7"/>
      <c r="M7"/>
    </row>
    <row r="8" spans="1:13" ht="20.100000000000001" customHeight="1" thickBot="1">
      <c r="B8" s="506" t="s">
        <v>57</v>
      </c>
      <c r="C8" s="731">
        <f>Well!G4</f>
        <v>200</v>
      </c>
      <c r="D8" s="458">
        <f>C8/2000</f>
        <v>0.1</v>
      </c>
    </row>
    <row r="9" spans="1:13" ht="25.5" customHeight="1" thickBot="1">
      <c r="B9" s="506" t="s">
        <v>59</v>
      </c>
      <c r="C9" s="732">
        <f>C10+C11</f>
        <v>13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58.7</v>
      </c>
    </row>
    <row r="10" spans="1:13" ht="20.100000000000001" customHeight="1" thickBot="1">
      <c r="B10" s="505" t="s">
        <v>60</v>
      </c>
      <c r="C10" s="748">
        <v>5</v>
      </c>
      <c r="D10" s="121" t="s">
        <v>61</v>
      </c>
      <c r="E10" s="398">
        <v>47.9</v>
      </c>
      <c r="F10" s="399">
        <v>58.7</v>
      </c>
      <c r="G10" s="400">
        <v>48.6</v>
      </c>
      <c r="H10" s="628">
        <f>MIN(E10,F10,G10)</f>
        <v>47.9</v>
      </c>
      <c r="I10" s="4"/>
    </row>
    <row r="11" spans="1:13" ht="25.5" customHeight="1" thickBot="1">
      <c r="B11" s="505" t="s">
        <v>62</v>
      </c>
      <c r="C11" s="748">
        <v>8</v>
      </c>
      <c r="D11" s="72" t="s">
        <v>63</v>
      </c>
      <c r="E11" s="65">
        <f>ROUND(AVERAGE(E10:G10),1)</f>
        <v>51.7</v>
      </c>
      <c r="F11" s="118">
        <f>ROUND((E10+F10)/2,1)</f>
        <v>53.3</v>
      </c>
      <c r="H11" s="625">
        <f>ROUND(AVERAGE(E10:G10),1)</f>
        <v>51.7</v>
      </c>
      <c r="I11" s="4"/>
      <c r="J11" s="797" t="s">
        <v>107</v>
      </c>
      <c r="K11" s="798"/>
      <c r="L11" s="799"/>
    </row>
    <row r="12" spans="1:13" ht="20.100000000000001" customHeight="1">
      <c r="A12" s="5" t="str">
        <f>IF(A13&lt;&gt;C7,"CHECK","OK")</f>
        <v>OK</v>
      </c>
      <c r="B12" s="505" t="s">
        <v>64</v>
      </c>
      <c r="C12" s="728">
        <f>C7-C9</f>
        <v>75</v>
      </c>
      <c r="H12" s="6"/>
      <c r="J12" s="636" t="s">
        <v>109</v>
      </c>
      <c r="K12" s="746">
        <v>133</v>
      </c>
      <c r="L12" s="745">
        <f>K12+180</f>
        <v>313</v>
      </c>
    </row>
    <row r="13" spans="1:13" ht="20.100000000000001" customHeight="1">
      <c r="A13" s="5">
        <f>C10+C11+C12+C13</f>
        <v>88</v>
      </c>
      <c r="B13" s="505" t="s">
        <v>65</v>
      </c>
      <c r="C13" s="728"/>
      <c r="D13" s="66" t="str">
        <f>All!B2</f>
        <v>서산기상청</v>
      </c>
      <c r="E13" s="66" t="str">
        <f>Recharge!I24</f>
        <v>금강서해/대호방조제</v>
      </c>
      <c r="F13" s="394">
        <f>rf_1</f>
        <v>0.17100000000000001</v>
      </c>
      <c r="G13" s="394">
        <f>allow_ratio</f>
        <v>0.72</v>
      </c>
      <c r="H13" s="7"/>
      <c r="J13" s="631" t="s">
        <v>102</v>
      </c>
      <c r="K13" s="629">
        <v>146</v>
      </c>
      <c r="L13" s="709" t="s">
        <v>837</v>
      </c>
    </row>
    <row r="14" spans="1:13" ht="20.100000000000001" customHeight="1">
      <c r="B14" s="506" t="s">
        <v>66</v>
      </c>
      <c r="C14" s="733">
        <f>C7-IF(C20&gt;C9,C20,C9)</f>
        <v>75</v>
      </c>
      <c r="F14" s="395"/>
      <c r="G14" s="394">
        <f>max</f>
        <v>1309.9000000000001</v>
      </c>
      <c r="H14" s="7"/>
      <c r="J14" s="631" t="s">
        <v>103</v>
      </c>
      <c r="K14" s="629">
        <v>13</v>
      </c>
      <c r="L14" s="637"/>
    </row>
    <row r="15" spans="1:13" ht="20.100000000000001" customHeight="1" thickBot="1">
      <c r="B15" s="506" t="s">
        <v>67</v>
      </c>
      <c r="C15" s="731">
        <f>Well!I4</f>
        <v>160</v>
      </c>
      <c r="E15" s="19">
        <v>1</v>
      </c>
      <c r="J15" s="631" t="s">
        <v>104</v>
      </c>
      <c r="K15" s="629">
        <v>1</v>
      </c>
      <c r="L15" s="637"/>
    </row>
    <row r="16" spans="1:13" ht="20.100000000000001" customHeight="1">
      <c r="B16" s="505" t="s">
        <v>68</v>
      </c>
      <c r="C16" s="734">
        <f>Well!J4</f>
        <v>160</v>
      </c>
      <c r="E16" s="61" t="s">
        <v>239</v>
      </c>
      <c r="F16" s="62" t="s">
        <v>736</v>
      </c>
      <c r="G16" s="63" t="s">
        <v>737</v>
      </c>
      <c r="H16" s="7"/>
      <c r="J16" s="631" t="s">
        <v>110</v>
      </c>
      <c r="K16" s="630">
        <f>K14-C20</f>
        <v>1.6899999999999995</v>
      </c>
      <c r="L16" s="632"/>
    </row>
    <row r="17" spans="2:12" ht="20.100000000000001" customHeight="1" thickBot="1">
      <c r="B17" s="505" t="s">
        <v>69</v>
      </c>
      <c r="C17" s="735">
        <f>Well!L4</f>
        <v>5</v>
      </c>
      <c r="E17" s="113">
        <f>Well!P4</f>
        <v>2228487.1688000001</v>
      </c>
      <c r="F17" s="67">
        <f>(max*rf_1*E17/1000)</f>
        <v>499165.3035523016</v>
      </c>
      <c r="G17" s="69">
        <f>F17*allow_ratio</f>
        <v>359399.01855765714</v>
      </c>
      <c r="J17" s="631" t="s">
        <v>105</v>
      </c>
      <c r="K17" s="630">
        <f>K16-K15</f>
        <v>0.6899999999999995</v>
      </c>
      <c r="L17" s="632"/>
    </row>
    <row r="18" spans="2:12" ht="20.100000000000001" customHeight="1" thickBot="1">
      <c r="B18" s="505" t="s">
        <v>70</v>
      </c>
      <c r="C18" s="735">
        <f>Well!M4</f>
        <v>60</v>
      </c>
      <c r="E18" s="2" t="s">
        <v>71</v>
      </c>
      <c r="F18" s="15" t="s">
        <v>732</v>
      </c>
      <c r="G18" s="14" t="s">
        <v>738</v>
      </c>
      <c r="H18" s="64" t="s">
        <v>161</v>
      </c>
      <c r="I18" s="13"/>
      <c r="J18" s="633" t="s">
        <v>106</v>
      </c>
      <c r="K18" s="634">
        <f>(K17/K13)</f>
        <v>4.7260273972602705E-3</v>
      </c>
      <c r="L18" s="635">
        <f>K18*100</f>
        <v>0.47260273972602707</v>
      </c>
    </row>
    <row r="19" spans="2:12" ht="20.100000000000001" customHeight="1" thickBot="1">
      <c r="B19" s="505" t="s">
        <v>72</v>
      </c>
      <c r="C19" s="735">
        <f>Well!N4</f>
        <v>40</v>
      </c>
      <c r="E19" s="113">
        <f>E17</f>
        <v>2228487.1688000001</v>
      </c>
      <c r="F19" s="67">
        <f>(max*rf_1*E19/1000)/365</f>
        <v>1367.5761741158949</v>
      </c>
      <c r="G19" s="68">
        <f>F19*allow_ratio</f>
        <v>984.65484536344434</v>
      </c>
      <c r="H19" s="614">
        <f>G19-F21</f>
        <v>910.75484536344436</v>
      </c>
    </row>
    <row r="20" spans="2:12" ht="20.100000000000001" customHeight="1">
      <c r="B20" s="506" t="s">
        <v>73</v>
      </c>
      <c r="C20" s="747">
        <v>11.31</v>
      </c>
      <c r="D20" s="5"/>
      <c r="E20" s="11" t="s">
        <v>734</v>
      </c>
      <c r="F20" s="12" t="s">
        <v>733</v>
      </c>
      <c r="G20" s="10" t="s">
        <v>735</v>
      </c>
    </row>
    <row r="21" spans="2:12" ht="20.100000000000001" customHeight="1" thickBot="1">
      <c r="B21" s="506" t="s">
        <v>74</v>
      </c>
      <c r="C21" s="747">
        <v>38.72</v>
      </c>
      <c r="D21" s="5"/>
      <c r="E21" s="114">
        <f>Well!$I$6</f>
        <v>160</v>
      </c>
      <c r="F21" s="115">
        <f>Well!O4</f>
        <v>73.900000000000006</v>
      </c>
      <c r="G21" s="646">
        <f>G19-E21-F21</f>
        <v>750.75484536344436</v>
      </c>
    </row>
    <row r="22" spans="2:12" ht="20.100000000000001" customHeight="1" thickBot="1">
      <c r="B22" s="506" t="s">
        <v>154</v>
      </c>
      <c r="C22" s="736">
        <f>C21-C20</f>
        <v>27.409999999999997</v>
      </c>
      <c r="E22" s="619">
        <f>E21+F21</f>
        <v>233.9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524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795" t="s">
        <v>49</v>
      </c>
      <c r="C26" s="561" t="s">
        <v>94</v>
      </c>
      <c r="D26" s="569">
        <f>C20</f>
        <v>11.31</v>
      </c>
      <c r="E26" s="570">
        <f>Recharge!C30</f>
        <v>22.399290000000001</v>
      </c>
      <c r="F26" s="562" t="s">
        <v>173</v>
      </c>
      <c r="G26" s="569" t="s">
        <v>306</v>
      </c>
      <c r="H26" s="571">
        <f>L18</f>
        <v>0.47260273972602707</v>
      </c>
      <c r="I26" s="561" t="s">
        <v>173</v>
      </c>
      <c r="J26" s="572">
        <f>((E7/C14)/86400)</f>
        <v>3.7523148148148151E-7</v>
      </c>
      <c r="K26" s="563" t="s">
        <v>818</v>
      </c>
    </row>
    <row r="27" spans="2:12" ht="25.5" customHeight="1">
      <c r="B27" s="795"/>
      <c r="C27" s="564" t="s">
        <v>95</v>
      </c>
      <c r="D27" s="568">
        <v>5</v>
      </c>
      <c r="E27" s="568">
        <v>8</v>
      </c>
      <c r="F27" s="568">
        <v>3</v>
      </c>
      <c r="G27" s="568">
        <v>3</v>
      </c>
      <c r="H27" s="568">
        <v>10</v>
      </c>
      <c r="I27" s="568">
        <v>4</v>
      </c>
      <c r="J27" s="568">
        <v>1</v>
      </c>
      <c r="K27" s="563" t="s">
        <v>845</v>
      </c>
    </row>
    <row r="28" spans="2:12" ht="25.5" customHeight="1">
      <c r="B28" s="795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795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795"/>
      <c r="C30" s="561" t="s">
        <v>168</v>
      </c>
      <c r="D30" s="644">
        <f>D27*D28</f>
        <v>25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10</v>
      </c>
      <c r="I30" s="644">
        <f t="shared" si="0"/>
        <v>20</v>
      </c>
      <c r="J30" s="644">
        <f t="shared" si="0"/>
        <v>3</v>
      </c>
      <c r="K30" s="582">
        <f>SUM(D30:J30)</f>
        <v>105</v>
      </c>
    </row>
    <row r="31" spans="2:12" ht="25.5" customHeight="1" thickBot="1">
      <c r="B31" s="796"/>
      <c r="C31" s="567" t="s">
        <v>169</v>
      </c>
      <c r="D31" s="645">
        <f t="shared" ref="D31:J31" si="1">D27*D29</f>
        <v>25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30</v>
      </c>
      <c r="I31" s="645">
        <f t="shared" si="1"/>
        <v>16</v>
      </c>
      <c r="J31" s="645">
        <f t="shared" si="1"/>
        <v>2</v>
      </c>
      <c r="K31" s="58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46" r:id="rId4" name="OptionButton3">
          <controlPr defaultSize="0" autoLine="0" r:id="rId5">
            <anchor moveWithCells="1">
              <from>
                <xdr:col>11</xdr:col>
                <xdr:colOff>38100</xdr:colOff>
                <xdr:row>19</xdr:row>
                <xdr:rowOff>47625</xdr:rowOff>
              </from>
              <to>
                <xdr:col>12</xdr:col>
                <xdr:colOff>390525</xdr:colOff>
                <xdr:row>20</xdr:row>
                <xdr:rowOff>85725</xdr:rowOff>
              </to>
            </anchor>
          </controlPr>
        </control>
      </mc:Choice>
      <mc:Fallback>
        <control shapeId="3146" r:id="rId4" name="OptionButton3"/>
      </mc:Fallback>
    </mc:AlternateContent>
    <mc:AlternateContent xmlns:mc="http://schemas.openxmlformats.org/markup-compatibility/2006">
      <mc:Choice Requires="x14">
        <control shapeId="3145" r:id="rId6" name="OptionButton2">
          <controlPr defaultSize="0" autoLine="0" r:id="rId7">
            <anchor moveWithCells="1">
              <from>
                <xdr:col>9</xdr:col>
                <xdr:colOff>1181100</xdr:colOff>
                <xdr:row>19</xdr:row>
                <xdr:rowOff>47625</xdr:rowOff>
              </from>
              <to>
                <xdr:col>10</xdr:col>
                <xdr:colOff>1228725</xdr:colOff>
                <xdr:row>20</xdr:row>
                <xdr:rowOff>85725</xdr:rowOff>
              </to>
            </anchor>
          </controlPr>
        </control>
      </mc:Choice>
      <mc:Fallback>
        <control shapeId="3145" r:id="rId6" name="OptionButton2"/>
      </mc:Fallback>
    </mc:AlternateContent>
    <mc:AlternateContent xmlns:mc="http://schemas.openxmlformats.org/markup-compatibility/2006">
      <mc:Choice Requires="x14">
        <control shapeId="3144" r:id="rId8" name="OptionButton1">
          <controlPr defaultSize="0" autoLine="0" r:id="rId9">
            <anchor moveWithCells="1">
              <from>
                <xdr:col>8</xdr:col>
                <xdr:colOff>1504950</xdr:colOff>
                <xdr:row>19</xdr:row>
                <xdr:rowOff>47625</xdr:rowOff>
              </from>
              <to>
                <xdr:col>9</xdr:col>
                <xdr:colOff>1066800</xdr:colOff>
                <xdr:row>20</xdr:row>
                <xdr:rowOff>85725</xdr:rowOff>
              </to>
            </anchor>
          </controlPr>
        </control>
      </mc:Choice>
      <mc:Fallback>
        <control shapeId="3144" r:id="rId8" name="OptionButton1"/>
      </mc:Fallback>
    </mc:AlternateContent>
    <mc:AlternateContent xmlns:mc="http://schemas.openxmlformats.org/markup-compatibility/2006">
      <mc:Choice Requires="x14">
        <control shapeId="3096" r:id="rId10" name="CommandButton_ToggleDirection">
          <controlPr defaultSize="0" autoLine="0" autoPict="0" r:id="rId11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11</xdr:col>
                <xdr:colOff>923925</xdr:colOff>
                <xdr:row>9</xdr:row>
                <xdr:rowOff>142875</xdr:rowOff>
              </to>
            </anchor>
          </controlPr>
        </control>
      </mc:Choice>
      <mc:Fallback>
        <control shapeId="3096" r:id="rId10" name="CommandButton_ToggleDirection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20" r:id="rId14" name="CommandButton8">
          <controlPr defaultSize="0" autoLine="0" r:id="rId1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4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271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4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08" t="s">
        <v>36</v>
      </c>
      <c r="C24" s="809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808" t="s">
        <v>37</v>
      </c>
      <c r="C25" s="809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0" t="s">
        <v>81</v>
      </c>
      <c r="E29" s="811"/>
      <c r="F29" s="812"/>
      <c r="H29" s="810" t="s">
        <v>147</v>
      </c>
      <c r="I29" s="811"/>
      <c r="J29" s="812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272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3"/>
      <c r="J12" s="803" t="s">
        <v>148</v>
      </c>
      <c r="K12" s="803"/>
      <c r="L12" s="804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08" t="s">
        <v>36</v>
      </c>
      <c r="C24" s="809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808" t="s">
        <v>37</v>
      </c>
      <c r="C25" s="809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0" t="s">
        <v>81</v>
      </c>
      <c r="E29" s="811"/>
      <c r="F29" s="812"/>
      <c r="H29" s="810" t="s">
        <v>147</v>
      </c>
      <c r="I29" s="811"/>
      <c r="J29" s="812"/>
      <c r="L29" s="810" t="s">
        <v>148</v>
      </c>
      <c r="M29" s="811"/>
      <c r="N29" s="812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AB1D-801A-4AD6-9F55-7DEA6D66CD1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45761.4375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14.9</v>
      </c>
      <c r="D7" s="47"/>
      <c r="E7" s="16"/>
      <c r="F7" s="16"/>
    </row>
    <row r="8" spans="2:14" s="17" customFormat="1" ht="26.1" customHeight="1">
      <c r="B8" s="87" t="s">
        <v>78</v>
      </c>
      <c r="C8" s="98">
        <v>205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7.2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45761.440972222219</v>
      </c>
      <c r="C14" s="296">
        <v>5</v>
      </c>
      <c r="D14" s="296">
        <f t="shared" ref="D14:D20" si="0">baseTemp+H14</f>
        <v>14.6</v>
      </c>
      <c r="E14" s="297">
        <f>$C$8+I14</f>
        <v>203</v>
      </c>
      <c r="F14" s="303">
        <f>$C$9+J14</f>
        <v>7.08</v>
      </c>
      <c r="H14" s="305">
        <v>-0.3</v>
      </c>
      <c r="I14" s="306">
        <v>-2</v>
      </c>
      <c r="J14" s="307">
        <v>-0.12</v>
      </c>
      <c r="L14"/>
      <c r="M14"/>
      <c r="N14"/>
    </row>
    <row r="15" spans="2:14" s="16" customFormat="1" ht="26.1" customHeight="1">
      <c r="B15" s="304">
        <f t="shared" ref="B15:B20" si="1">$C$6+C15/1440</f>
        <v>45761.458333333336</v>
      </c>
      <c r="C15" s="296">
        <v>30</v>
      </c>
      <c r="D15" s="296">
        <f t="shared" si="0"/>
        <v>15</v>
      </c>
      <c r="E15" s="297">
        <f t="shared" ref="E15:E20" si="2">$C$8+I15</f>
        <v>208</v>
      </c>
      <c r="F15" s="303">
        <f t="shared" ref="F15:F20" si="3">$C$9+J15</f>
        <v>7.11</v>
      </c>
      <c r="H15" s="83">
        <v>0.1</v>
      </c>
      <c r="I15" s="106">
        <v>3</v>
      </c>
      <c r="J15" s="108">
        <v>-0.09</v>
      </c>
      <c r="L15"/>
      <c r="M15"/>
      <c r="N15"/>
    </row>
    <row r="16" spans="2:14" s="16" customFormat="1" ht="26.1" customHeight="1">
      <c r="B16" s="304">
        <f t="shared" si="1"/>
        <v>45761.479166666664</v>
      </c>
      <c r="C16" s="296">
        <v>60</v>
      </c>
      <c r="D16" s="296">
        <f t="shared" si="0"/>
        <v>14.6</v>
      </c>
      <c r="E16" s="297">
        <f t="shared" si="2"/>
        <v>206</v>
      </c>
      <c r="F16" s="303">
        <f t="shared" si="3"/>
        <v>7.1000000000000005</v>
      </c>
      <c r="H16" s="83">
        <v>-0.3</v>
      </c>
      <c r="I16" s="106">
        <v>1</v>
      </c>
      <c r="J16" s="108">
        <v>-0.1</v>
      </c>
      <c r="L16"/>
      <c r="M16"/>
      <c r="N16"/>
    </row>
    <row r="17" spans="2:14" s="16" customFormat="1" ht="26.1" customHeight="1">
      <c r="B17" s="304">
        <f t="shared" si="1"/>
        <v>45761.520833333336</v>
      </c>
      <c r="C17" s="296">
        <v>120</v>
      </c>
      <c r="D17" s="296">
        <f t="shared" si="0"/>
        <v>15.1</v>
      </c>
      <c r="E17" s="297">
        <f t="shared" si="2"/>
        <v>206</v>
      </c>
      <c r="F17" s="303">
        <f t="shared" si="3"/>
        <v>7.32</v>
      </c>
      <c r="H17" s="83">
        <v>0.2</v>
      </c>
      <c r="I17" s="106">
        <v>1</v>
      </c>
      <c r="J17" s="108">
        <v>0.12</v>
      </c>
      <c r="L17"/>
      <c r="M17"/>
      <c r="N17"/>
    </row>
    <row r="18" spans="2:14" s="16" customFormat="1" ht="26.1" customHeight="1">
      <c r="B18" s="304">
        <f t="shared" si="1"/>
        <v>45761.604166666664</v>
      </c>
      <c r="C18" s="296">
        <v>240</v>
      </c>
      <c r="D18" s="296">
        <f t="shared" si="0"/>
        <v>14.6</v>
      </c>
      <c r="E18" s="297">
        <f t="shared" si="2"/>
        <v>207</v>
      </c>
      <c r="F18" s="303">
        <f t="shared" si="3"/>
        <v>7.3100000000000005</v>
      </c>
      <c r="H18" s="83">
        <v>-0.3</v>
      </c>
      <c r="I18" s="106">
        <v>2</v>
      </c>
      <c r="J18" s="108">
        <v>0.11</v>
      </c>
      <c r="L18"/>
      <c r="M18"/>
      <c r="N18"/>
    </row>
    <row r="19" spans="2:14" s="16" customFormat="1" ht="26.1" customHeight="1">
      <c r="B19" s="304">
        <f t="shared" si="1"/>
        <v>45761.770833333336</v>
      </c>
      <c r="C19" s="296">
        <v>480</v>
      </c>
      <c r="D19" s="299">
        <f t="shared" si="0"/>
        <v>14.700000000000001</v>
      </c>
      <c r="E19" s="297">
        <f t="shared" si="2"/>
        <v>207</v>
      </c>
      <c r="F19" s="303">
        <f t="shared" si="3"/>
        <v>7.2700000000000005</v>
      </c>
      <c r="H19" s="83">
        <v>-0.2</v>
      </c>
      <c r="I19" s="106">
        <v>2</v>
      </c>
      <c r="J19" s="108">
        <v>7.0000000000000007E-2</v>
      </c>
      <c r="L19"/>
      <c r="M19"/>
      <c r="N19"/>
    </row>
    <row r="20" spans="2:14" s="17" customFormat="1" ht="26.1" customHeight="1">
      <c r="B20" s="304">
        <f t="shared" si="1"/>
        <v>45762.4375</v>
      </c>
      <c r="C20" s="296">
        <v>1440</v>
      </c>
      <c r="D20" s="296">
        <f t="shared" si="0"/>
        <v>15.200000000000001</v>
      </c>
      <c r="E20" s="297">
        <f t="shared" si="2"/>
        <v>206</v>
      </c>
      <c r="F20" s="303">
        <f t="shared" si="3"/>
        <v>7.1000000000000005</v>
      </c>
      <c r="H20" s="83">
        <v>0.3</v>
      </c>
      <c r="I20" s="106">
        <v>1</v>
      </c>
      <c r="J20" s="108">
        <v>-0.1</v>
      </c>
      <c r="L20"/>
      <c r="M20"/>
      <c r="N20"/>
    </row>
    <row r="21" spans="2:14" s="17" customFormat="1" ht="26.1" customHeight="1">
      <c r="B21" s="304">
        <f>$C$6+C21/1440</f>
        <v>45762.604166666664</v>
      </c>
      <c r="C21" s="296">
        <v>1680</v>
      </c>
      <c r="D21" s="296">
        <f>$D$20</f>
        <v>15.200000000000001</v>
      </c>
      <c r="E21" s="297">
        <f>$E$20</f>
        <v>206</v>
      </c>
      <c r="F21" s="303">
        <f>$F$20</f>
        <v>7.1000000000000005</v>
      </c>
      <c r="H21" s="83">
        <v>-0.1</v>
      </c>
      <c r="I21" s="106">
        <v>2</v>
      </c>
      <c r="J21" s="108">
        <v>0.09</v>
      </c>
      <c r="L21"/>
      <c r="M21"/>
      <c r="N21"/>
    </row>
    <row r="22" spans="2:14" s="17" customFormat="1" ht="26.1" customHeight="1">
      <c r="B22" s="304">
        <f>$C$6+C22/1440</f>
        <v>45762.770833333336</v>
      </c>
      <c r="C22" s="296">
        <v>1920</v>
      </c>
      <c r="D22" s="296">
        <f>$D$20</f>
        <v>15.200000000000001</v>
      </c>
      <c r="E22" s="297">
        <f>$E$20</f>
        <v>206</v>
      </c>
      <c r="F22" s="303">
        <f>$F$20</f>
        <v>7.1000000000000005</v>
      </c>
      <c r="H22" s="83">
        <v>0.1</v>
      </c>
      <c r="I22" s="106">
        <v>-1</v>
      </c>
      <c r="J22" s="108">
        <v>-0.13</v>
      </c>
      <c r="L22"/>
      <c r="M22"/>
      <c r="N22"/>
    </row>
    <row r="23" spans="2:14" s="17" customFormat="1" ht="26.1" customHeight="1" thickBot="1">
      <c r="B23" s="304">
        <f>$C$6+C23/1440</f>
        <v>45763.4375</v>
      </c>
      <c r="C23" s="296">
        <v>2880</v>
      </c>
      <c r="D23" s="296">
        <f>$D$20</f>
        <v>15.200000000000001</v>
      </c>
      <c r="E23" s="297">
        <f>$E$20</f>
        <v>206</v>
      </c>
      <c r="F23" s="303">
        <f>$F$20</f>
        <v>7.1000000000000005</v>
      </c>
      <c r="H23" s="84">
        <v>0.3</v>
      </c>
      <c r="I23" s="107">
        <v>-2</v>
      </c>
      <c r="J23" s="109">
        <v>-0.1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15.200000000000001</v>
      </c>
      <c r="E24" s="704">
        <f t="shared" ref="E24:F24" si="4">MAX(E14:E23)</f>
        <v>208</v>
      </c>
      <c r="F24" s="705">
        <f t="shared" si="4"/>
        <v>7.32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14.6</v>
      </c>
      <c r="E25" s="704">
        <f t="shared" ref="E25:F25" si="5">MIN(E14:E23)</f>
        <v>203</v>
      </c>
      <c r="F25" s="705">
        <f t="shared" si="5"/>
        <v>7.08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6">E24-E25</f>
        <v>5</v>
      </c>
      <c r="F26" s="707">
        <f t="shared" si="6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2025-05-07T04:10:59Z</dcterms:modified>
</cp:coreProperties>
</file>