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7852D5AB-7ACD-4923-B697-4375CA70F850}" xr6:coauthVersionLast="47" xr6:coauthVersionMax="47" xr10:uidLastSave="{00000000-0000-0000-0000-000000000000}"/>
  <bookViews>
    <workbookView xWindow="-120" yWindow="-120" windowWidth="29040" windowHeight="17520" tabRatio="716" firstSheet="2" activeTab="1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9"/>
  <c r="A28" i="10"/>
  <c r="C5" i="15"/>
  <c r="C5" i="20"/>
  <c r="E21" i="2"/>
  <c r="B3" i="12"/>
  <c r="B5" i="12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<sst xmlns="http://schemas.openxmlformats.org/spreadsheetml/2006/main" count="1424" uniqueCount="355">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</sst>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O37" sqref="O37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2" t="s">
        <v>0</v>
      </c>
      <c r="B2" s="532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30" t="s">
        <v>3</v>
      </c>
    </row>
    <row r="3" spans="1:19" s="6" customFormat="1">
      <c r="A3" s="274">
        <f>B3+$M$48</f>
        <v>22.61</v>
      </c>
      <c r="B3" s="275">
        <f>B20</f>
        <v>11.26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9.0079999999999993E-2</v>
      </c>
      <c r="G3" s="277">
        <f>1/F3</f>
        <v>11.101243339253998</v>
      </c>
    </row>
    <row r="4" spans="1:19" s="6" customFormat="1">
      <c r="A4" s="274">
        <f>B4+$M$48</f>
        <v>26.369999999999997</v>
      </c>
      <c r="B4" s="266">
        <f>B21</f>
        <v>15.02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9.3875E-2</v>
      </c>
      <c r="G4" s="277">
        <f t="shared" ref="G4:G7" si="2">1/F4</f>
        <v>10.652463382157125</v>
      </c>
    </row>
    <row r="5" spans="1:19" s="6" customFormat="1">
      <c r="A5" s="274">
        <f>B5+$M$48</f>
        <v>30.589999999999996</v>
      </c>
      <c r="B5" s="266">
        <f>B22</f>
        <v>19.239999999999998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9.8844079116362685E-2</v>
      </c>
      <c r="G5" s="277">
        <f t="shared" si="2"/>
        <v>10.116943866943869</v>
      </c>
    </row>
    <row r="6" spans="1:19" s="6" customFormat="1">
      <c r="A6" s="274">
        <f>B6+$M$48</f>
        <v>35.299999999999997</v>
      </c>
      <c r="B6" s="275">
        <f>B23</f>
        <v>23.95</v>
      </c>
      <c r="C6" s="266"/>
      <c r="D6" s="263">
        <f>D23</f>
        <v>229</v>
      </c>
      <c r="E6" s="260">
        <f>D6/12</f>
        <v>19.083333333333332</v>
      </c>
      <c r="F6" s="277">
        <f t="shared" si="1"/>
        <v>0.10458515283842794</v>
      </c>
      <c r="G6" s="277">
        <f t="shared" si="2"/>
        <v>9.5615866388308977</v>
      </c>
    </row>
    <row r="7" spans="1:19" s="6" customFormat="1">
      <c r="A7" s="274">
        <f>B7+$M$48</f>
        <v>42.48</v>
      </c>
      <c r="B7" s="266">
        <f>B24</f>
        <v>31.13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0.1182077083728878</v>
      </c>
      <c r="G7" s="277">
        <f t="shared" si="2"/>
        <v>8.4596851911339535</v>
      </c>
    </row>
    <row r="8" spans="1:19" s="6" customFormat="1">
      <c r="A8" s="260"/>
      <c r="B8" s="260" t="s">
        <v>4</v>
      </c>
      <c r="C8" s="260"/>
      <c r="D8" s="260"/>
      <c r="E8" s="587" t="s">
        <v>5</v>
      </c>
      <c r="F8" s="587"/>
      <c r="G8" s="587"/>
    </row>
    <row r="9" spans="1:19" s="6" customFormat="1">
      <c r="A9" s="533" t="s">
        <v>6</v>
      </c>
      <c r="B9" s="533" t="s">
        <v>2</v>
      </c>
      <c r="C9" s="260"/>
      <c r="D9" s="260"/>
      <c r="E9" s="262">
        <v>0.98</v>
      </c>
      <c r="F9" s="588" t="s">
        <v>7</v>
      </c>
      <c r="G9" s="588"/>
    </row>
    <row r="10" spans="1:19" s="6" customFormat="1">
      <c r="A10" s="278">
        <f>D20/B20</f>
        <v>11.101243339253998</v>
      </c>
      <c r="B10" s="278">
        <f>B20/D20</f>
        <v>9.0079999999999993E-2</v>
      </c>
      <c r="C10" s="260"/>
      <c r="D10" s="260"/>
      <c r="E10" s="262">
        <v>0.98</v>
      </c>
      <c r="F10" s="588" t="s">
        <v>8</v>
      </c>
      <c r="G10" s="588"/>
    </row>
    <row r="11" spans="1:19" s="6" customFormat="1">
      <c r="A11" s="278">
        <f t="shared" ref="A11:A14" si="3">D21/B21</f>
        <v>10.652463382157125</v>
      </c>
      <c r="B11" s="278">
        <f t="shared" ref="B11:B14" si="4">B21/D21</f>
        <v>9.3875E-2</v>
      </c>
      <c r="C11" s="260"/>
      <c r="D11" s="260" t="s">
        <v>4</v>
      </c>
      <c r="E11" s="262">
        <v>0.98</v>
      </c>
      <c r="F11" s="588" t="s">
        <v>9</v>
      </c>
      <c r="G11" s="588"/>
    </row>
    <row r="12" spans="1:19" s="6" customFormat="1">
      <c r="A12" s="278">
        <f t="shared" si="3"/>
        <v>10.116943866943869</v>
      </c>
      <c r="B12" s="278">
        <f t="shared" si="4"/>
        <v>9.8844079116362685E-2</v>
      </c>
      <c r="C12" s="260"/>
      <c r="D12" s="260"/>
      <c r="E12" s="262">
        <v>1</v>
      </c>
      <c r="F12" s="588" t="s">
        <v>10</v>
      </c>
      <c r="G12" s="588"/>
    </row>
    <row r="13" spans="1:19" s="6" customFormat="1">
      <c r="A13" s="278">
        <f t="shared" si="3"/>
        <v>9.5615866388308977</v>
      </c>
      <c r="B13" s="278">
        <f t="shared" si="4"/>
        <v>0.10458515283842794</v>
      </c>
      <c r="C13" s="260"/>
      <c r="D13" s="260" t="s">
        <v>4</v>
      </c>
      <c r="E13" s="587" t="s">
        <v>11</v>
      </c>
      <c r="F13" s="587"/>
      <c r="G13" s="587"/>
    </row>
    <row r="14" spans="1:19" s="6" customFormat="1">
      <c r="A14" s="278">
        <f t="shared" si="3"/>
        <v>8.4596851911339535</v>
      </c>
      <c r="B14" s="278">
        <f t="shared" si="4"/>
        <v>0.1182077083728878</v>
      </c>
      <c r="C14" s="260"/>
      <c r="D14" s="260"/>
      <c r="E14" s="262">
        <v>1</v>
      </c>
      <c r="F14" s="588" t="s">
        <v>7</v>
      </c>
      <c r="G14" s="588"/>
    </row>
    <row r="15" spans="1:19" s="6" customFormat="1" ht="17.25" thickBot="1">
      <c r="A15" s="260"/>
      <c r="B15" s="260"/>
      <c r="C15" s="260"/>
      <c r="D15" s="260"/>
      <c r="E15" s="262">
        <v>1</v>
      </c>
      <c r="F15" s="588" t="s">
        <v>8</v>
      </c>
      <c r="G15" s="588"/>
    </row>
    <row r="16" spans="1:19" s="6" customFormat="1">
      <c r="A16" s="260"/>
      <c r="B16" s="529" t="s">
        <v>12</v>
      </c>
      <c r="C16" s="260"/>
      <c r="D16" s="529" t="s">
        <v>13</v>
      </c>
      <c r="E16" s="527">
        <v>1</v>
      </c>
      <c r="F16" s="588" t="s">
        <v>9</v>
      </c>
      <c r="G16" s="588"/>
      <c r="Q16" s="548" t="s">
        <v>337</v>
      </c>
      <c r="R16" s="549"/>
      <c r="S16" s="550"/>
    </row>
    <row r="17" spans="1:21" s="6" customFormat="1" ht="17.25" thickBot="1">
      <c r="A17" s="260"/>
      <c r="B17" s="526">
        <f>M52</f>
        <v>23.95</v>
      </c>
      <c r="C17" s="260"/>
      <c r="D17" s="528">
        <f>M47</f>
        <v>229</v>
      </c>
      <c r="E17" s="527">
        <v>1</v>
      </c>
      <c r="F17" s="588" t="s">
        <v>10</v>
      </c>
      <c r="G17" s="588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31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3">
        <f>INT(B$17*C20*100)/100</f>
        <v>11.26</v>
      </c>
      <c r="C20" s="260">
        <f>0.48*E9</f>
        <v>0.47039999999999998</v>
      </c>
      <c r="D20" s="520">
        <f>INT(D$17*E20)</f>
        <v>125</v>
      </c>
      <c r="E20" s="279">
        <f>0.55*E14</f>
        <v>0.55000000000000004</v>
      </c>
      <c r="F20" s="277">
        <f>B20/D20</f>
        <v>9.0079999999999993E-2</v>
      </c>
      <c r="G20" s="260">
        <f>F20-F19</f>
        <v>9.0079999999999993E-2</v>
      </c>
    </row>
    <row r="21" spans="1:21" s="6" customFormat="1">
      <c r="A21" s="266">
        <f>B21-B20</f>
        <v>3.76</v>
      </c>
      <c r="B21" s="524">
        <f>INT(B$17*C21*100)/100</f>
        <v>15.02</v>
      </c>
      <c r="C21" s="260">
        <f>0.64*E10</f>
        <v>0.62719999999999998</v>
      </c>
      <c r="D21" s="520">
        <f>INT(D$17*E21)</f>
        <v>160</v>
      </c>
      <c r="E21" s="279">
        <f>0.7*E15</f>
        <v>0.7</v>
      </c>
      <c r="F21" s="277">
        <f>B21/D21</f>
        <v>9.3875E-2</v>
      </c>
      <c r="G21" s="260">
        <f>F21-F20</f>
        <v>3.7950000000000067E-3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4.2199999999999989</v>
      </c>
      <c r="B22" s="524">
        <f>INT(B$17*C22*100)/100</f>
        <v>19.239999999999998</v>
      </c>
      <c r="C22" s="260">
        <f>0.82*E11</f>
        <v>0.80359999999999998</v>
      </c>
      <c r="D22" s="521">
        <f>(D$17*E22)</f>
        <v>194.65</v>
      </c>
      <c r="E22" s="279">
        <f>0.85*E16</f>
        <v>0.85</v>
      </c>
      <c r="F22" s="277">
        <f>B22/D22</f>
        <v>9.8844079116362685E-2</v>
      </c>
      <c r="G22" s="406">
        <f>F22-F21</f>
        <v>4.9690791163626846E-3</v>
      </c>
    </row>
    <row r="23" spans="1:21" s="6" customFormat="1">
      <c r="A23" s="266">
        <f>B23-B22</f>
        <v>4.7100000000000009</v>
      </c>
      <c r="B23" s="524">
        <f>INT(B$17*C23*100)/100</f>
        <v>23.95</v>
      </c>
      <c r="C23" s="260">
        <v>1</v>
      </c>
      <c r="D23" s="520">
        <f>D$17*E23</f>
        <v>229</v>
      </c>
      <c r="E23" s="279">
        <v>1</v>
      </c>
      <c r="F23" s="277">
        <f>B23/D23</f>
        <v>0.10458515283842794</v>
      </c>
      <c r="G23" s="260">
        <f>F23-F22</f>
        <v>5.7410737220652541E-3</v>
      </c>
      <c r="O23" s="286"/>
      <c r="Q23" s="286"/>
      <c r="S23" s="286"/>
      <c r="U23" s="286"/>
    </row>
    <row r="24" spans="1:21" s="6" customFormat="1" ht="17.25" thickBot="1">
      <c r="A24" s="266">
        <f>B24-B23</f>
        <v>7.18</v>
      </c>
      <c r="B24" s="525">
        <f>INT(B$17*C24*100)/100</f>
        <v>31.13</v>
      </c>
      <c r="C24" s="260">
        <f>1.3*E12</f>
        <v>1.3</v>
      </c>
      <c r="D24" s="522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0.1182077083728878</v>
      </c>
      <c r="G25" s="266"/>
      <c r="O25" s="286"/>
      <c r="Q25" s="286"/>
      <c r="S25" s="286"/>
      <c r="U25" s="286"/>
    </row>
    <row r="26" spans="1:21" s="6" customFormat="1">
      <c r="A26" s="573" t="s">
        <v>14</v>
      </c>
      <c r="B26" s="573"/>
      <c r="C26" s="280">
        <f>INT(M51*1)</f>
        <v>200</v>
      </c>
      <c r="D26" s="260"/>
      <c r="E26" s="260"/>
      <c r="F26" s="281">
        <f>M50/M51</f>
        <v>0.1346</v>
      </c>
      <c r="G26" s="260"/>
      <c r="O26" s="286"/>
      <c r="Q26" s="286"/>
      <c r="S26" s="286"/>
      <c r="U26" s="286"/>
    </row>
    <row r="27" spans="1:21" s="6" customFormat="1">
      <c r="A27" s="573" t="s">
        <v>15</v>
      </c>
      <c r="B27" s="573"/>
      <c r="C27" s="282">
        <f>SafeYield!B7</f>
        <v>206.73853344516303</v>
      </c>
      <c r="D27" s="266">
        <f>(C27/D6)*100</f>
        <v>90.278835565573374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7" t="s">
        <v>16</v>
      </c>
      <c r="B30" s="417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20">
        <v>1.3980000000000001E-4</v>
      </c>
      <c r="B31" s="420">
        <v>7.2076799999999996E-2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1.3980000000000001E-4</v>
      </c>
      <c r="B32" s="260">
        <f t="shared" si="6"/>
        <v>7.2076799999999996E-2</v>
      </c>
      <c r="C32" s="260"/>
      <c r="D32" s="263">
        <f t="shared" si="5"/>
        <v>125</v>
      </c>
      <c r="E32" s="260"/>
      <c r="F32" s="261">
        <f>B32*D32/(B32*D32+A32*D32*D32)*100</f>
        <v>80.486154382156471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1.3980000000000001E-4</v>
      </c>
      <c r="B33" s="260">
        <f t="shared" si="6"/>
        <v>7.2076799999999996E-2</v>
      </c>
      <c r="C33" s="260"/>
      <c r="D33" s="263">
        <f t="shared" si="5"/>
        <v>160</v>
      </c>
      <c r="E33" s="260"/>
      <c r="F33" s="261">
        <f>B33*D33/(B33*D33+A33*D33*D33)*100</f>
        <v>76.316324456190287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1.3980000000000001E-4</v>
      </c>
      <c r="B34" s="260">
        <f t="shared" si="6"/>
        <v>7.2076799999999996E-2</v>
      </c>
      <c r="C34" s="260"/>
      <c r="D34" s="263">
        <f t="shared" si="5"/>
        <v>194.65</v>
      </c>
      <c r="E34" s="260"/>
      <c r="F34" s="261">
        <f>B34*D34/(B34*D34+A34*D34*D34)*100</f>
        <v>72.593030820070766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1.3980000000000001E-4</v>
      </c>
      <c r="B35" s="260">
        <f>B34</f>
        <v>7.2076799999999996E-2</v>
      </c>
      <c r="C35" s="260"/>
      <c r="D35" s="263">
        <f t="shared" si="5"/>
        <v>229</v>
      </c>
      <c r="E35" s="260"/>
      <c r="F35" s="261">
        <f>B35*D35/(B35*D35+A35*D35*D35)*100</f>
        <v>69.244026861111905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74.659884129882357</v>
      </c>
      <c r="G37" s="260"/>
      <c r="P37" s="108"/>
      <c r="Q37" s="108"/>
    </row>
    <row r="38" spans="1:21" s="6" customFormat="1" ht="13.5" customHeight="1">
      <c r="A38" s="264">
        <v>72.203000000000003</v>
      </c>
      <c r="B38" s="262">
        <v>0.108</v>
      </c>
      <c r="C38" s="262">
        <v>93.802999999999997</v>
      </c>
      <c r="D38" s="260"/>
      <c r="E38" s="260" t="s">
        <v>21</v>
      </c>
      <c r="F38" s="260"/>
      <c r="G38" s="260"/>
      <c r="P38" s="108"/>
      <c r="Q38" s="108"/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72.203000000000003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2.7450000000000001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4" t="s">
        <v>341</v>
      </c>
      <c r="J44" s="575"/>
      <c r="K44" s="576"/>
      <c r="L44" s="389" t="s">
        <v>30</v>
      </c>
      <c r="M44" s="397">
        <v>250</v>
      </c>
      <c r="N44" s="409" t="s">
        <v>31</v>
      </c>
      <c r="Q44" s="404">
        <v>125</v>
      </c>
      <c r="R44" s="294">
        <v>22.61</v>
      </c>
      <c r="S44" s="294">
        <v>11.26</v>
      </c>
      <c r="T44" s="295">
        <v>11.101000000000001</v>
      </c>
      <c r="U44" s="296">
        <v>9.0079999999999993E-2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78" t="s">
        <v>342</v>
      </c>
      <c r="J45" s="579"/>
      <c r="K45" s="580"/>
      <c r="L45" s="396" t="s">
        <v>34</v>
      </c>
      <c r="M45" s="410">
        <v>158</v>
      </c>
      <c r="N45" s="408">
        <f>M44</f>
        <v>250</v>
      </c>
      <c r="Q45" s="404">
        <v>160</v>
      </c>
      <c r="R45" s="294">
        <v>26.369999999999997</v>
      </c>
      <c r="S45" s="294">
        <v>15.02</v>
      </c>
      <c r="T45" s="295">
        <v>10.651999999999999</v>
      </c>
      <c r="U45" s="296">
        <v>9.3875E-2</v>
      </c>
    </row>
    <row r="46" spans="1:21" s="6" customFormat="1">
      <c r="A46" s="260">
        <f>B34</f>
        <v>7.2076799999999996E-2</v>
      </c>
      <c r="B46" s="108" t="s">
        <v>35</v>
      </c>
      <c r="C46" s="577" t="s">
        <v>36</v>
      </c>
      <c r="D46" s="577"/>
      <c r="E46" s="260"/>
      <c r="F46" s="260"/>
      <c r="G46" s="260"/>
      <c r="H46" s="390" t="s">
        <v>37</v>
      </c>
      <c r="I46" s="584" t="s">
        <v>340</v>
      </c>
      <c r="J46" s="585"/>
      <c r="K46" s="586"/>
      <c r="L46" s="396" t="s">
        <v>38</v>
      </c>
      <c r="M46" s="411">
        <f>IF(I52&gt;M48, M45-I52,M45-M48)</f>
        <v>138</v>
      </c>
      <c r="Q46" s="404">
        <v>195</v>
      </c>
      <c r="R46" s="294">
        <v>30.589999999999996</v>
      </c>
      <c r="S46" s="294">
        <v>19.239999999999998</v>
      </c>
      <c r="T46" s="295">
        <v>10.117000000000001</v>
      </c>
      <c r="U46" s="296">
        <v>9.8844079116362685E-2</v>
      </c>
    </row>
    <row r="47" spans="1:21" s="6" customFormat="1">
      <c r="A47" s="260">
        <f>120/1440</f>
        <v>8.3333333333333329E-2</v>
      </c>
      <c r="B47" s="108" t="s">
        <v>336</v>
      </c>
      <c r="C47" s="577" t="s">
        <v>40</v>
      </c>
      <c r="D47" s="577"/>
      <c r="E47" s="260"/>
      <c r="F47" s="260"/>
      <c r="G47" s="260"/>
      <c r="H47" s="390" t="s">
        <v>41</v>
      </c>
      <c r="I47" s="581" t="s">
        <v>343</v>
      </c>
      <c r="J47" s="582"/>
      <c r="K47" s="583"/>
      <c r="L47" s="418" t="s">
        <v>42</v>
      </c>
      <c r="M47" s="419">
        <f>INT((M51*100)/M53)</f>
        <v>229</v>
      </c>
      <c r="Q47" s="404">
        <v>229</v>
      </c>
      <c r="R47" s="294">
        <v>35.299999999999997</v>
      </c>
      <c r="S47" s="294">
        <v>23.95</v>
      </c>
      <c r="T47" s="295">
        <v>9.5619999999999994</v>
      </c>
      <c r="U47" s="296">
        <v>0.10458515283842794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2" t="s">
        <v>290</v>
      </c>
      <c r="K48" s="562"/>
      <c r="L48" s="403" t="s">
        <v>44</v>
      </c>
      <c r="M48" s="410">
        <v>11.35</v>
      </c>
      <c r="Q48" s="405">
        <v>263</v>
      </c>
      <c r="R48" s="298">
        <v>42.48</v>
      </c>
      <c r="S48" s="298">
        <v>31.13</v>
      </c>
      <c r="T48" s="299">
        <v>8.4600000000000009</v>
      </c>
      <c r="U48" s="300">
        <v>0.1182077083728878</v>
      </c>
    </row>
    <row r="49" spans="1:24" s="6" customFormat="1">
      <c r="A49" s="260" t="s">
        <v>45</v>
      </c>
      <c r="B49" s="301">
        <f>INT(SQRT(B54)*1000)/1000</f>
        <v>2.7450000000000001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3">
        <f>LongTest!C10</f>
        <v>45726.430555555555</v>
      </c>
      <c r="J49" s="563"/>
      <c r="K49" s="563"/>
      <c r="L49" s="396" t="s">
        <v>48</v>
      </c>
      <c r="M49" s="410">
        <v>38.270000000000003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2">
        <f>M49-M48</f>
        <v>26.92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10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316.0641727823359</v>
      </c>
      <c r="C52" s="304">
        <f>B52*B51</f>
        <v>0.15803208639116795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7" t="s">
        <v>56</v>
      </c>
      <c r="M52" s="413">
        <f>INT(M50*0.89*100)/100</f>
        <v>23.95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2" t="s">
        <v>240</v>
      </c>
      <c r="J53" s="572"/>
      <c r="K53" s="572"/>
      <c r="L53" s="572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7.5359999999999996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2.7451775898837583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57" t="s">
        <v>62</v>
      </c>
      <c r="E57" s="558"/>
      <c r="F57" s="557" t="s">
        <v>61</v>
      </c>
      <c r="G57" s="558"/>
      <c r="H57" s="310" t="s">
        <v>63</v>
      </c>
      <c r="I57" s="311">
        <f>M50</f>
        <v>26.92</v>
      </c>
      <c r="J57" s="310" t="s">
        <v>64</v>
      </c>
      <c r="K57" s="310" t="s">
        <v>65</v>
      </c>
      <c r="L57" s="557" t="s">
        <v>66</v>
      </c>
      <c r="M57" s="559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0">
        <f>SkinFactor!E10</f>
        <v>5.1830000000000001E-2</v>
      </c>
      <c r="E58" s="561"/>
      <c r="F58" s="551"/>
      <c r="G58" s="552"/>
      <c r="H58" s="305" t="s">
        <v>68</v>
      </c>
      <c r="I58" s="313">
        <f>C62/M46</f>
        <v>2.1270289855072462E-2</v>
      </c>
      <c r="J58" s="305" t="s">
        <v>69</v>
      </c>
      <c r="K58" s="314">
        <f>SQRT(6*I57*I58*I60/I59)</f>
        <v>85.051804292284373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2.8875999999999999</v>
      </c>
      <c r="C59" s="564">
        <f>B59</f>
        <v>2.8875999999999999</v>
      </c>
      <c r="D59" s="566">
        <f>SkinFactor!I16</f>
        <v>1.7809999999999999E-4</v>
      </c>
      <c r="E59" s="567"/>
      <c r="F59" s="568">
        <f>INT((D59+D60)/1*10000000)/10000000</f>
        <v>1.7809999999999999E-4</v>
      </c>
      <c r="G59" s="569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104.16676110957644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5"/>
      <c r="D60" s="566"/>
      <c r="E60" s="567"/>
      <c r="F60" s="570"/>
      <c r="G60" s="571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117.92372259849978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1"/>
      <c r="E61" s="552"/>
      <c r="F61" s="551"/>
      <c r="G61" s="552"/>
      <c r="H61" s="305" t="s">
        <v>28</v>
      </c>
      <c r="I61" s="305">
        <f>C62</f>
        <v>2.9352999999999998</v>
      </c>
      <c r="J61" s="305" t="s">
        <v>77</v>
      </c>
      <c r="K61" s="314">
        <f>((K58+K59+K60)/3)</f>
        <v>102.38076266678688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2.9352999999999998</v>
      </c>
      <c r="D62" s="553"/>
      <c r="E62" s="554"/>
      <c r="F62" s="555">
        <f>F59</f>
        <v>1.7809999999999999E-4</v>
      </c>
      <c r="G62" s="556"/>
      <c r="H62" s="319" t="s">
        <v>78</v>
      </c>
      <c r="I62" s="320">
        <v>70.33</v>
      </c>
      <c r="J62" s="319" t="s">
        <v>79</v>
      </c>
      <c r="K62" s="321">
        <f>MAX(K58:K60)</f>
        <v>117.92372259849978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345</v>
      </c>
      <c r="S64" s="327" t="s">
        <v>346</v>
      </c>
      <c r="T64" s="327" t="s">
        <v>347</v>
      </c>
      <c r="U64" s="327" t="s">
        <v>348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3" t="s">
        <v>116</v>
      </c>
      <c r="C3" s="464" t="s">
        <v>13</v>
      </c>
      <c r="D3" s="464" t="s">
        <v>28</v>
      </c>
      <c r="E3" s="464" t="s">
        <v>117</v>
      </c>
      <c r="F3" s="464" t="s">
        <v>32</v>
      </c>
      <c r="G3" s="464" t="s">
        <v>118</v>
      </c>
      <c r="H3" s="464" t="s">
        <v>35</v>
      </c>
      <c r="I3" s="465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6">
        <f>LongTest!G10</f>
        <v>2.8236119197465186</v>
      </c>
      <c r="C4" s="467">
        <f>LongTest!B10</f>
        <v>200</v>
      </c>
      <c r="D4" s="468">
        <v>6.3520341974657759</v>
      </c>
      <c r="E4" s="469">
        <f>Input!M44/2000</f>
        <v>0.125</v>
      </c>
      <c r="F4" s="470">
        <v>5.0000000000000001E-4</v>
      </c>
      <c r="G4" s="470">
        <f>PI()</f>
        <v>3.1415926535897931</v>
      </c>
      <c r="H4" s="470">
        <f>Input!$A$46</f>
        <v>7.2076799999999996E-2</v>
      </c>
      <c r="I4" s="471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2"/>
      <c r="C5" s="473"/>
      <c r="D5" s="474">
        <v>2.8875999999999999</v>
      </c>
      <c r="E5" s="475" t="s">
        <v>235</v>
      </c>
      <c r="F5" s="473"/>
      <c r="G5" s="473"/>
      <c r="H5" s="470"/>
      <c r="I5" s="476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7" t="s">
        <v>120</v>
      </c>
      <c r="C6" s="478">
        <f>(2*G4*B4*D5)/(C4)</f>
        <v>0.25614855627676847</v>
      </c>
      <c r="D6" s="479"/>
      <c r="E6" s="478">
        <f>1.15*LOG((2.25*D5*(1/1440))/(F4*E4^2))</f>
        <v>3.1758020831260767</v>
      </c>
      <c r="F6" s="480" t="s">
        <v>121</v>
      </c>
      <c r="G6" s="481">
        <f>C6-E6</f>
        <v>-2.9196535268493085</v>
      </c>
      <c r="H6" s="470"/>
      <c r="I6" s="471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2" t="s">
        <v>122</v>
      </c>
      <c r="C7" s="470">
        <f>2.25*D4*(120/1440)</f>
        <v>1.1910064120248329</v>
      </c>
      <c r="D7" s="473"/>
      <c r="E7" s="483" t="s">
        <v>123</v>
      </c>
      <c r="F7" s="470">
        <f>F4*10^(5.46*D4*H4)</f>
        <v>0.15803208639116795</v>
      </c>
      <c r="G7" s="483" t="s">
        <v>124</v>
      </c>
      <c r="H7" s="470">
        <f>F4*EXP(4*G4*D4*H4)</f>
        <v>0.15761704003858396</v>
      </c>
      <c r="I7" s="476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4" t="s">
        <v>126</v>
      </c>
      <c r="C8" s="485">
        <f>ROUND(E4*EXP(-1*G6),3)</f>
        <v>2.3170000000000002</v>
      </c>
      <c r="D8" s="486"/>
      <c r="E8" s="486"/>
      <c r="F8" s="487"/>
      <c r="G8" s="486"/>
      <c r="H8" s="488"/>
      <c r="I8" s="489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5" t="s">
        <v>351</v>
      </c>
      <c r="C9" s="416">
        <v>2880</v>
      </c>
      <c r="D9" s="7"/>
      <c r="E9" s="7"/>
      <c r="F9" s="7"/>
      <c r="G9" s="7"/>
      <c r="H9" s="8"/>
      <c r="I9" s="490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6">
        <f>LongTest!F101</f>
        <v>13.282035095417495</v>
      </c>
      <c r="D10" s="544">
        <f>LongTest!F97</f>
        <v>14.961846389631328</v>
      </c>
      <c r="E10" s="414">
        <v>5.1830000000000001E-2</v>
      </c>
      <c r="F10" s="421" t="s">
        <v>352</v>
      </c>
      <c r="H10" s="258" t="s">
        <v>84</v>
      </c>
      <c r="I10" s="491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7">
        <f>I6-C10</f>
        <v>24.987964904582508</v>
      </c>
      <c r="D11" s="545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2" t="s">
        <v>130</v>
      </c>
      <c r="C13" s="493">
        <f>ROUND(SQRT(6*B16*E16*H16/I16),1)</f>
        <v>85.1</v>
      </c>
      <c r="D13" s="494"/>
      <c r="E13" s="495" t="s">
        <v>248</v>
      </c>
      <c r="F13" s="496">
        <f>D5</f>
        <v>2.8875999999999999</v>
      </c>
      <c r="G13" s="495" t="s">
        <v>247</v>
      </c>
      <c r="H13" s="497">
        <v>2.9830000000000001</v>
      </c>
      <c r="I13" s="498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2"/>
      <c r="C14" s="473"/>
      <c r="D14" s="473"/>
      <c r="E14" s="473"/>
      <c r="F14" s="473"/>
      <c r="G14" s="473"/>
      <c r="H14" s="470"/>
      <c r="I14" s="499"/>
      <c r="J14" s="7"/>
      <c r="K14" s="7"/>
      <c r="L14" s="7"/>
      <c r="M14" s="7"/>
      <c r="N14" s="7"/>
      <c r="O14" s="7"/>
    </row>
    <row r="15" spans="1:15" ht="23.1" customHeight="1">
      <c r="A15" s="7"/>
      <c r="B15" s="500" t="s">
        <v>131</v>
      </c>
      <c r="C15" s="470" t="s">
        <v>132</v>
      </c>
      <c r="D15" s="470" t="s">
        <v>133</v>
      </c>
      <c r="E15" s="470" t="s">
        <v>68</v>
      </c>
      <c r="F15" s="470" t="s">
        <v>134</v>
      </c>
      <c r="G15" s="470" t="s">
        <v>135</v>
      </c>
      <c r="H15" s="470" t="s">
        <v>136</v>
      </c>
      <c r="I15" s="501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2">
        <f>I6-I4</f>
        <v>26.92</v>
      </c>
      <c r="C16" s="503">
        <f>I8-IF(I4&gt;I10,I4,I10)</f>
        <v>138</v>
      </c>
      <c r="D16" s="504">
        <f>(F13+H13)/2</f>
        <v>2.9352999999999998</v>
      </c>
      <c r="E16" s="505">
        <f>INT(D16/C16*100000)/100000</f>
        <v>2.1270000000000001E-2</v>
      </c>
      <c r="F16" s="506">
        <v>1440</v>
      </c>
      <c r="G16" s="507">
        <v>540</v>
      </c>
      <c r="H16" s="504">
        <f>INT(G16/F16*10000)/10000</f>
        <v>0.375</v>
      </c>
      <c r="I16" s="508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2" t="s">
        <v>137</v>
      </c>
      <c r="C18" s="493">
        <f>ROUND(3*SQRT(B21*E21*H21/I21),1)</f>
        <v>104.2</v>
      </c>
      <c r="D18" s="494"/>
      <c r="E18" s="494"/>
      <c r="F18" s="494"/>
      <c r="G18" s="494"/>
      <c r="H18" s="509"/>
      <c r="I18" s="510"/>
      <c r="J18" s="7"/>
      <c r="K18" s="7"/>
      <c r="L18" s="7"/>
      <c r="M18" s="7"/>
      <c r="N18" s="7"/>
      <c r="O18" s="7"/>
    </row>
    <row r="19" spans="1:15" ht="23.1" customHeight="1">
      <c r="A19" s="7"/>
      <c r="B19" s="472"/>
      <c r="C19" s="473"/>
      <c r="D19" s="473"/>
      <c r="E19" s="473"/>
      <c r="F19" s="473"/>
      <c r="G19" s="473"/>
      <c r="H19" s="470"/>
      <c r="I19" s="499"/>
      <c r="J19" s="7"/>
      <c r="K19" s="7"/>
      <c r="L19" s="7"/>
      <c r="M19" s="7"/>
      <c r="N19" s="7"/>
      <c r="O19" s="7"/>
    </row>
    <row r="20" spans="1:15" ht="23.1" customHeight="1">
      <c r="A20" s="7"/>
      <c r="B20" s="500" t="s">
        <v>138</v>
      </c>
      <c r="C20" s="470" t="s">
        <v>38</v>
      </c>
      <c r="D20" s="470" t="s">
        <v>139</v>
      </c>
      <c r="E20" s="511" t="s">
        <v>68</v>
      </c>
      <c r="F20" s="470" t="s">
        <v>134</v>
      </c>
      <c r="G20" s="470" t="s">
        <v>140</v>
      </c>
      <c r="H20" s="470" t="s">
        <v>39</v>
      </c>
      <c r="I20" s="499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2">
        <f t="shared" ref="B21:I21" si="0">B16</f>
        <v>26.92</v>
      </c>
      <c r="C21" s="513">
        <f t="shared" si="0"/>
        <v>138</v>
      </c>
      <c r="D21" s="506">
        <f t="shared" si="0"/>
        <v>2.9352999999999998</v>
      </c>
      <c r="E21" s="504">
        <f t="shared" si="0"/>
        <v>2.1270000000000001E-2</v>
      </c>
      <c r="F21" s="506">
        <f t="shared" si="0"/>
        <v>1440</v>
      </c>
      <c r="G21" s="506">
        <f t="shared" si="0"/>
        <v>540</v>
      </c>
      <c r="H21" s="506">
        <f t="shared" si="0"/>
        <v>0.375</v>
      </c>
      <c r="I21" s="514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2" t="s">
        <v>141</v>
      </c>
      <c r="C23" s="493">
        <f>ROUND(SQRT((2.25*D26*H26)/I26),1)</f>
        <v>117.9</v>
      </c>
      <c r="D23" s="494"/>
      <c r="E23" s="494"/>
      <c r="F23" s="494"/>
      <c r="G23" s="494"/>
      <c r="H23" s="509"/>
      <c r="I23" s="510"/>
      <c r="J23" s="7"/>
      <c r="K23" s="7"/>
      <c r="L23" s="7"/>
      <c r="M23" s="7"/>
      <c r="N23" s="7"/>
      <c r="O23" s="7"/>
    </row>
    <row r="24" spans="1:15" ht="23.1" customHeight="1">
      <c r="A24" s="7"/>
      <c r="B24" s="472"/>
      <c r="C24" s="473"/>
      <c r="D24" s="473"/>
      <c r="E24" s="473"/>
      <c r="F24" s="473"/>
      <c r="G24" s="473"/>
      <c r="H24" s="470"/>
      <c r="I24" s="499"/>
      <c r="J24" s="7"/>
      <c r="K24" s="7"/>
      <c r="L24" s="7"/>
      <c r="M24" s="7"/>
      <c r="N24" s="104"/>
      <c r="O24" s="7"/>
    </row>
    <row r="25" spans="1:15" ht="23.1" customHeight="1">
      <c r="A25" s="7"/>
      <c r="B25" s="500" t="s">
        <v>138</v>
      </c>
      <c r="C25" s="470" t="s">
        <v>38</v>
      </c>
      <c r="D25" s="470" t="s">
        <v>139</v>
      </c>
      <c r="E25" s="470" t="s">
        <v>68</v>
      </c>
      <c r="F25" s="470" t="s">
        <v>134</v>
      </c>
      <c r="G25" s="470" t="s">
        <v>140</v>
      </c>
      <c r="H25" s="511" t="s">
        <v>39</v>
      </c>
      <c r="I25" s="499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2">
        <f t="shared" ref="B26:G26" si="1">B21</f>
        <v>26.92</v>
      </c>
      <c r="C26" s="506">
        <f t="shared" si="1"/>
        <v>138</v>
      </c>
      <c r="D26" s="506">
        <f t="shared" si="1"/>
        <v>2.9352999999999998</v>
      </c>
      <c r="E26" s="505">
        <f t="shared" si="1"/>
        <v>2.1270000000000001E-2</v>
      </c>
      <c r="F26" s="506">
        <f t="shared" si="1"/>
        <v>1440</v>
      </c>
      <c r="G26" s="506">
        <f t="shared" si="1"/>
        <v>540</v>
      </c>
      <c r="H26" s="504">
        <f>INT(G16/F16*10000)/10000</f>
        <v>0.375</v>
      </c>
      <c r="I26" s="514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3" t="s">
        <v>160</v>
      </c>
      <c r="B4" s="594"/>
      <c r="C4" s="422" t="str">
        <f>Input!I44</f>
        <v>예산군 마전 등 5지구 농업용관정 지하수영향조사 용역</v>
      </c>
      <c r="D4" s="423"/>
      <c r="E4" s="423"/>
      <c r="F4" s="423"/>
      <c r="G4" s="423"/>
      <c r="H4" s="424"/>
      <c r="I4" s="425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4.6376330991384025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5" t="s">
        <v>161</v>
      </c>
      <c r="B5" s="59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7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5" t="s">
        <v>162</v>
      </c>
      <c r="B6" s="59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8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5" t="s">
        <v>163</v>
      </c>
      <c r="B7" s="596"/>
      <c r="C7" s="136" t="str">
        <f>Input!I47</f>
        <v>다다건설(주)</v>
      </c>
      <c r="D7" s="429"/>
      <c r="E7" s="130"/>
      <c r="F7" s="137"/>
      <c r="G7" s="138">
        <f>Input!I49</f>
        <v>45726.430555555555</v>
      </c>
      <c r="H7" s="139"/>
      <c r="I7" s="430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1">
        <f t="shared" si="8"/>
        <v>3.97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1" t="s">
        <v>164</v>
      </c>
      <c r="B8" s="140"/>
      <c r="C8" s="597">
        <f>Input!I48</f>
        <v>7.5</v>
      </c>
      <c r="D8" s="598"/>
      <c r="E8" s="599"/>
      <c r="F8" s="141" t="s">
        <v>165</v>
      </c>
      <c r="G8" s="138">
        <f>G7</f>
        <v>45726.430555555555</v>
      </c>
      <c r="H8" s="139"/>
      <c r="I8" s="432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1">
        <f t="shared" si="8"/>
        <v>4.45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1" t="s">
        <v>166</v>
      </c>
      <c r="B9" s="140"/>
      <c r="C9" s="142" t="s">
        <v>167</v>
      </c>
      <c r="D9" s="600">
        <f>Input!M44</f>
        <v>250</v>
      </c>
      <c r="E9" s="600"/>
      <c r="F9" s="129" t="s">
        <v>168</v>
      </c>
      <c r="G9" s="601">
        <f>Input!M45</f>
        <v>158</v>
      </c>
      <c r="H9" s="601"/>
      <c r="I9" s="433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1">
        <f t="shared" si="8"/>
        <v>5.93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1" t="s">
        <v>169</v>
      </c>
      <c r="B10" s="140"/>
      <c r="C10" s="142" t="s">
        <v>216</v>
      </c>
      <c r="D10" s="602">
        <f>Input!M48</f>
        <v>11.35</v>
      </c>
      <c r="E10" s="603"/>
      <c r="F10" s="143" t="s">
        <v>4</v>
      </c>
      <c r="G10" s="604" t="s">
        <v>4</v>
      </c>
      <c r="H10" s="604"/>
      <c r="I10" s="427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1">
        <f t="shared" si="8"/>
        <v>6.8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6" t="s">
        <v>170</v>
      </c>
      <c r="B11" s="144" t="s">
        <v>171</v>
      </c>
      <c r="C11" s="142" t="s">
        <v>172</v>
      </c>
      <c r="D11" s="605" t="s">
        <v>173</v>
      </c>
      <c r="E11" s="605"/>
      <c r="F11" s="144" t="s">
        <v>174</v>
      </c>
      <c r="G11" s="606" t="s">
        <v>175</v>
      </c>
      <c r="H11" s="606"/>
      <c r="I11" s="433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1">
        <f t="shared" si="8"/>
        <v>7.42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4">
        <v>1</v>
      </c>
      <c r="B12" s="146">
        <f>Input!D20</f>
        <v>125</v>
      </c>
      <c r="C12" s="147">
        <v>45725.430555555555</v>
      </c>
      <c r="D12" s="589">
        <v>1</v>
      </c>
      <c r="E12" s="589"/>
      <c r="F12" s="148">
        <f>G12+$D$10</f>
        <v>12.65</v>
      </c>
      <c r="G12" s="590">
        <f>AD4</f>
        <v>1.3</v>
      </c>
      <c r="H12" s="590"/>
      <c r="I12" s="433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1">
        <f t="shared" si="8"/>
        <v>7.89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4"/>
      <c r="B13" s="145"/>
      <c r="C13" s="147"/>
      <c r="D13" s="589">
        <v>2</v>
      </c>
      <c r="E13" s="589"/>
      <c r="F13" s="148">
        <f t="shared" ref="F13:F51" si="13">G13+$D$10</f>
        <v>13.83</v>
      </c>
      <c r="G13" s="590">
        <f t="shared" ref="G13:G51" si="14">AD5</f>
        <v>2.48</v>
      </c>
      <c r="H13" s="590"/>
      <c r="I13" s="435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1">
        <f t="shared" si="8"/>
        <v>8.2799999999999994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4"/>
      <c r="B14" s="145"/>
      <c r="C14" s="147"/>
      <c r="D14" s="589">
        <v>3</v>
      </c>
      <c r="E14" s="589"/>
      <c r="F14" s="148">
        <f t="shared" si="13"/>
        <v>14.7</v>
      </c>
      <c r="G14" s="590">
        <f t="shared" si="14"/>
        <v>3.35</v>
      </c>
      <c r="H14" s="590"/>
      <c r="I14" s="435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1">
        <f t="shared" si="8"/>
        <v>8.6199999999999992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4"/>
      <c r="B15" s="145"/>
      <c r="C15" s="147"/>
      <c r="D15" s="589">
        <v>4</v>
      </c>
      <c r="E15" s="589"/>
      <c r="F15" s="148">
        <f t="shared" si="13"/>
        <v>15.32</v>
      </c>
      <c r="G15" s="590">
        <f t="shared" si="14"/>
        <v>3.97</v>
      </c>
      <c r="H15" s="590"/>
      <c r="I15" s="435"/>
      <c r="J15" s="376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1">
        <f t="shared" si="8"/>
        <v>8.9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4"/>
      <c r="B16" s="145"/>
      <c r="C16" s="147"/>
      <c r="D16" s="589">
        <v>5</v>
      </c>
      <c r="E16" s="589"/>
      <c r="F16" s="148">
        <f t="shared" si="13"/>
        <v>15.8</v>
      </c>
      <c r="G16" s="590">
        <f t="shared" si="14"/>
        <v>4.45</v>
      </c>
      <c r="H16" s="590"/>
      <c r="I16" s="435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4.6376330991384025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1">
        <f t="shared" si="8"/>
        <v>9.15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4"/>
      <c r="B17" s="145"/>
      <c r="C17" s="147"/>
      <c r="D17" s="589">
        <v>10</v>
      </c>
      <c r="E17" s="589"/>
      <c r="F17" s="148">
        <f t="shared" si="13"/>
        <v>17.28</v>
      </c>
      <c r="G17" s="590">
        <f t="shared" si="14"/>
        <v>5.93</v>
      </c>
      <c r="H17" s="590"/>
      <c r="I17" s="435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1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4"/>
      <c r="B18" s="145"/>
      <c r="C18" s="147"/>
      <c r="D18" s="589">
        <v>15</v>
      </c>
      <c r="E18" s="589"/>
      <c r="F18" s="148">
        <f t="shared" si="13"/>
        <v>18.149999999999999</v>
      </c>
      <c r="G18" s="590">
        <f t="shared" si="14"/>
        <v>6.8</v>
      </c>
      <c r="H18" s="590"/>
      <c r="I18" s="435"/>
      <c r="J18" s="376">
        <f t="shared" si="15"/>
        <v>0.87000000000000011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1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4"/>
      <c r="B19" s="145"/>
      <c r="C19" s="147"/>
      <c r="D19" s="589">
        <v>20</v>
      </c>
      <c r="E19" s="589"/>
      <c r="F19" s="148">
        <f t="shared" si="13"/>
        <v>18.77</v>
      </c>
      <c r="G19" s="590">
        <f t="shared" si="14"/>
        <v>7.42</v>
      </c>
      <c r="H19" s="590"/>
      <c r="I19" s="435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1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4"/>
      <c r="B20" s="145"/>
      <c r="C20" s="147"/>
      <c r="D20" s="589">
        <v>25</v>
      </c>
      <c r="E20" s="589"/>
      <c r="F20" s="148">
        <f t="shared" si="13"/>
        <v>19.239999999999998</v>
      </c>
      <c r="G20" s="590">
        <f t="shared" si="14"/>
        <v>7.89</v>
      </c>
      <c r="H20" s="590"/>
      <c r="I20" s="435"/>
      <c r="J20" s="376">
        <f t="shared" si="15"/>
        <v>0.46999999999999975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1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4"/>
      <c r="B21" s="145"/>
      <c r="C21" s="147"/>
      <c r="D21" s="589">
        <v>30</v>
      </c>
      <c r="E21" s="589"/>
      <c r="F21" s="148">
        <f t="shared" si="13"/>
        <v>19.63</v>
      </c>
      <c r="G21" s="590">
        <f t="shared" si="14"/>
        <v>8.2799999999999994</v>
      </c>
      <c r="H21" s="590"/>
      <c r="I21" s="435"/>
      <c r="J21" s="376">
        <f t="shared" si="15"/>
        <v>0.38999999999999968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1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4"/>
      <c r="B22" s="145"/>
      <c r="C22" s="147"/>
      <c r="D22" s="589">
        <v>35</v>
      </c>
      <c r="E22" s="589"/>
      <c r="F22" s="148">
        <f t="shared" si="13"/>
        <v>19.97</v>
      </c>
      <c r="G22" s="590">
        <f t="shared" si="14"/>
        <v>8.6199999999999992</v>
      </c>
      <c r="H22" s="590"/>
      <c r="I22" s="433"/>
      <c r="J22" s="376">
        <f t="shared" si="15"/>
        <v>0.33999999999999986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1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4"/>
      <c r="B23" s="145"/>
      <c r="C23" s="147"/>
      <c r="D23" s="589">
        <v>40</v>
      </c>
      <c r="E23" s="589"/>
      <c r="F23" s="148">
        <f t="shared" si="13"/>
        <v>20.25</v>
      </c>
      <c r="G23" s="590">
        <f t="shared" si="14"/>
        <v>8.9</v>
      </c>
      <c r="H23" s="590"/>
      <c r="I23" s="433"/>
      <c r="J23" s="376">
        <f t="shared" si="15"/>
        <v>0.28000000000000114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1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34"/>
      <c r="B24" s="145"/>
      <c r="C24" s="147"/>
      <c r="D24" s="589">
        <v>45</v>
      </c>
      <c r="E24" s="589"/>
      <c r="F24" s="148">
        <f t="shared" si="13"/>
        <v>20.5</v>
      </c>
      <c r="G24" s="590">
        <f t="shared" si="14"/>
        <v>9.15</v>
      </c>
      <c r="H24" s="590"/>
      <c r="I24" s="433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-27.95</v>
      </c>
      <c r="R24" s="330">
        <f>B32</f>
        <v>160</v>
      </c>
      <c r="S24" s="149">
        <f>$R$24</f>
        <v>160</v>
      </c>
      <c r="T24" s="149">
        <f t="shared" si="10"/>
        <v>4.6376330991384025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1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4"/>
      <c r="B25" s="145"/>
      <c r="C25" s="147"/>
      <c r="D25" s="589">
        <v>50</v>
      </c>
      <c r="E25" s="589"/>
      <c r="F25" s="148">
        <f t="shared" si="13"/>
        <v>20.73</v>
      </c>
      <c r="G25" s="590">
        <f t="shared" si="14"/>
        <v>9.3800000000000008</v>
      </c>
      <c r="H25" s="590"/>
      <c r="I25" s="433"/>
      <c r="J25" s="376">
        <f t="shared" si="15"/>
        <v>0.23000000000000043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1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4"/>
      <c r="B26" s="145"/>
      <c r="C26" s="147"/>
      <c r="D26" s="589">
        <v>55</v>
      </c>
      <c r="E26" s="589"/>
      <c r="F26" s="148">
        <f t="shared" si="13"/>
        <v>20.93</v>
      </c>
      <c r="G26" s="590">
        <f t="shared" si="14"/>
        <v>9.58</v>
      </c>
      <c r="H26" s="590"/>
      <c r="I26" s="433"/>
      <c r="J26" s="376">
        <f t="shared" si="15"/>
        <v>0.19999999999999929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1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4"/>
      <c r="B27" s="145"/>
      <c r="C27" s="147">
        <f>$C$12+D27/1440</f>
        <v>45725.472222222219</v>
      </c>
      <c r="D27" s="589">
        <v>60</v>
      </c>
      <c r="E27" s="589"/>
      <c r="F27" s="148">
        <f t="shared" si="13"/>
        <v>21.119999999999997</v>
      </c>
      <c r="G27" s="590">
        <f t="shared" si="14"/>
        <v>9.77</v>
      </c>
      <c r="H27" s="590"/>
      <c r="I27" s="433"/>
      <c r="J27" s="376">
        <f t="shared" si="15"/>
        <v>0.1899999999999995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1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4"/>
      <c r="B28" s="145"/>
      <c r="C28" s="147"/>
      <c r="D28" s="589">
        <v>75</v>
      </c>
      <c r="E28" s="589"/>
      <c r="F28" s="148">
        <f t="shared" si="13"/>
        <v>21.6</v>
      </c>
      <c r="G28" s="590">
        <f t="shared" si="14"/>
        <v>10.25</v>
      </c>
      <c r="H28" s="590"/>
      <c r="I28" s="433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1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34"/>
      <c r="B29" s="145"/>
      <c r="C29" s="147"/>
      <c r="D29" s="589">
        <v>90</v>
      </c>
      <c r="E29" s="589"/>
      <c r="F29" s="148">
        <f t="shared" si="13"/>
        <v>21.990000000000002</v>
      </c>
      <c r="G29" s="590">
        <f t="shared" si="14"/>
        <v>10.64</v>
      </c>
      <c r="H29" s="590"/>
      <c r="I29" s="433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-70.430000000000007</v>
      </c>
      <c r="R29" s="330">
        <f>B37</f>
        <v>194.65</v>
      </c>
      <c r="S29" s="149">
        <f>$R$29</f>
        <v>194.65</v>
      </c>
      <c r="T29" s="149">
        <f t="shared" si="10"/>
        <v>4.6376330991384025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1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4"/>
      <c r="B30" s="145"/>
      <c r="C30" s="147"/>
      <c r="D30" s="589">
        <v>105</v>
      </c>
      <c r="E30" s="589"/>
      <c r="F30" s="148">
        <f t="shared" si="13"/>
        <v>22.32</v>
      </c>
      <c r="G30" s="590">
        <f t="shared" si="14"/>
        <v>10.97</v>
      </c>
      <c r="H30" s="590"/>
      <c r="I30" s="433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1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4"/>
      <c r="B31" s="145"/>
      <c r="C31" s="147"/>
      <c r="D31" s="589">
        <v>120</v>
      </c>
      <c r="E31" s="589"/>
      <c r="F31" s="148">
        <f t="shared" si="13"/>
        <v>22.61</v>
      </c>
      <c r="G31" s="590">
        <f t="shared" si="14"/>
        <v>11.26</v>
      </c>
      <c r="H31" s="590"/>
      <c r="I31" s="433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1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4">
        <v>2</v>
      </c>
      <c r="B32" s="146">
        <f>Input!D21</f>
        <v>160</v>
      </c>
      <c r="C32" s="147">
        <f>$C$12+D32/1440</f>
        <v>45725.520833333336</v>
      </c>
      <c r="D32" s="589">
        <v>130</v>
      </c>
      <c r="E32" s="589"/>
      <c r="F32" s="148">
        <f t="shared" si="13"/>
        <v>24.86</v>
      </c>
      <c r="G32" s="590">
        <f t="shared" si="14"/>
        <v>13.51</v>
      </c>
      <c r="H32" s="590"/>
      <c r="I32" s="433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1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4"/>
      <c r="B33" s="145"/>
      <c r="C33" s="147"/>
      <c r="D33" s="589">
        <v>140</v>
      </c>
      <c r="E33" s="589"/>
      <c r="F33" s="148">
        <f t="shared" si="13"/>
        <v>25.240000000000002</v>
      </c>
      <c r="G33" s="590">
        <f t="shared" si="14"/>
        <v>13.89</v>
      </c>
      <c r="H33" s="590"/>
      <c r="I33" s="433"/>
      <c r="J33" s="376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1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34"/>
      <c r="B34" s="145"/>
      <c r="C34" s="147"/>
      <c r="D34" s="589">
        <v>150</v>
      </c>
      <c r="E34" s="589"/>
      <c r="F34" s="148">
        <f t="shared" si="13"/>
        <v>25.61</v>
      </c>
      <c r="G34" s="590">
        <f t="shared" si="14"/>
        <v>14.26</v>
      </c>
      <c r="H34" s="590"/>
      <c r="I34" s="433"/>
      <c r="J34" s="376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1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4"/>
      <c r="B35" s="145"/>
      <c r="C35" s="147"/>
      <c r="D35" s="589">
        <v>180</v>
      </c>
      <c r="E35" s="589"/>
      <c r="F35" s="148">
        <f t="shared" si="13"/>
        <v>25.990000000000002</v>
      </c>
      <c r="G35" s="590">
        <f t="shared" si="14"/>
        <v>14.64</v>
      </c>
      <c r="H35" s="590"/>
      <c r="I35" s="433"/>
      <c r="J35" s="376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1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4"/>
      <c r="B36" s="145"/>
      <c r="C36" s="147"/>
      <c r="D36" s="589">
        <v>240</v>
      </c>
      <c r="E36" s="589"/>
      <c r="F36" s="148">
        <f t="shared" si="13"/>
        <v>26.369999999999997</v>
      </c>
      <c r="G36" s="590">
        <f t="shared" si="14"/>
        <v>15.02</v>
      </c>
      <c r="H36" s="590"/>
      <c r="I36" s="433"/>
      <c r="J36" s="376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1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4">
        <v>3</v>
      </c>
      <c r="B37" s="146">
        <f>Input!D22</f>
        <v>194.65</v>
      </c>
      <c r="C37" s="147">
        <f>$C$12+D37/1440</f>
        <v>45725.604166666664</v>
      </c>
      <c r="D37" s="589">
        <v>250</v>
      </c>
      <c r="E37" s="589"/>
      <c r="F37" s="148">
        <f t="shared" si="13"/>
        <v>28.9</v>
      </c>
      <c r="G37" s="590">
        <f t="shared" si="14"/>
        <v>17.55</v>
      </c>
      <c r="H37" s="590"/>
      <c r="I37" s="433"/>
      <c r="J37" s="376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1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4"/>
      <c r="B38" s="145"/>
      <c r="C38" s="147"/>
      <c r="D38" s="589">
        <v>260</v>
      </c>
      <c r="E38" s="589"/>
      <c r="F38" s="148">
        <f t="shared" si="13"/>
        <v>29.32</v>
      </c>
      <c r="G38" s="590">
        <f t="shared" si="14"/>
        <v>17.97</v>
      </c>
      <c r="H38" s="590"/>
      <c r="I38" s="433"/>
      <c r="J38" s="376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1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34"/>
      <c r="B39" s="145"/>
      <c r="C39" s="147"/>
      <c r="D39" s="589">
        <v>270</v>
      </c>
      <c r="E39" s="589"/>
      <c r="F39" s="148">
        <f t="shared" si="13"/>
        <v>29.740000000000002</v>
      </c>
      <c r="G39" s="590">
        <f t="shared" si="14"/>
        <v>18.39</v>
      </c>
      <c r="H39" s="590"/>
      <c r="I39" s="433"/>
      <c r="J39" s="376">
        <f t="shared" si="15"/>
        <v>0.42000000000000171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1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4"/>
      <c r="B40" s="145"/>
      <c r="C40" s="147"/>
      <c r="D40" s="589">
        <v>300</v>
      </c>
      <c r="E40" s="589"/>
      <c r="F40" s="148">
        <f t="shared" si="13"/>
        <v>30.159999999999997</v>
      </c>
      <c r="G40" s="590">
        <f t="shared" si="14"/>
        <v>18.809999999999999</v>
      </c>
      <c r="H40" s="590"/>
      <c r="I40" s="433"/>
      <c r="J40" s="376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1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4"/>
      <c r="B41" s="145"/>
      <c r="C41" s="147"/>
      <c r="D41" s="589">
        <v>360</v>
      </c>
      <c r="E41" s="589"/>
      <c r="F41" s="148">
        <f t="shared" si="13"/>
        <v>30.589999999999996</v>
      </c>
      <c r="G41" s="590">
        <f t="shared" si="14"/>
        <v>19.239999999999998</v>
      </c>
      <c r="H41" s="590"/>
      <c r="I41" s="433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1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4">
        <v>4</v>
      </c>
      <c r="B42" s="146">
        <f>Input!D23</f>
        <v>229</v>
      </c>
      <c r="C42" s="147">
        <f>$C$12+D42/1440</f>
        <v>45725.6875</v>
      </c>
      <c r="D42" s="589">
        <v>370</v>
      </c>
      <c r="E42" s="589"/>
      <c r="F42" s="148">
        <f t="shared" si="13"/>
        <v>33.409999999999997</v>
      </c>
      <c r="G42" s="590">
        <f t="shared" si="14"/>
        <v>22.06</v>
      </c>
      <c r="H42" s="590"/>
      <c r="I42" s="433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1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4"/>
      <c r="B43" s="145"/>
      <c r="C43" s="147"/>
      <c r="D43" s="589">
        <v>380</v>
      </c>
      <c r="E43" s="589"/>
      <c r="F43" s="148">
        <f t="shared" si="13"/>
        <v>33.880000000000003</v>
      </c>
      <c r="G43" s="590">
        <f t="shared" si="14"/>
        <v>22.53</v>
      </c>
      <c r="H43" s="590"/>
      <c r="I43" s="433"/>
      <c r="J43" s="376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1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34"/>
      <c r="B44" s="145"/>
      <c r="C44" s="147"/>
      <c r="D44" s="589">
        <v>390</v>
      </c>
      <c r="E44" s="589"/>
      <c r="F44" s="148">
        <f t="shared" si="13"/>
        <v>34.35</v>
      </c>
      <c r="G44" s="590">
        <f t="shared" si="14"/>
        <v>23</v>
      </c>
      <c r="H44" s="590"/>
      <c r="I44" s="433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4"/>
      <c r="B45" s="145"/>
      <c r="C45" s="147"/>
      <c r="D45" s="589">
        <v>420</v>
      </c>
      <c r="E45" s="589"/>
      <c r="F45" s="148">
        <f t="shared" si="13"/>
        <v>34.82</v>
      </c>
      <c r="G45" s="590">
        <f t="shared" si="14"/>
        <v>23.47</v>
      </c>
      <c r="H45" s="590"/>
      <c r="I45" s="433"/>
      <c r="J45" s="376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4"/>
      <c r="B46" s="145"/>
      <c r="C46" s="147"/>
      <c r="D46" s="589">
        <v>480</v>
      </c>
      <c r="E46" s="589"/>
      <c r="F46" s="148">
        <f t="shared" si="13"/>
        <v>35.299999999999997</v>
      </c>
      <c r="G46" s="590">
        <f t="shared" si="14"/>
        <v>23.95</v>
      </c>
      <c r="H46" s="590"/>
      <c r="I46" s="433"/>
      <c r="J46" s="376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4">
        <v>5</v>
      </c>
      <c r="B47" s="146">
        <f>Input!D24</f>
        <v>263.34999999999997</v>
      </c>
      <c r="C47" s="147">
        <f>$C$12+D47/1440</f>
        <v>45725.770833333336</v>
      </c>
      <c r="D47" s="589">
        <v>490</v>
      </c>
      <c r="E47" s="589"/>
      <c r="F47" s="148">
        <f t="shared" si="13"/>
        <v>38.17</v>
      </c>
      <c r="G47" s="590">
        <f t="shared" si="14"/>
        <v>26.82</v>
      </c>
      <c r="H47" s="590"/>
      <c r="I47" s="433"/>
      <c r="J47" s="376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4"/>
      <c r="B48" s="145"/>
      <c r="C48" s="147"/>
      <c r="D48" s="589">
        <v>500</v>
      </c>
      <c r="E48" s="589"/>
      <c r="F48" s="148">
        <f t="shared" si="13"/>
        <v>39.24</v>
      </c>
      <c r="G48" s="590">
        <f t="shared" si="14"/>
        <v>27.89</v>
      </c>
      <c r="H48" s="590"/>
      <c r="I48" s="433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4"/>
      <c r="B49" s="145"/>
      <c r="C49" s="147"/>
      <c r="D49" s="589">
        <v>510</v>
      </c>
      <c r="E49" s="589"/>
      <c r="F49" s="148">
        <f t="shared" si="13"/>
        <v>40.32</v>
      </c>
      <c r="G49" s="590">
        <f t="shared" si="14"/>
        <v>28.97</v>
      </c>
      <c r="H49" s="590"/>
      <c r="I49" s="433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4"/>
      <c r="B50" s="145"/>
      <c r="C50" s="147"/>
      <c r="D50" s="589">
        <v>540</v>
      </c>
      <c r="E50" s="589"/>
      <c r="F50" s="148">
        <f t="shared" si="13"/>
        <v>41.4</v>
      </c>
      <c r="G50" s="590">
        <f t="shared" si="14"/>
        <v>30.05</v>
      </c>
      <c r="H50" s="590"/>
      <c r="I50" s="433"/>
      <c r="J50" s="376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6"/>
      <c r="B51" s="437"/>
      <c r="C51" s="438">
        <f>$C$12+D51/1440</f>
        <v>45725.847222222219</v>
      </c>
      <c r="D51" s="591">
        <v>600</v>
      </c>
      <c r="E51" s="591"/>
      <c r="F51" s="439">
        <f t="shared" si="13"/>
        <v>42.48</v>
      </c>
      <c r="G51" s="592">
        <f t="shared" si="14"/>
        <v>31.13</v>
      </c>
      <c r="H51" s="592"/>
      <c r="I51" s="440" t="s">
        <v>180</v>
      </c>
      <c r="J51" s="376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11" t="s">
        <v>183</v>
      </c>
      <c r="O1" s="611"/>
      <c r="P1" s="344">
        <f>StepTest!G41</f>
        <v>19.239999999999998</v>
      </c>
      <c r="Q1" s="345" t="s">
        <v>184</v>
      </c>
      <c r="R1" s="346">
        <f>G35</f>
        <v>25.367089369717689</v>
      </c>
      <c r="S1" s="347">
        <f>D7/2000</f>
        <v>0.125</v>
      </c>
      <c r="T1" s="348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1" t="str">
        <f>StepTest!A4</f>
        <v>조 사 명</v>
      </c>
      <c r="B2" s="442"/>
      <c r="C2" s="443" t="str">
        <f>StepTest!C4</f>
        <v>예산군 마전 등 5지구 농업용관정 지하수영향조사 용역</v>
      </c>
      <c r="D2" s="444"/>
      <c r="E2" s="444"/>
      <c r="F2" s="444"/>
      <c r="G2" s="444"/>
      <c r="H2" s="444"/>
      <c r="I2" s="444"/>
      <c r="J2" s="445"/>
      <c r="K2" s="126"/>
      <c r="N2" s="149"/>
      <c r="O2" s="149" t="s">
        <v>185</v>
      </c>
      <c r="P2" s="349">
        <f>G8</f>
        <v>38.270000000000003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9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1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46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7"/>
      <c r="K3" s="126"/>
      <c r="L3" s="518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0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1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46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8"/>
      <c r="K4" s="126"/>
      <c r="L4" s="518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1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46" t="str">
        <f>StepTest!A7</f>
        <v>조 사 자</v>
      </c>
      <c r="B5" s="65"/>
      <c r="C5" s="70" t="str">
        <f>StepTest!C7</f>
        <v>다다건설(주)</v>
      </c>
      <c r="D5" s="449"/>
      <c r="E5" s="67"/>
      <c r="F5" s="71" t="s">
        <v>169</v>
      </c>
      <c r="G5" s="72">
        <f>Input!I50</f>
        <v>48</v>
      </c>
      <c r="H5" s="73"/>
      <c r="I5" s="73"/>
      <c r="J5" s="450"/>
      <c r="K5" s="126"/>
      <c r="L5" s="518" t="s">
        <v>187</v>
      </c>
      <c r="M5" s="30">
        <f t="shared" si="2"/>
        <v>-1.45</v>
      </c>
      <c r="N5" s="40"/>
      <c r="O5" s="123"/>
      <c r="P5" s="123"/>
      <c r="V5" s="330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1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46" t="str">
        <f>StepTest!A8</f>
        <v>수중모타</v>
      </c>
      <c r="B6" s="65"/>
      <c r="C6" s="612">
        <f>StepTest!C8</f>
        <v>7.5</v>
      </c>
      <c r="D6" s="612"/>
      <c r="E6" s="613"/>
      <c r="F6" s="71" t="s">
        <v>165</v>
      </c>
      <c r="G6" s="72">
        <f>Input!I51</f>
        <v>483</v>
      </c>
      <c r="H6" s="73"/>
      <c r="I6" s="73"/>
      <c r="J6" s="450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0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30.517676482645864</v>
      </c>
      <c r="AC6" s="159">
        <f t="shared" si="5"/>
        <v>30.517676482645864</v>
      </c>
      <c r="AD6" s="149"/>
      <c r="AE6" s="331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46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8"/>
      <c r="K7" s="126"/>
      <c r="M7" s="30">
        <f t="shared" si="2"/>
        <v>-5.16</v>
      </c>
      <c r="N7" s="40"/>
      <c r="O7" s="123"/>
      <c r="P7" s="123"/>
      <c r="V7" s="330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33.172394739573186</v>
      </c>
      <c r="AC7" s="159">
        <f t="shared" si="5"/>
        <v>33.172394739573186</v>
      </c>
      <c r="AD7" s="149"/>
      <c r="AE7" s="331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46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1"/>
      <c r="K8" s="350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0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34.725305369855498</v>
      </c>
      <c r="AC8" s="159">
        <f t="shared" si="5"/>
        <v>34.725305369855498</v>
      </c>
      <c r="AD8" s="149"/>
      <c r="AE8" s="331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2" t="s">
        <v>170</v>
      </c>
      <c r="B9" s="82" t="s">
        <v>171</v>
      </c>
      <c r="C9" s="79" t="s">
        <v>190</v>
      </c>
      <c r="D9" s="614" t="s">
        <v>173</v>
      </c>
      <c r="E9" s="614"/>
      <c r="F9" s="82" t="s">
        <v>174</v>
      </c>
      <c r="G9" s="82" t="s">
        <v>175</v>
      </c>
      <c r="H9" s="83"/>
      <c r="I9" s="83"/>
      <c r="J9" s="453"/>
      <c r="K9" s="351">
        <f>G8-D8</f>
        <v>26.92</v>
      </c>
      <c r="M9" s="30">
        <f t="shared" si="2"/>
        <v>-29.23</v>
      </c>
      <c r="N9" s="40"/>
      <c r="O9" s="123"/>
      <c r="P9" s="123"/>
      <c r="V9" s="330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35.827112996500503</v>
      </c>
      <c r="AC9" s="159">
        <f t="shared" si="5"/>
        <v>35.827112996500503</v>
      </c>
      <c r="AD9" s="149"/>
      <c r="AE9" s="331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54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55"/>
      <c r="K10" s="352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0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36.681741387415819</v>
      </c>
      <c r="AC10" s="159">
        <f t="shared" si="5"/>
        <v>36.681741387415819</v>
      </c>
      <c r="AD10" s="149"/>
      <c r="AE10" s="331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54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55"/>
      <c r="K11" s="155">
        <f>G11-G10</f>
        <v>2.6547182569273211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37.380023626782815</v>
      </c>
      <c r="AC11" s="159">
        <f t="shared" si="5"/>
        <v>37.380023626782815</v>
      </c>
      <c r="AD11" s="149"/>
      <c r="AE11" s="331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54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55"/>
      <c r="K12" s="155">
        <f t="shared" ref="K12:K47" si="15">G12-G11</f>
        <v>1.5529106302823124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37.970412847906964</v>
      </c>
      <c r="AC12" s="159">
        <f t="shared" si="5"/>
        <v>37.970412847906964</v>
      </c>
      <c r="AD12" s="149"/>
      <c r="AE12" s="331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54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55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38.481831253427821</v>
      </c>
      <c r="AC13" s="159">
        <f t="shared" si="5"/>
        <v>38.481831253427821</v>
      </c>
      <c r="AD13" s="149"/>
      <c r="AE13" s="331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54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55"/>
      <c r="K14" s="155">
        <f t="shared" si="15"/>
        <v>0.85462839091530896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38.932934257065128</v>
      </c>
      <c r="AC14" s="159">
        <f t="shared" si="5"/>
        <v>38.932934257065128</v>
      </c>
      <c r="AD14" s="149"/>
      <c r="AE14" s="331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54"/>
      <c r="B15" s="449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55"/>
      <c r="K15" s="155">
        <f t="shared" si="15"/>
        <v>2.6547182569273211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39.336459644343137</v>
      </c>
      <c r="AC15" s="159">
        <f t="shared" si="5"/>
        <v>39.336459644343137</v>
      </c>
      <c r="AD15" s="149"/>
      <c r="AE15" s="331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54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55"/>
      <c r="K16" s="155">
        <f t="shared" si="15"/>
        <v>1.5529106302823124</v>
      </c>
      <c r="L16" s="515" t="s">
        <v>244</v>
      </c>
      <c r="M16" s="516" t="s">
        <v>178</v>
      </c>
      <c r="N16" s="516" t="s">
        <v>179</v>
      </c>
      <c r="O16" s="516" t="s">
        <v>242</v>
      </c>
      <c r="P16" s="516" t="s">
        <v>243</v>
      </c>
      <c r="Q16" s="517" t="s">
        <v>245</v>
      </c>
      <c r="V16" s="330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39.701492759233922</v>
      </c>
      <c r="AC16" s="159">
        <f t="shared" si="5"/>
        <v>39.701492759233922</v>
      </c>
      <c r="AD16" s="149"/>
      <c r="AE16" s="331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54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55"/>
      <c r="K17" s="155">
        <f t="shared" si="15"/>
        <v>1.1018076266450052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40.034741883710133</v>
      </c>
      <c r="AC17" s="159">
        <f t="shared" si="5"/>
        <v>40.034741883710133</v>
      </c>
      <c r="AD17" s="149"/>
      <c r="AE17" s="331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54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55"/>
      <c r="K18" s="155">
        <f t="shared" si="15"/>
        <v>0.85462839091531606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40.889370274625449</v>
      </c>
      <c r="AC18" s="159">
        <f t="shared" si="5"/>
        <v>40.889370274625449</v>
      </c>
      <c r="AD18" s="149"/>
      <c r="AE18" s="331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54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55"/>
      <c r="K19" s="155">
        <f t="shared" si="15"/>
        <v>0.69828223936699629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-1.45</v>
      </c>
      <c r="V19" s="330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41.587652513992445</v>
      </c>
      <c r="AC19" s="159">
        <f t="shared" si="5"/>
        <v>41.587652513992445</v>
      </c>
      <c r="AD19" s="149"/>
      <c r="AE19" s="331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54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55"/>
      <c r="K20" s="155">
        <f t="shared" si="15"/>
        <v>0.59038922112414838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-3.18</v>
      </c>
      <c r="V20" s="330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42.178041735116587</v>
      </c>
      <c r="AC20" s="159">
        <f t="shared" si="5"/>
        <v>42.178041735116587</v>
      </c>
      <c r="AD20" s="149"/>
      <c r="AE20" s="331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54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55"/>
      <c r="K21" s="155">
        <f t="shared" si="15"/>
        <v>0.51141840552085682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-5.16</v>
      </c>
      <c r="V21" s="330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42.689460140637451</v>
      </c>
      <c r="AC21" s="159">
        <f t="shared" si="5"/>
        <v>42.689460140637451</v>
      </c>
      <c r="AD21" s="149"/>
      <c r="AE21" s="331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54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55"/>
      <c r="K22" s="155">
        <f t="shared" si="15"/>
        <v>0.45110300363730715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-16.64</v>
      </c>
      <c r="V22" s="330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43.279849361761592</v>
      </c>
      <c r="AC22" s="159">
        <f t="shared" si="5"/>
        <v>43.279849361761592</v>
      </c>
      <c r="AD22" s="149"/>
      <c r="AE22" s="331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54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55"/>
      <c r="K23" s="155">
        <f t="shared" si="15"/>
        <v>0.40352538727800891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-29.23</v>
      </c>
      <c r="V23" s="330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43.791267767282456</v>
      </c>
      <c r="AC23" s="159">
        <f t="shared" si="5"/>
        <v>43.791267767282456</v>
      </c>
      <c r="AD23" s="149"/>
      <c r="AE23" s="331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54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55"/>
      <c r="K24" s="155">
        <f t="shared" si="15"/>
        <v>0.36503311489078527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-42.27</v>
      </c>
      <c r="V24" s="330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44.242370770919763</v>
      </c>
      <c r="AC24" s="159">
        <f t="shared" si="5"/>
        <v>44.242370770919763</v>
      </c>
      <c r="AD24" s="149"/>
      <c r="AE24" s="331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54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55"/>
      <c r="K25" s="155">
        <f t="shared" si="15"/>
        <v>0.33324912447621102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-55.55</v>
      </c>
      <c r="V25" s="330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45.344178397564768</v>
      </c>
      <c r="AC25" s="159">
        <f t="shared" si="5"/>
        <v>45.344178397564768</v>
      </c>
      <c r="AD25" s="149"/>
      <c r="AE25" s="331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54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55"/>
      <c r="K26" s="155">
        <f t="shared" si="15"/>
        <v>0.85462839091531606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-68.989999999999995</v>
      </c>
      <c r="V26" s="330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46.198806788480084</v>
      </c>
      <c r="AC26" s="159">
        <f t="shared" si="5"/>
        <v>46.198806788480084</v>
      </c>
      <c r="AD26" s="149"/>
      <c r="AE26" s="331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54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55"/>
      <c r="K27" s="155">
        <f t="shared" si="15"/>
        <v>0.69828223936699629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-82.54</v>
      </c>
      <c r="V27" s="330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46.897089027847088</v>
      </c>
      <c r="AC27" s="159">
        <f t="shared" si="5"/>
        <v>46.897089027847088</v>
      </c>
      <c r="AD27" s="149"/>
      <c r="AE27" s="331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54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55"/>
      <c r="K28" s="155">
        <f t="shared" si="15"/>
        <v>0.59038922112414127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-96.17</v>
      </c>
      <c r="S28"/>
      <c r="V28" s="330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47.487478248971222</v>
      </c>
      <c r="AC28" s="159">
        <f t="shared" si="5"/>
        <v>47.487478248971222</v>
      </c>
      <c r="AD28" s="149"/>
      <c r="AE28" s="331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54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55"/>
      <c r="K29" s="155">
        <f t="shared" si="15"/>
        <v>0.51141840552086393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-109.86</v>
      </c>
      <c r="V29" s="330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47.998896654492093</v>
      </c>
      <c r="AC29" s="159">
        <f t="shared" si="5"/>
        <v>47.998896654492093</v>
      </c>
      <c r="AD29" s="149"/>
      <c r="AE29" s="331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54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55"/>
      <c r="K30" s="155">
        <f t="shared" si="15"/>
        <v>0.59038922112414127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</v>
      </c>
      <c r="V30" s="330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48.4499996581294</v>
      </c>
      <c r="AC30" s="159">
        <f t="shared" si="5"/>
        <v>48.4499996581294</v>
      </c>
      <c r="AD30" s="149"/>
      <c r="AE30" s="331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54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55"/>
      <c r="K31" s="155">
        <f t="shared" si="15"/>
        <v>0.51141840552086393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-137.37</v>
      </c>
      <c r="V31" s="330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48.4499996581294</v>
      </c>
      <c r="AC31" s="159">
        <f t="shared" ref="AC31:AC34" si="23">AC30</f>
        <v>48.4499996581294</v>
      </c>
      <c r="AD31" s="149"/>
      <c r="AE31" s="331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54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55"/>
      <c r="K32" s="155">
        <f t="shared" si="15"/>
        <v>0.45110300363730715</v>
      </c>
      <c r="L32" s="42" t="s">
        <v>21</v>
      </c>
      <c r="O32" s="43"/>
      <c r="V32" s="330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48.4499996581294</v>
      </c>
      <c r="AC32" s="159">
        <f t="shared" si="23"/>
        <v>48.4499996581294</v>
      </c>
      <c r="AD32" s="149"/>
      <c r="AE32" s="331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54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55"/>
      <c r="K33" s="155">
        <f t="shared" si="15"/>
        <v>1.1018076266450052</v>
      </c>
      <c r="L33" s="39" t="s">
        <v>21</v>
      </c>
      <c r="O33" s="43"/>
      <c r="V33" s="330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48.4499996581294</v>
      </c>
      <c r="AC33" s="159">
        <f t="shared" si="23"/>
        <v>48.4499996581294</v>
      </c>
      <c r="AD33" s="149"/>
      <c r="AE33" s="331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54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55"/>
      <c r="K34" s="155">
        <f t="shared" si="15"/>
        <v>0.85462839091531606</v>
      </c>
      <c r="L34" s="39" t="s">
        <v>21</v>
      </c>
      <c r="P34" s="43"/>
      <c r="V34" s="330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48.4499996581294</v>
      </c>
      <c r="AC34" s="159">
        <f t="shared" si="23"/>
        <v>48.4499996581294</v>
      </c>
      <c r="AD34" s="149"/>
      <c r="AE34" s="331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54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55"/>
      <c r="K35" s="155">
        <f t="shared" si="15"/>
        <v>0.6982822393670034</v>
      </c>
      <c r="L35" s="39" t="s">
        <v>21</v>
      </c>
      <c r="O35" s="43"/>
      <c r="V35" s="330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48.4499996581294</v>
      </c>
      <c r="AC35" s="159">
        <f t="shared" ref="AC35:AC38" si="25">AC34</f>
        <v>48.4499996581294</v>
      </c>
      <c r="AD35" s="149"/>
      <c r="AE35" s="331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54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55"/>
      <c r="K36" s="155">
        <f t="shared" si="15"/>
        <v>0.59038922112413417</v>
      </c>
      <c r="L36" s="39" t="s">
        <v>21</v>
      </c>
      <c r="V36" s="330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48.4499996581294</v>
      </c>
      <c r="AC36" s="159">
        <f t="shared" si="25"/>
        <v>48.4499996581294</v>
      </c>
      <c r="AD36" s="149"/>
      <c r="AE36" s="331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54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55"/>
      <c r="K37" s="155">
        <f t="shared" si="15"/>
        <v>0.51141840552087103</v>
      </c>
      <c r="L37" s="39" t="s">
        <v>21</v>
      </c>
      <c r="V37" s="330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48.4499996581294</v>
      </c>
      <c r="AC37" s="159">
        <f t="shared" si="25"/>
        <v>48.4499996581294</v>
      </c>
      <c r="AD37" s="149">
        <v>37</v>
      </c>
      <c r="AE37" s="331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54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55"/>
      <c r="K38" s="155">
        <f t="shared" si="15"/>
        <v>0.45110300363730715</v>
      </c>
      <c r="L38" s="39" t="s">
        <v>21</v>
      </c>
      <c r="V38" s="330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48.4499996581294</v>
      </c>
      <c r="AC38" s="159">
        <f t="shared" si="25"/>
        <v>48.4499996581294</v>
      </c>
      <c r="AD38" s="150" t="s">
        <v>40</v>
      </c>
      <c r="AE38" s="331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54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55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1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54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55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48.4499996581294</v>
      </c>
      <c r="AC40" s="159">
        <f t="shared" si="26"/>
        <v>48.4499996581294</v>
      </c>
      <c r="AD40" s="44">
        <v>40</v>
      </c>
      <c r="AE40" s="331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54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55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2.8875628788906846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1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54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55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48.4499996581294</v>
      </c>
      <c r="AC42" s="159">
        <f t="shared" si="27"/>
        <v>48.4499996581294</v>
      </c>
      <c r="AD42" s="44">
        <v>42</v>
      </c>
      <c r="AE42" s="331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54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55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2.8875628788906846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48.4499996581294</v>
      </c>
      <c r="AC43" s="159">
        <f t="shared" si="27"/>
        <v>48.4499996581294</v>
      </c>
      <c r="AD43" s="45">
        <v>43</v>
      </c>
      <c r="AE43" s="331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54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55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48.4499996581294</v>
      </c>
      <c r="AC44" s="159">
        <f t="shared" si="27"/>
        <v>48.4499996581294</v>
      </c>
      <c r="AD44" s="44">
        <v>44</v>
      </c>
      <c r="AE44" s="331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54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55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2.8875628788906846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48.4499996581294</v>
      </c>
      <c r="AC45" s="159">
        <f t="shared" si="27"/>
        <v>48.4499996581294</v>
      </c>
      <c r="AD45" s="45">
        <v>45</v>
      </c>
      <c r="AE45" s="331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54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55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48.4499996581294</v>
      </c>
      <c r="AC46" s="159">
        <f t="shared" si="27"/>
        <v>48.4499996581294</v>
      </c>
      <c r="AD46" s="44">
        <v>46</v>
      </c>
      <c r="AE46" s="338">
        <f t="shared" si="6"/>
        <v>1500</v>
      </c>
      <c r="AF46" s="340">
        <f t="shared" si="20"/>
        <v>26.92</v>
      </c>
      <c r="AG46" s="149"/>
    </row>
    <row r="47" spans="1:33" s="27" customFormat="1" ht="21" customHeight="1">
      <c r="A47" s="454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55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48.4499996581294</v>
      </c>
      <c r="AC47" s="159">
        <f t="shared" ref="AC47:AC69" si="28">AC46</f>
        <v>48.4499996581294</v>
      </c>
      <c r="AD47" s="149"/>
      <c r="AE47" s="331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54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55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48.4499996581294</v>
      </c>
      <c r="AC48" s="159">
        <f t="shared" si="28"/>
        <v>48.4499996581294</v>
      </c>
      <c r="AD48" s="149"/>
      <c r="AE48" s="331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54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55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48.4499996581294</v>
      </c>
      <c r="AC49" s="159">
        <f t="shared" si="28"/>
        <v>48.4499996581294</v>
      </c>
      <c r="AD49" s="149"/>
      <c r="AE49" s="331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54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55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48.4499996581294</v>
      </c>
      <c r="AC50" s="159">
        <f t="shared" si="28"/>
        <v>48.4499996581294</v>
      </c>
      <c r="AD50" s="149"/>
      <c r="AE50" s="331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54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55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48.4499996581294</v>
      </c>
      <c r="AC51" s="159">
        <f t="shared" si="28"/>
        <v>48.4499996581294</v>
      </c>
      <c r="AD51" s="149"/>
      <c r="AE51" s="331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54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55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48.4499996581294</v>
      </c>
      <c r="AC52" s="159">
        <f t="shared" si="28"/>
        <v>48.4499996581294</v>
      </c>
      <c r="AD52" s="149"/>
      <c r="AE52" s="331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54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55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48.4499996581294</v>
      </c>
      <c r="AC53" s="159">
        <f t="shared" si="28"/>
        <v>48.4499996581294</v>
      </c>
      <c r="AD53" s="149"/>
      <c r="AE53" s="331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54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55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48.4499996581294</v>
      </c>
      <c r="AC54" s="159">
        <f t="shared" si="28"/>
        <v>48.4499996581294</v>
      </c>
      <c r="AD54" s="149"/>
      <c r="AE54" s="331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54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55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48.4499996581294</v>
      </c>
      <c r="AC55" s="159">
        <f t="shared" si="28"/>
        <v>48.4499996581294</v>
      </c>
      <c r="AD55" s="149"/>
      <c r="AE55" s="331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54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55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48.4499996581294</v>
      </c>
      <c r="AC56" s="159">
        <f t="shared" si="28"/>
        <v>48.4499996581294</v>
      </c>
      <c r="AD56" s="149"/>
      <c r="AE56" s="331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54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55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48.4499996581294</v>
      </c>
      <c r="AC57" s="159">
        <f t="shared" si="28"/>
        <v>48.4499996581294</v>
      </c>
      <c r="AD57" s="149"/>
      <c r="AE57" s="331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54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55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48.4499996581294</v>
      </c>
      <c r="AC58" s="159">
        <f t="shared" si="28"/>
        <v>48.4499996581294</v>
      </c>
      <c r="AD58" s="149"/>
      <c r="AE58" s="331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54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55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48.4499996581294</v>
      </c>
      <c r="AC59" s="159">
        <f t="shared" si="28"/>
        <v>48.4499996581294</v>
      </c>
      <c r="AD59" s="149"/>
      <c r="AE59" s="331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54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55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48.4499996581294</v>
      </c>
      <c r="AC60" s="159">
        <f t="shared" si="28"/>
        <v>48.4499996581294</v>
      </c>
      <c r="AD60" s="149"/>
      <c r="AE60" s="331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54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55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48.4499996581294</v>
      </c>
      <c r="AC61" s="159">
        <f t="shared" si="28"/>
        <v>48.4499996581294</v>
      </c>
      <c r="AD61" s="149"/>
      <c r="AE61" s="331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54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55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48.4499996581294</v>
      </c>
      <c r="AC62" s="159">
        <f t="shared" si="28"/>
        <v>48.4499996581294</v>
      </c>
      <c r="AD62" s="149"/>
      <c r="AE62" s="331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54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55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48.4499996581294</v>
      </c>
      <c r="AC63" s="159">
        <f t="shared" si="28"/>
        <v>48.4499996581294</v>
      </c>
      <c r="AD63" s="149"/>
      <c r="AE63" s="331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54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55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48.4499996581294</v>
      </c>
      <c r="AC64" s="159">
        <f t="shared" si="28"/>
        <v>48.4499996581294</v>
      </c>
      <c r="AD64" s="149"/>
      <c r="AE64" s="331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54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55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48.4499996581294</v>
      </c>
      <c r="AC65" s="159">
        <f t="shared" si="28"/>
        <v>48.4499996581294</v>
      </c>
      <c r="AD65" s="149"/>
      <c r="AE65" s="331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54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55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48.4499996581294</v>
      </c>
      <c r="AC66" s="159">
        <f t="shared" si="28"/>
        <v>48.4499996581294</v>
      </c>
      <c r="AD66" s="149"/>
      <c r="AE66" s="331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54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55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48.4499996581294</v>
      </c>
      <c r="AC67" s="159">
        <f t="shared" si="28"/>
        <v>48.4499996581294</v>
      </c>
      <c r="AD67" s="149"/>
      <c r="AE67" s="331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54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55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48.4499996581294</v>
      </c>
      <c r="AC68" s="159">
        <f t="shared" si="28"/>
        <v>48.4499996581294</v>
      </c>
      <c r="AD68" s="149"/>
      <c r="AE68" s="331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54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55"/>
      <c r="K69" s="126" t="s">
        <v>21</v>
      </c>
      <c r="L69" s="39" t="s">
        <v>21</v>
      </c>
      <c r="V69" s="330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48.4499996581294</v>
      </c>
      <c r="AC69" s="159">
        <f t="shared" si="28"/>
        <v>48.4499996581294</v>
      </c>
      <c r="AD69" s="149"/>
      <c r="AE69" s="331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54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55"/>
      <c r="K70" s="126" t="s">
        <v>21</v>
      </c>
      <c r="L70" s="39" t="s">
        <v>21</v>
      </c>
      <c r="V70" s="330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4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55"/>
      <c r="K71" s="126" t="s">
        <v>21</v>
      </c>
      <c r="L71" s="39" t="s">
        <v>21</v>
      </c>
      <c r="V71" s="330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4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55"/>
      <c r="K72" s="126" t="s">
        <v>21</v>
      </c>
      <c r="L72" s="39" t="s">
        <v>21</v>
      </c>
      <c r="V72" s="330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4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55"/>
      <c r="K73" s="126" t="s">
        <v>21</v>
      </c>
      <c r="L73" s="39" t="s">
        <v>21</v>
      </c>
      <c r="V73" s="330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4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55"/>
      <c r="K74" s="126" t="s">
        <v>21</v>
      </c>
      <c r="L74" s="39" t="s">
        <v>21</v>
      </c>
      <c r="V74" s="330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4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55"/>
      <c r="K75" s="126" t="s">
        <v>21</v>
      </c>
      <c r="L75" s="39" t="s">
        <v>21</v>
      </c>
      <c r="V75" s="330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4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55"/>
      <c r="K76" s="126" t="s">
        <v>21</v>
      </c>
      <c r="L76" s="39" t="s">
        <v>21</v>
      </c>
      <c r="V76" s="330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4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55"/>
      <c r="K77" s="126" t="s">
        <v>21</v>
      </c>
      <c r="L77" s="39" t="s">
        <v>21</v>
      </c>
      <c r="V77" s="330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4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607" t="s">
        <v>191</v>
      </c>
      <c r="I78" s="607"/>
      <c r="J78" s="608"/>
      <c r="K78" s="126" t="s">
        <v>21</v>
      </c>
      <c r="L78" s="39"/>
      <c r="V78" s="330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4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607"/>
      <c r="I79" s="607"/>
      <c r="J79" s="608"/>
      <c r="K79" s="126" t="s">
        <v>21</v>
      </c>
      <c r="L79" s="39" t="s">
        <v>21</v>
      </c>
      <c r="V79" s="330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4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607"/>
      <c r="I80" s="607"/>
      <c r="J80" s="608"/>
      <c r="K80" s="126" t="s">
        <v>21</v>
      </c>
      <c r="L80" s="39" t="s">
        <v>21</v>
      </c>
      <c r="V80" s="330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4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607"/>
      <c r="I81" s="607"/>
      <c r="J81" s="608"/>
      <c r="K81" s="126" t="s">
        <v>21</v>
      </c>
      <c r="L81" s="39" t="s">
        <v>21</v>
      </c>
      <c r="V81" s="330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4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607"/>
      <c r="I82" s="607"/>
      <c r="J82" s="608"/>
      <c r="K82" s="126" t="s">
        <v>21</v>
      </c>
      <c r="L82" s="39" t="s">
        <v>21</v>
      </c>
      <c r="V82" s="330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4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607"/>
      <c r="I83" s="607"/>
      <c r="J83" s="608"/>
      <c r="K83" s="126" t="s">
        <v>21</v>
      </c>
      <c r="L83" s="39" t="s">
        <v>21</v>
      </c>
      <c r="V83" s="330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4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607"/>
      <c r="I84" s="607"/>
      <c r="J84" s="608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4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607"/>
      <c r="I85" s="607"/>
      <c r="J85" s="608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4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607"/>
      <c r="I86" s="607"/>
      <c r="J86" s="608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4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607"/>
      <c r="I87" s="607"/>
      <c r="J87" s="608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4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607"/>
      <c r="I88" s="607"/>
      <c r="J88" s="608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4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607"/>
      <c r="I89" s="607"/>
      <c r="J89" s="608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4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607"/>
      <c r="I90" s="607"/>
      <c r="J90" s="608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4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607"/>
      <c r="I91" s="607"/>
      <c r="J91" s="608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4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607"/>
      <c r="I92" s="607"/>
      <c r="J92" s="608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4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607"/>
      <c r="I93" s="607"/>
      <c r="J93" s="608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4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607"/>
      <c r="I94" s="607"/>
      <c r="J94" s="608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4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607"/>
      <c r="I95" s="607"/>
      <c r="J95" s="608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4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607"/>
      <c r="I96" s="607"/>
      <c r="J96" s="608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4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607"/>
      <c r="I97" s="607"/>
      <c r="J97" s="608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4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607"/>
      <c r="I98" s="607"/>
      <c r="J98" s="608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4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607"/>
      <c r="I99" s="607"/>
      <c r="J99" s="608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4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607"/>
      <c r="I100" s="607"/>
      <c r="J100" s="608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6"/>
      <c r="B101" s="457"/>
      <c r="C101" s="458">
        <f>$C$10+(D101+2880)/1440</f>
        <v>45728.680555555555</v>
      </c>
      <c r="D101" s="459">
        <v>360</v>
      </c>
      <c r="E101" s="460">
        <f t="shared" si="35"/>
        <v>0.25</v>
      </c>
      <c r="F101" s="461">
        <f t="shared" si="36"/>
        <v>13.282035095417495</v>
      </c>
      <c r="G101" s="462">
        <f>H146</f>
        <v>1.9320350954174961</v>
      </c>
      <c r="H101" s="609"/>
      <c r="I101" s="609"/>
      <c r="J101" s="610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H36" sqref="H3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5"/>
      <c r="M6" s="615"/>
      <c r="N6" s="61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2" t="s">
        <v>313</v>
      </c>
      <c r="B1" s="622"/>
      <c r="C1" s="622"/>
      <c r="D1" s="622"/>
      <c r="E1" s="622"/>
      <c r="F1" s="622"/>
      <c r="G1" s="622"/>
      <c r="H1" s="622"/>
      <c r="I1" s="622"/>
      <c r="J1" s="622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294</v>
      </c>
      <c r="B4" s="629"/>
      <c r="C4" s="630">
        <f>LongTest!C10</f>
        <v>45726.430555555555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295</v>
      </c>
      <c r="B5" s="629"/>
      <c r="C5" s="630">
        <f>C79</f>
        <v>45728.430555555555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38.270000000000003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0">
        <v>1</v>
      </c>
      <c r="E12" s="640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0">
        <v>2</v>
      </c>
      <c r="E13" s="640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0">
        <v>3</v>
      </c>
      <c r="E14" s="640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0">
        <v>4</v>
      </c>
      <c r="E15" s="640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0">
        <v>5</v>
      </c>
      <c r="E16" s="640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0">
        <v>10</v>
      </c>
      <c r="E17" s="640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0">
        <v>15</v>
      </c>
      <c r="E18" s="640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0">
        <v>20</v>
      </c>
      <c r="E19" s="640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0">
        <v>25</v>
      </c>
      <c r="E20" s="640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0">
        <v>30</v>
      </c>
      <c r="E21" s="640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0">
        <v>35</v>
      </c>
      <c r="E22" s="640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0">
        <v>40</v>
      </c>
      <c r="E23" s="640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0">
        <v>45</v>
      </c>
      <c r="E24" s="640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0">
        <v>50</v>
      </c>
      <c r="E25" s="640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0">
        <v>55</v>
      </c>
      <c r="E26" s="640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0">
        <v>60</v>
      </c>
      <c r="E27" s="640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0">
        <v>75</v>
      </c>
      <c r="E28" s="640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0">
        <v>90</v>
      </c>
      <c r="E29" s="640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0">
        <v>105</v>
      </c>
      <c r="E30" s="640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0">
        <v>120</v>
      </c>
      <c r="E31" s="640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0">
        <v>140</v>
      </c>
      <c r="E32" s="640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0">
        <v>160</v>
      </c>
      <c r="E33" s="640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0">
        <v>180</v>
      </c>
      <c r="E34" s="640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0">
        <v>240</v>
      </c>
      <c r="E35" s="640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0">
        <v>300</v>
      </c>
      <c r="E36" s="640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0">
        <v>360</v>
      </c>
      <c r="E37" s="640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0">
        <v>420</v>
      </c>
      <c r="E38" s="640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0">
        <v>480</v>
      </c>
      <c r="E39" s="640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0">
        <v>540</v>
      </c>
      <c r="E40" s="640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0">
        <v>600</v>
      </c>
      <c r="E41" s="640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0">
        <v>660</v>
      </c>
      <c r="E42" s="640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0">
        <v>720</v>
      </c>
      <c r="E43" s="640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0">
        <v>780</v>
      </c>
      <c r="E44" s="640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0">
        <v>840</v>
      </c>
      <c r="E45" s="640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0">
        <v>900</v>
      </c>
      <c r="E46" s="640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0">
        <v>960</v>
      </c>
      <c r="E47" s="640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0">
        <v>1020</v>
      </c>
      <c r="E48" s="640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0">
        <v>1080</v>
      </c>
      <c r="E49" s="640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0">
        <v>1140</v>
      </c>
      <c r="E50" s="640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0">
        <v>1200</v>
      </c>
      <c r="E51" s="640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0">
        <v>1260</v>
      </c>
      <c r="E52" s="640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0">
        <v>1320</v>
      </c>
      <c r="E53" s="640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0">
        <v>1380</v>
      </c>
      <c r="E54" s="640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0">
        <v>1440</v>
      </c>
      <c r="E55" s="640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43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43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43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43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43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43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43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43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43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43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43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43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43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43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43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43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43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43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43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43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43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43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43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6">
        <v>2880</v>
      </c>
      <c r="E79" s="643"/>
      <c r="F79" s="211">
        <f>LongTest!F77</f>
        <v>38.270000000000003</v>
      </c>
      <c r="G79" s="211">
        <f>LongTest!G77</f>
        <v>26.92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6">
        <v>1</v>
      </c>
      <c r="E80" s="643"/>
      <c r="F80" s="216">
        <f>LongTest!F78</f>
        <v>28.327140693723948</v>
      </c>
      <c r="G80" s="216">
        <f>LongTest!G78</f>
        <v>16.977140693723946</v>
      </c>
      <c r="H80" s="636" t="s">
        <v>191</v>
      </c>
      <c r="I80" s="645"/>
      <c r="J80" s="646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6">
        <v>2</v>
      </c>
      <c r="E81" s="643"/>
      <c r="F81" s="216">
        <f>LongTest!F79</f>
        <v>26.73021109021095</v>
      </c>
      <c r="G81" s="216">
        <f>LongTest!G79</f>
        <v>15.380211090210949</v>
      </c>
      <c r="H81" s="616"/>
      <c r="I81" s="617"/>
      <c r="J81" s="618"/>
    </row>
    <row r="82" spans="1:10" ht="24.95" customHeight="1">
      <c r="A82" s="238"/>
      <c r="B82" s="215"/>
      <c r="C82" s="215">
        <f t="shared" si="6"/>
        <v>45728.432638888888</v>
      </c>
      <c r="D82" s="616">
        <v>3</v>
      </c>
      <c r="E82" s="643"/>
      <c r="F82" s="216">
        <f>LongTest!F80</f>
        <v>25.283494305486641</v>
      </c>
      <c r="G82" s="216">
        <f>LongTest!G80</f>
        <v>13.93349430548664</v>
      </c>
      <c r="H82" s="616"/>
      <c r="I82" s="617"/>
      <c r="J82" s="618"/>
    </row>
    <row r="83" spans="1:10" ht="24.95" customHeight="1">
      <c r="A83" s="238"/>
      <c r="B83" s="215"/>
      <c r="C83" s="215">
        <f t="shared" si="6"/>
        <v>45728.433333333334</v>
      </c>
      <c r="D83" s="616">
        <v>4</v>
      </c>
      <c r="E83" s="643"/>
      <c r="F83" s="216">
        <f>LongTest!F81</f>
        <v>23.972860793152201</v>
      </c>
      <c r="G83" s="216">
        <f>LongTest!G81</f>
        <v>12.622860793152199</v>
      </c>
      <c r="H83" s="616"/>
      <c r="I83" s="617"/>
      <c r="J83" s="618"/>
    </row>
    <row r="84" spans="1:10" ht="24.95" customHeight="1">
      <c r="A84" s="238"/>
      <c r="B84" s="215"/>
      <c r="C84" s="215">
        <f t="shared" si="6"/>
        <v>45728.434027777774</v>
      </c>
      <c r="D84" s="616">
        <v>5</v>
      </c>
      <c r="E84" s="643"/>
      <c r="F84" s="216">
        <f>LongTest!F82</f>
        <v>22.785510081671077</v>
      </c>
      <c r="G84" s="216">
        <f>LongTest!G82</f>
        <v>11.435510081671076</v>
      </c>
      <c r="H84" s="616"/>
      <c r="I84" s="617"/>
      <c r="J84" s="618"/>
    </row>
    <row r="85" spans="1:10" ht="24.95" customHeight="1">
      <c r="A85" s="238"/>
      <c r="B85" s="215"/>
      <c r="C85" s="215">
        <f t="shared" si="6"/>
        <v>45728.4375</v>
      </c>
      <c r="D85" s="616">
        <v>10</v>
      </c>
      <c r="E85" s="643"/>
      <c r="F85" s="216">
        <f>LongTest!F83</f>
        <v>19.852542004201268</v>
      </c>
      <c r="G85" s="216">
        <f>LongTest!G83</f>
        <v>8.5025420042012705</v>
      </c>
      <c r="H85" s="616"/>
      <c r="I85" s="617"/>
      <c r="J85" s="618"/>
    </row>
    <row r="86" spans="1:10" ht="24.95" customHeight="1">
      <c r="A86" s="238"/>
      <c r="B86" s="215"/>
      <c r="C86" s="215">
        <f t="shared" si="6"/>
        <v>45728.440972222219</v>
      </c>
      <c r="D86" s="616">
        <v>15</v>
      </c>
      <c r="E86" s="643"/>
      <c r="F86" s="216">
        <f>LongTest!F84</f>
        <v>19.310627178404037</v>
      </c>
      <c r="G86" s="216">
        <f>LongTest!G84</f>
        <v>7.960627178404037</v>
      </c>
      <c r="H86" s="616"/>
      <c r="I86" s="617"/>
      <c r="J86" s="618"/>
    </row>
    <row r="87" spans="1:10" ht="24.95" customHeight="1">
      <c r="A87" s="238"/>
      <c r="B87" s="215"/>
      <c r="C87" s="215">
        <f t="shared" si="6"/>
        <v>45728.444444444445</v>
      </c>
      <c r="D87" s="616">
        <v>20</v>
      </c>
      <c r="E87" s="643"/>
      <c r="F87" s="216">
        <f>LongTest!F85</f>
        <v>17.883453156773275</v>
      </c>
      <c r="G87" s="216">
        <f>LongTest!G85</f>
        <v>6.5334531567732759</v>
      </c>
      <c r="H87" s="616"/>
      <c r="I87" s="617"/>
      <c r="J87" s="618"/>
    </row>
    <row r="88" spans="1:10" ht="24.95" customHeight="1">
      <c r="A88" s="238"/>
      <c r="B88" s="215"/>
      <c r="C88" s="215">
        <f t="shared" si="6"/>
        <v>45728.447916666664</v>
      </c>
      <c r="D88" s="616">
        <v>25</v>
      </c>
      <c r="E88" s="643"/>
      <c r="F88" s="216">
        <f>LongTest!F86</f>
        <v>17.268893558814966</v>
      </c>
      <c r="G88" s="216">
        <f>LongTest!G86</f>
        <v>5.9188935588149674</v>
      </c>
      <c r="H88" s="616"/>
      <c r="I88" s="617"/>
      <c r="J88" s="618"/>
    </row>
    <row r="89" spans="1:10" ht="24.95" customHeight="1">
      <c r="A89" s="238"/>
      <c r="B89" s="215"/>
      <c r="C89" s="215">
        <f t="shared" si="6"/>
        <v>45728.451388888891</v>
      </c>
      <c r="D89" s="616">
        <v>30</v>
      </c>
      <c r="E89" s="643"/>
      <c r="F89" s="216">
        <f>LongTest!F87</f>
        <v>16.71214159954021</v>
      </c>
      <c r="G89" s="216">
        <f>LongTest!G87</f>
        <v>5.3621415995402115</v>
      </c>
      <c r="H89" s="616"/>
      <c r="I89" s="617"/>
      <c r="J89" s="618"/>
    </row>
    <row r="90" spans="1:10" ht="24.95" customHeight="1">
      <c r="A90" s="238"/>
      <c r="B90" s="215"/>
      <c r="C90" s="215">
        <f t="shared" si="6"/>
        <v>45728.454861111109</v>
      </c>
      <c r="D90" s="616">
        <v>35</v>
      </c>
      <c r="E90" s="643"/>
      <c r="F90" s="216">
        <f>LongTest!F88</f>
        <v>16.53844870842914</v>
      </c>
      <c r="G90" s="216">
        <f>LongTest!G88</f>
        <v>5.1884487084291395</v>
      </c>
      <c r="H90" s="616"/>
      <c r="I90" s="617"/>
      <c r="J90" s="618"/>
    </row>
    <row r="91" spans="1:10" ht="24.95" customHeight="1">
      <c r="A91" s="238"/>
      <c r="B91" s="215"/>
      <c r="C91" s="215">
        <f t="shared" si="6"/>
        <v>45728.458333333336</v>
      </c>
      <c r="D91" s="616">
        <v>40</v>
      </c>
      <c r="E91" s="643"/>
      <c r="F91" s="216">
        <f>LongTest!F89</f>
        <v>16.370382155202378</v>
      </c>
      <c r="G91" s="216">
        <f>LongTest!G89</f>
        <v>5.0203821552023769</v>
      </c>
      <c r="H91" s="616"/>
      <c r="I91" s="617"/>
      <c r="J91" s="618"/>
    </row>
    <row r="92" spans="1:10" ht="24.95" customHeight="1">
      <c r="A92" s="238"/>
      <c r="B92" s="215"/>
      <c r="C92" s="215">
        <f t="shared" si="6"/>
        <v>45728.461805555555</v>
      </c>
      <c r="D92" s="616">
        <v>45</v>
      </c>
      <c r="E92" s="643"/>
      <c r="F92" s="216">
        <f>LongTest!F90</f>
        <v>16.207759689004487</v>
      </c>
      <c r="G92" s="216">
        <f>LongTest!G90</f>
        <v>4.8577596890044861</v>
      </c>
      <c r="H92" s="616"/>
      <c r="I92" s="617"/>
      <c r="J92" s="618"/>
    </row>
    <row r="93" spans="1:10" ht="24.95" customHeight="1">
      <c r="A93" s="238"/>
      <c r="B93" s="215"/>
      <c r="C93" s="215">
        <f t="shared" si="6"/>
        <v>45728.465277777774</v>
      </c>
      <c r="D93" s="616">
        <v>50</v>
      </c>
      <c r="E93" s="643"/>
      <c r="F93" s="216">
        <f>LongTest!F91</f>
        <v>16.050404962531324</v>
      </c>
      <c r="G93" s="216">
        <f>LongTest!G91</f>
        <v>4.7004049625313247</v>
      </c>
      <c r="H93" s="616"/>
      <c r="I93" s="617"/>
      <c r="J93" s="618"/>
    </row>
    <row r="94" spans="1:10" ht="24.95" customHeight="1">
      <c r="A94" s="238"/>
      <c r="B94" s="215"/>
      <c r="C94" s="215">
        <f t="shared" si="6"/>
        <v>45728.46875</v>
      </c>
      <c r="D94" s="616">
        <v>55</v>
      </c>
      <c r="E94" s="643"/>
      <c r="F94" s="216">
        <f>LongTest!F92</f>
        <v>15.898147340799571</v>
      </c>
      <c r="G94" s="216">
        <f>LongTest!G92</f>
        <v>4.5481473407995727</v>
      </c>
      <c r="H94" s="616"/>
      <c r="I94" s="617"/>
      <c r="J94" s="618"/>
    </row>
    <row r="95" spans="1:10" ht="24.95" customHeight="1">
      <c r="A95" s="238"/>
      <c r="B95" s="215"/>
      <c r="C95" s="215">
        <f t="shared" si="6"/>
        <v>45728.472222222219</v>
      </c>
      <c r="D95" s="616">
        <v>60</v>
      </c>
      <c r="E95" s="643"/>
      <c r="F95" s="216">
        <f>LongTest!F93</f>
        <v>15.75082171611067</v>
      </c>
      <c r="G95" s="216">
        <f>LongTest!G93</f>
        <v>4.40082171611067</v>
      </c>
      <c r="H95" s="616"/>
      <c r="I95" s="617"/>
      <c r="J95" s="618"/>
    </row>
    <row r="96" spans="1:10" ht="24.95" customHeight="1">
      <c r="A96" s="238"/>
      <c r="B96" s="215"/>
      <c r="C96" s="215">
        <f t="shared" si="6"/>
        <v>45728.482638888891</v>
      </c>
      <c r="D96" s="616">
        <v>75</v>
      </c>
      <c r="E96" s="643"/>
      <c r="F96" s="216">
        <f>LongTest!F94</f>
        <v>15.608268329008549</v>
      </c>
      <c r="G96" s="216">
        <f>LongTest!G94</f>
        <v>4.2582683290085486</v>
      </c>
      <c r="H96" s="616"/>
      <c r="I96" s="617"/>
      <c r="J96" s="618"/>
    </row>
    <row r="97" spans="1:10" ht="24.95" customHeight="1">
      <c r="A97" s="238"/>
      <c r="B97" s="215"/>
      <c r="C97" s="215">
        <f t="shared" si="6"/>
        <v>45728.493055555555</v>
      </c>
      <c r="D97" s="616">
        <v>90</v>
      </c>
      <c r="E97" s="643"/>
      <c r="F97" s="216">
        <f>LongTest!F95</f>
        <v>15.470332595036952</v>
      </c>
      <c r="G97" s="216">
        <f>LongTest!G95</f>
        <v>4.1203325950369525</v>
      </c>
      <c r="H97" s="616"/>
      <c r="I97" s="617"/>
      <c r="J97" s="618"/>
    </row>
    <row r="98" spans="1:10" ht="24.95" customHeight="1">
      <c r="A98" s="238"/>
      <c r="B98" s="215"/>
      <c r="C98" s="215">
        <f t="shared" si="6"/>
        <v>45728.503472222219</v>
      </c>
      <c r="D98" s="616">
        <v>105</v>
      </c>
      <c r="E98" s="643"/>
      <c r="F98" s="216">
        <f>LongTest!F96</f>
        <v>15.336864937108539</v>
      </c>
      <c r="G98" s="216">
        <f>LongTest!G96</f>
        <v>3.9868649371085385</v>
      </c>
      <c r="H98" s="616"/>
      <c r="I98" s="617"/>
      <c r="J98" s="618"/>
    </row>
    <row r="99" spans="1:10" ht="24.95" customHeight="1">
      <c r="A99" s="238"/>
      <c r="B99" s="215"/>
      <c r="C99" s="215">
        <f t="shared" si="6"/>
        <v>45728.513888888891</v>
      </c>
      <c r="D99" s="616">
        <v>120</v>
      </c>
      <c r="E99" s="643"/>
      <c r="F99" s="216">
        <f>LongTest!F97</f>
        <v>14.961846389631328</v>
      </c>
      <c r="G99" s="216">
        <f>LongTest!G97</f>
        <v>3.6118463896313284</v>
      </c>
      <c r="H99" s="616"/>
      <c r="I99" s="617"/>
      <c r="J99" s="618"/>
    </row>
    <row r="100" spans="1:10" ht="24.95" customHeight="1">
      <c r="A100" s="238"/>
      <c r="B100" s="215"/>
      <c r="C100" s="215">
        <f t="shared" si="6"/>
        <v>45728.555555555555</v>
      </c>
      <c r="D100" s="616">
        <v>180</v>
      </c>
      <c r="E100" s="643"/>
      <c r="F100" s="216">
        <f>LongTest!F98</f>
        <v>14.844849844497581</v>
      </c>
      <c r="G100" s="216">
        <f>LongTest!G98</f>
        <v>3.4948498444975815</v>
      </c>
      <c r="H100" s="616"/>
      <c r="I100" s="617"/>
      <c r="J100" s="618"/>
    </row>
    <row r="101" spans="1:10" ht="24.95" customHeight="1">
      <c r="A101" s="238"/>
      <c r="B101" s="215"/>
      <c r="C101" s="215">
        <f t="shared" si="6"/>
        <v>45728.597222222219</v>
      </c>
      <c r="D101" s="616">
        <v>240</v>
      </c>
      <c r="E101" s="643"/>
      <c r="F101" s="216">
        <f>LongTest!F99</f>
        <v>14.218296333601067</v>
      </c>
      <c r="G101" s="216">
        <f>LongTest!G99</f>
        <v>2.8682963336010681</v>
      </c>
      <c r="H101" s="616"/>
      <c r="I101" s="617"/>
      <c r="J101" s="618"/>
    </row>
    <row r="102" spans="1:10" ht="24.95" customHeight="1">
      <c r="A102" s="238"/>
      <c r="B102" s="215"/>
      <c r="C102" s="215">
        <f t="shared" si="6"/>
        <v>45728.638888888891</v>
      </c>
      <c r="D102" s="616">
        <v>300</v>
      </c>
      <c r="E102" s="643"/>
      <c r="F102" s="216">
        <f>LongTest!F100</f>
        <v>13.704070767962296</v>
      </c>
      <c r="G102" s="216">
        <f>LongTest!G100</f>
        <v>2.3540707679622961</v>
      </c>
      <c r="H102" s="616"/>
      <c r="I102" s="617"/>
      <c r="J102" s="618"/>
    </row>
    <row r="103" spans="1:10" ht="24.95" customHeight="1" thickBot="1">
      <c r="A103" s="242"/>
      <c r="B103" s="243"/>
      <c r="C103" s="243">
        <f t="shared" si="6"/>
        <v>45728.680555555555</v>
      </c>
      <c r="D103" s="619">
        <v>360</v>
      </c>
      <c r="E103" s="644"/>
      <c r="F103" s="244">
        <f>LongTest!F101</f>
        <v>13.282035095417495</v>
      </c>
      <c r="G103" s="244">
        <f>LongTest!G101</f>
        <v>1.9320350954174961</v>
      </c>
      <c r="H103" s="619" t="s">
        <v>320</v>
      </c>
      <c r="I103" s="620"/>
      <c r="J103" s="62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C5" sqref="C5:J5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313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294</v>
      </c>
      <c r="B4" s="629"/>
      <c r="C4" s="630">
        <f>LongTest!C10</f>
        <v>45726.430555555555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295</v>
      </c>
      <c r="B5" s="629"/>
      <c r="C5" s="630">
        <f>C55</f>
        <v>45727.430555555555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38.270000000000003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0">
        <v>1</v>
      </c>
      <c r="E12" s="640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0">
        <v>2</v>
      </c>
      <c r="E13" s="640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0">
        <v>3</v>
      </c>
      <c r="E14" s="640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0">
        <v>4</v>
      </c>
      <c r="E15" s="640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0">
        <v>5</v>
      </c>
      <c r="E16" s="640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0">
        <v>10</v>
      </c>
      <c r="E17" s="640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0">
        <v>15</v>
      </c>
      <c r="E18" s="640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0">
        <v>20</v>
      </c>
      <c r="E19" s="640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0">
        <v>25</v>
      </c>
      <c r="E20" s="640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0">
        <v>30</v>
      </c>
      <c r="E21" s="640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0">
        <v>35</v>
      </c>
      <c r="E22" s="640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0">
        <v>40</v>
      </c>
      <c r="E23" s="640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0">
        <v>45</v>
      </c>
      <c r="E24" s="640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0">
        <v>50</v>
      </c>
      <c r="E25" s="640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0">
        <v>55</v>
      </c>
      <c r="E26" s="640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0">
        <v>60</v>
      </c>
      <c r="E27" s="640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0">
        <v>75</v>
      </c>
      <c r="E28" s="640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0">
        <v>90</v>
      </c>
      <c r="E29" s="640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0">
        <v>105</v>
      </c>
      <c r="E30" s="640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0">
        <v>120</v>
      </c>
      <c r="E31" s="640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0">
        <v>140</v>
      </c>
      <c r="E32" s="640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0">
        <v>160</v>
      </c>
      <c r="E33" s="640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0">
        <v>180</v>
      </c>
      <c r="E34" s="640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0">
        <v>240</v>
      </c>
      <c r="E35" s="640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0">
        <v>300</v>
      </c>
      <c r="E36" s="640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0">
        <v>360</v>
      </c>
      <c r="E37" s="640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0">
        <v>420</v>
      </c>
      <c r="E38" s="640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0">
        <v>480</v>
      </c>
      <c r="E39" s="640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0">
        <v>540</v>
      </c>
      <c r="E40" s="640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0">
        <v>600</v>
      </c>
      <c r="E41" s="640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0">
        <v>660</v>
      </c>
      <c r="E42" s="640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0">
        <v>720</v>
      </c>
      <c r="E43" s="640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0">
        <v>780</v>
      </c>
      <c r="E44" s="640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0">
        <v>840</v>
      </c>
      <c r="E45" s="640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0">
        <v>900</v>
      </c>
      <c r="E46" s="640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0">
        <v>960</v>
      </c>
      <c r="E47" s="640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0">
        <v>1020</v>
      </c>
      <c r="E48" s="640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0">
        <v>1080</v>
      </c>
      <c r="E49" s="640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0">
        <v>1140</v>
      </c>
      <c r="E50" s="640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0">
        <v>1200</v>
      </c>
      <c r="E51" s="640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0">
        <v>1260</v>
      </c>
      <c r="E52" s="640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0">
        <v>1320</v>
      </c>
      <c r="E53" s="640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0">
        <v>1380</v>
      </c>
      <c r="E54" s="640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0">
        <v>1440</v>
      </c>
      <c r="E55" s="640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6"/>
      <c r="E56" s="643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6"/>
      <c r="E57" s="643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6">
        <v>1</v>
      </c>
      <c r="E58" s="643"/>
      <c r="F58" s="216">
        <f>LongTest!F78</f>
        <v>28.327140693723948</v>
      </c>
      <c r="G58" s="216">
        <f>LongTest!G78</f>
        <v>16.977140693723946</v>
      </c>
      <c r="H58" s="636" t="s">
        <v>191</v>
      </c>
      <c r="I58" s="645"/>
      <c r="J58" s="646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6">
        <v>2</v>
      </c>
      <c r="E59" s="643"/>
      <c r="F59" s="216">
        <f>LongTest!F79</f>
        <v>26.73021109021095</v>
      </c>
      <c r="G59" s="216">
        <f>LongTest!G79</f>
        <v>15.380211090210949</v>
      </c>
      <c r="H59" s="616"/>
      <c r="I59" s="617"/>
      <c r="J59" s="618"/>
    </row>
    <row r="60" spans="1:10" ht="24.95" customHeight="1">
      <c r="A60" s="238"/>
      <c r="B60" s="215"/>
      <c r="C60" s="215">
        <f t="shared" si="1"/>
        <v>45727.432638888888</v>
      </c>
      <c r="D60" s="616">
        <v>3</v>
      </c>
      <c r="E60" s="643"/>
      <c r="F60" s="216">
        <f>LongTest!F80</f>
        <v>25.283494305486641</v>
      </c>
      <c r="G60" s="216">
        <f>LongTest!G80</f>
        <v>13.93349430548664</v>
      </c>
      <c r="H60" s="616"/>
      <c r="I60" s="617"/>
      <c r="J60" s="618"/>
    </row>
    <row r="61" spans="1:10" ht="24.95" customHeight="1">
      <c r="A61" s="238"/>
      <c r="B61" s="215"/>
      <c r="C61" s="215">
        <f t="shared" si="1"/>
        <v>45727.433333333334</v>
      </c>
      <c r="D61" s="616">
        <v>4</v>
      </c>
      <c r="E61" s="643"/>
      <c r="F61" s="216">
        <f>LongTest!F81</f>
        <v>23.972860793152201</v>
      </c>
      <c r="G61" s="216">
        <f>LongTest!G81</f>
        <v>12.622860793152199</v>
      </c>
      <c r="H61" s="616"/>
      <c r="I61" s="617"/>
      <c r="J61" s="618"/>
    </row>
    <row r="62" spans="1:10" ht="24.95" customHeight="1">
      <c r="A62" s="238"/>
      <c r="B62" s="215"/>
      <c r="C62" s="215">
        <f t="shared" si="1"/>
        <v>45727.434027777774</v>
      </c>
      <c r="D62" s="616">
        <v>5</v>
      </c>
      <c r="E62" s="643"/>
      <c r="F62" s="216">
        <f>LongTest!F82</f>
        <v>22.785510081671077</v>
      </c>
      <c r="G62" s="216">
        <f>LongTest!G82</f>
        <v>11.435510081671076</v>
      </c>
      <c r="H62" s="616"/>
      <c r="I62" s="617"/>
      <c r="J62" s="618"/>
    </row>
    <row r="63" spans="1:10" ht="24.95" customHeight="1">
      <c r="A63" s="238"/>
      <c r="B63" s="215"/>
      <c r="C63" s="215">
        <f t="shared" si="1"/>
        <v>45727.4375</v>
      </c>
      <c r="D63" s="616">
        <v>10</v>
      </c>
      <c r="E63" s="643"/>
      <c r="F63" s="216">
        <f>LongTest!F83</f>
        <v>19.852542004201268</v>
      </c>
      <c r="G63" s="216">
        <f>LongTest!G83</f>
        <v>8.5025420042012705</v>
      </c>
      <c r="H63" s="616"/>
      <c r="I63" s="617"/>
      <c r="J63" s="618"/>
    </row>
    <row r="64" spans="1:10" ht="24.95" customHeight="1">
      <c r="A64" s="238"/>
      <c r="B64" s="215"/>
      <c r="C64" s="215">
        <f t="shared" si="1"/>
        <v>45727.440972222219</v>
      </c>
      <c r="D64" s="616">
        <v>15</v>
      </c>
      <c r="E64" s="643"/>
      <c r="F64" s="216">
        <f>LongTest!F84</f>
        <v>19.310627178404037</v>
      </c>
      <c r="G64" s="216">
        <f>LongTest!G84</f>
        <v>7.960627178404037</v>
      </c>
      <c r="H64" s="616"/>
      <c r="I64" s="617"/>
      <c r="J64" s="618"/>
    </row>
    <row r="65" spans="1:10" ht="24.95" customHeight="1">
      <c r="A65" s="238"/>
      <c r="B65" s="215"/>
      <c r="C65" s="215">
        <f t="shared" si="1"/>
        <v>45727.444444444445</v>
      </c>
      <c r="D65" s="616">
        <v>20</v>
      </c>
      <c r="E65" s="643"/>
      <c r="F65" s="216">
        <f>LongTest!F85</f>
        <v>17.883453156773275</v>
      </c>
      <c r="G65" s="216">
        <f>LongTest!G85</f>
        <v>6.5334531567732759</v>
      </c>
      <c r="H65" s="616"/>
      <c r="I65" s="617"/>
      <c r="J65" s="618"/>
    </row>
    <row r="66" spans="1:10" ht="24.95" customHeight="1">
      <c r="A66" s="238"/>
      <c r="B66" s="215"/>
      <c r="C66" s="215">
        <f t="shared" si="1"/>
        <v>45727.447916666664</v>
      </c>
      <c r="D66" s="616">
        <v>25</v>
      </c>
      <c r="E66" s="643"/>
      <c r="F66" s="216">
        <f>LongTest!F86</f>
        <v>17.268893558814966</v>
      </c>
      <c r="G66" s="216">
        <f>LongTest!G86</f>
        <v>5.9188935588149674</v>
      </c>
      <c r="H66" s="616"/>
      <c r="I66" s="617"/>
      <c r="J66" s="618"/>
    </row>
    <row r="67" spans="1:10" ht="24.95" customHeight="1">
      <c r="A67" s="238"/>
      <c r="B67" s="215"/>
      <c r="C67" s="215">
        <f t="shared" si="1"/>
        <v>45727.451388888891</v>
      </c>
      <c r="D67" s="616">
        <v>30</v>
      </c>
      <c r="E67" s="643"/>
      <c r="F67" s="216">
        <f>LongTest!F87</f>
        <v>16.71214159954021</v>
      </c>
      <c r="G67" s="216">
        <f>LongTest!G87</f>
        <v>5.3621415995402115</v>
      </c>
      <c r="H67" s="616"/>
      <c r="I67" s="617"/>
      <c r="J67" s="618"/>
    </row>
    <row r="68" spans="1:10" ht="24.95" customHeight="1">
      <c r="A68" s="238"/>
      <c r="B68" s="215"/>
      <c r="C68" s="215">
        <f t="shared" si="1"/>
        <v>45727.454861111109</v>
      </c>
      <c r="D68" s="616">
        <v>35</v>
      </c>
      <c r="E68" s="643"/>
      <c r="F68" s="216">
        <f>LongTest!F88</f>
        <v>16.53844870842914</v>
      </c>
      <c r="G68" s="216">
        <f>LongTest!G88</f>
        <v>5.1884487084291395</v>
      </c>
      <c r="H68" s="616"/>
      <c r="I68" s="617"/>
      <c r="J68" s="618"/>
    </row>
    <row r="69" spans="1:10" ht="24.95" customHeight="1">
      <c r="A69" s="238"/>
      <c r="B69" s="215"/>
      <c r="C69" s="215">
        <f t="shared" si="1"/>
        <v>45727.458333333336</v>
      </c>
      <c r="D69" s="616">
        <v>40</v>
      </c>
      <c r="E69" s="643"/>
      <c r="F69" s="216">
        <f>LongTest!F89</f>
        <v>16.370382155202378</v>
      </c>
      <c r="G69" s="216">
        <f>LongTest!G89</f>
        <v>5.0203821552023769</v>
      </c>
      <c r="H69" s="616"/>
      <c r="I69" s="617"/>
      <c r="J69" s="618"/>
    </row>
    <row r="70" spans="1:10" ht="24.95" customHeight="1">
      <c r="A70" s="238"/>
      <c r="B70" s="215"/>
      <c r="C70" s="215">
        <f t="shared" si="1"/>
        <v>45727.461805555555</v>
      </c>
      <c r="D70" s="616">
        <v>45</v>
      </c>
      <c r="E70" s="643"/>
      <c r="F70" s="216">
        <f>LongTest!F90</f>
        <v>16.207759689004487</v>
      </c>
      <c r="G70" s="216">
        <f>LongTest!G90</f>
        <v>4.8577596890044861</v>
      </c>
      <c r="H70" s="616"/>
      <c r="I70" s="617"/>
      <c r="J70" s="618"/>
    </row>
    <row r="71" spans="1:10" ht="24.95" customHeight="1">
      <c r="A71" s="238"/>
      <c r="B71" s="215"/>
      <c r="C71" s="215">
        <f t="shared" si="1"/>
        <v>45727.465277777774</v>
      </c>
      <c r="D71" s="616">
        <v>50</v>
      </c>
      <c r="E71" s="643"/>
      <c r="F71" s="216">
        <f>LongTest!F91</f>
        <v>16.050404962531324</v>
      </c>
      <c r="G71" s="216">
        <f>LongTest!G91</f>
        <v>4.7004049625313247</v>
      </c>
      <c r="H71" s="616"/>
      <c r="I71" s="617"/>
      <c r="J71" s="618"/>
    </row>
    <row r="72" spans="1:10" ht="24.95" customHeight="1">
      <c r="A72" s="238"/>
      <c r="B72" s="215"/>
      <c r="C72" s="215">
        <f t="shared" si="1"/>
        <v>45727.46875</v>
      </c>
      <c r="D72" s="616">
        <v>55</v>
      </c>
      <c r="E72" s="643"/>
      <c r="F72" s="216">
        <f>LongTest!F92</f>
        <v>15.898147340799571</v>
      </c>
      <c r="G72" s="216">
        <f>LongTest!G92</f>
        <v>4.5481473407995727</v>
      </c>
      <c r="H72" s="616"/>
      <c r="I72" s="617"/>
      <c r="J72" s="618"/>
    </row>
    <row r="73" spans="1:10" ht="24.95" customHeight="1">
      <c r="A73" s="238"/>
      <c r="B73" s="215"/>
      <c r="C73" s="215">
        <f t="shared" si="1"/>
        <v>45727.472222222219</v>
      </c>
      <c r="D73" s="616">
        <v>60</v>
      </c>
      <c r="E73" s="643"/>
      <c r="F73" s="216">
        <f>LongTest!F93</f>
        <v>15.75082171611067</v>
      </c>
      <c r="G73" s="216">
        <f>LongTest!G93</f>
        <v>4.40082171611067</v>
      </c>
      <c r="H73" s="616"/>
      <c r="I73" s="617"/>
      <c r="J73" s="618"/>
    </row>
    <row r="74" spans="1:10" ht="24.95" customHeight="1">
      <c r="A74" s="238"/>
      <c r="B74" s="215"/>
      <c r="C74" s="215">
        <f t="shared" si="1"/>
        <v>45727.482638888891</v>
      </c>
      <c r="D74" s="616">
        <v>75</v>
      </c>
      <c r="E74" s="643"/>
      <c r="F74" s="216">
        <f>LongTest!F94</f>
        <v>15.608268329008549</v>
      </c>
      <c r="G74" s="216">
        <f>LongTest!G94</f>
        <v>4.2582683290085486</v>
      </c>
      <c r="H74" s="616"/>
      <c r="I74" s="617"/>
      <c r="J74" s="618"/>
    </row>
    <row r="75" spans="1:10" ht="24.95" customHeight="1">
      <c r="A75" s="238"/>
      <c r="B75" s="215"/>
      <c r="C75" s="215">
        <f t="shared" si="1"/>
        <v>45727.493055555555</v>
      </c>
      <c r="D75" s="616">
        <v>90</v>
      </c>
      <c r="E75" s="643"/>
      <c r="F75" s="216">
        <f>LongTest!F95</f>
        <v>15.470332595036952</v>
      </c>
      <c r="G75" s="216">
        <f>LongTest!G95</f>
        <v>4.1203325950369525</v>
      </c>
      <c r="H75" s="616"/>
      <c r="I75" s="617"/>
      <c r="J75" s="618"/>
    </row>
    <row r="76" spans="1:10" ht="24.95" customHeight="1">
      <c r="A76" s="238"/>
      <c r="B76" s="215"/>
      <c r="C76" s="215">
        <f t="shared" si="1"/>
        <v>45727.503472222219</v>
      </c>
      <c r="D76" s="616">
        <v>105</v>
      </c>
      <c r="E76" s="643"/>
      <c r="F76" s="216">
        <f>LongTest!F96</f>
        <v>15.336864937108539</v>
      </c>
      <c r="G76" s="216">
        <f>LongTest!G96</f>
        <v>3.9868649371085385</v>
      </c>
      <c r="H76" s="616"/>
      <c r="I76" s="617"/>
      <c r="J76" s="618"/>
    </row>
    <row r="77" spans="1:10" ht="24.95" customHeight="1">
      <c r="A77" s="238"/>
      <c r="B77" s="215"/>
      <c r="C77" s="215">
        <f t="shared" si="1"/>
        <v>45727.513888888891</v>
      </c>
      <c r="D77" s="616">
        <v>120</v>
      </c>
      <c r="E77" s="643"/>
      <c r="F77" s="216">
        <f>LongTest!F97</f>
        <v>14.961846389631328</v>
      </c>
      <c r="G77" s="216">
        <f>LongTest!G97</f>
        <v>3.6118463896313284</v>
      </c>
      <c r="H77" s="616" t="s">
        <v>326</v>
      </c>
      <c r="I77" s="617"/>
      <c r="J77" s="618"/>
    </row>
    <row r="78" spans="1:10" ht="24.95" customHeight="1">
      <c r="A78" s="238"/>
      <c r="B78" s="215"/>
      <c r="C78" s="215"/>
      <c r="D78" s="616"/>
      <c r="E78" s="643"/>
      <c r="F78" s="216"/>
      <c r="G78" s="216"/>
      <c r="H78" s="616"/>
      <c r="I78" s="617"/>
      <c r="J78" s="618"/>
    </row>
    <row r="79" spans="1:10" ht="24.95" customHeight="1">
      <c r="A79" s="238"/>
      <c r="B79" s="215"/>
      <c r="C79" s="215"/>
      <c r="D79" s="616"/>
      <c r="E79" s="643"/>
      <c r="F79" s="216"/>
      <c r="G79" s="216"/>
      <c r="H79" s="616"/>
      <c r="I79" s="617"/>
      <c r="J79" s="618"/>
    </row>
    <row r="80" spans="1:10" ht="24.95" customHeight="1">
      <c r="A80" s="238"/>
      <c r="B80" s="215"/>
      <c r="C80" s="215"/>
      <c r="D80" s="616"/>
      <c r="E80" s="643"/>
      <c r="F80" s="216"/>
      <c r="G80" s="216"/>
      <c r="H80" s="616"/>
      <c r="I80" s="617"/>
      <c r="J80" s="618"/>
    </row>
    <row r="81" spans="1:10" ht="24.95" customHeight="1" thickBot="1">
      <c r="A81" s="242"/>
      <c r="B81" s="243"/>
      <c r="C81" s="243"/>
      <c r="D81" s="619"/>
      <c r="E81" s="644"/>
      <c r="F81" s="244"/>
      <c r="G81" s="244"/>
      <c r="H81" s="619"/>
      <c r="I81" s="620"/>
      <c r="J81" s="62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7" t="s">
        <v>317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1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1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1" ht="24.95" customHeight="1">
      <c r="A4" s="628" t="s">
        <v>294</v>
      </c>
      <c r="B4" s="629"/>
      <c r="C4" s="630">
        <f>StepTest!C12</f>
        <v>45725.430555555555</v>
      </c>
      <c r="D4" s="631"/>
      <c r="E4" s="631"/>
      <c r="F4" s="631"/>
      <c r="G4" s="631"/>
      <c r="H4" s="631"/>
      <c r="I4" s="631"/>
      <c r="J4" s="632"/>
    </row>
    <row r="5" spans="1:11" ht="24.95" customHeight="1">
      <c r="A5" s="628" t="s">
        <v>295</v>
      </c>
      <c r="B5" s="629"/>
      <c r="C5" s="630">
        <f>StepTest!C51</f>
        <v>45725.847222222219</v>
      </c>
      <c r="D5" s="631"/>
      <c r="E5" s="631"/>
      <c r="F5" s="631"/>
      <c r="G5" s="631"/>
      <c r="H5" s="631"/>
      <c r="I5" s="631"/>
      <c r="J5" s="632"/>
    </row>
    <row r="6" spans="1:11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1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616"/>
      <c r="H7" s="617"/>
      <c r="I7" s="617"/>
      <c r="J7" s="618"/>
    </row>
    <row r="8" spans="1:11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325</v>
      </c>
      <c r="H8" s="636">
        <f>LongTest!G7</f>
        <v>158</v>
      </c>
      <c r="I8" s="629"/>
      <c r="J8" s="212" t="s">
        <v>298</v>
      </c>
    </row>
    <row r="9" spans="1:11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318</v>
      </c>
      <c r="H9" s="636">
        <f>Input!M51</f>
        <v>200</v>
      </c>
      <c r="I9" s="629"/>
      <c r="J9" s="212" t="s">
        <v>306</v>
      </c>
    </row>
    <row r="10" spans="1:11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0">
        <v>1</v>
      </c>
      <c r="E12" s="640"/>
      <c r="F12" s="216">
        <f>StepTest!F12</f>
        <v>12.65</v>
      </c>
      <c r="G12" s="216">
        <f>StepTest!G12</f>
        <v>1.3</v>
      </c>
      <c r="H12" s="661"/>
      <c r="I12" s="662"/>
      <c r="J12" s="663"/>
    </row>
    <row r="13" spans="1:11" ht="24.95" customHeight="1">
      <c r="A13" s="213"/>
      <c r="B13" s="211"/>
      <c r="C13" s="215">
        <f t="shared" si="0"/>
        <v>45725.431944444441</v>
      </c>
      <c r="D13" s="640">
        <v>2</v>
      </c>
      <c r="E13" s="640"/>
      <c r="F13" s="216">
        <f>StepTest!F13</f>
        <v>13.83</v>
      </c>
      <c r="G13" s="216">
        <f>StepTest!G13</f>
        <v>2.48</v>
      </c>
      <c r="H13" s="661"/>
      <c r="I13" s="662"/>
      <c r="J13" s="663"/>
    </row>
    <row r="14" spans="1:11" ht="24.95" customHeight="1">
      <c r="A14" s="213"/>
      <c r="B14" s="211"/>
      <c r="C14" s="215">
        <f t="shared" si="0"/>
        <v>45725.432638888888</v>
      </c>
      <c r="D14" s="640">
        <v>3</v>
      </c>
      <c r="E14" s="640"/>
      <c r="F14" s="216">
        <f>StepTest!F14</f>
        <v>14.7</v>
      </c>
      <c r="G14" s="216">
        <f>StepTest!G14</f>
        <v>3.35</v>
      </c>
      <c r="H14" s="661"/>
      <c r="I14" s="662"/>
      <c r="J14" s="663"/>
    </row>
    <row r="15" spans="1:11" ht="24.95" customHeight="1">
      <c r="A15" s="213"/>
      <c r="B15" s="211"/>
      <c r="C15" s="215">
        <f t="shared" si="0"/>
        <v>45725.433333333334</v>
      </c>
      <c r="D15" s="640">
        <v>4</v>
      </c>
      <c r="E15" s="640"/>
      <c r="F15" s="216">
        <f>StepTest!F15</f>
        <v>15.32</v>
      </c>
      <c r="G15" s="216">
        <f>StepTest!G15</f>
        <v>3.97</v>
      </c>
      <c r="H15" s="661"/>
      <c r="I15" s="662"/>
      <c r="J15" s="663"/>
    </row>
    <row r="16" spans="1:11" ht="24.95" customHeight="1">
      <c r="A16" s="213"/>
      <c r="B16" s="211"/>
      <c r="C16" s="215">
        <f t="shared" si="0"/>
        <v>45725.434027777774</v>
      </c>
      <c r="D16" s="640">
        <v>5</v>
      </c>
      <c r="E16" s="640"/>
      <c r="F16" s="216">
        <f>StepTest!F16</f>
        <v>15.8</v>
      </c>
      <c r="G16" s="216">
        <f>StepTest!G16</f>
        <v>4.45</v>
      </c>
      <c r="H16" s="616"/>
      <c r="I16" s="617"/>
      <c r="J16" s="618"/>
    </row>
    <row r="17" spans="1:10" ht="24.95" customHeight="1">
      <c r="A17" s="213"/>
      <c r="B17" s="211"/>
      <c r="C17" s="215">
        <f t="shared" si="0"/>
        <v>45725.4375</v>
      </c>
      <c r="D17" s="640">
        <v>10</v>
      </c>
      <c r="E17" s="640"/>
      <c r="F17" s="216">
        <f>StepTest!F17</f>
        <v>17.28</v>
      </c>
      <c r="G17" s="216">
        <f>StepTest!G17</f>
        <v>5.93</v>
      </c>
      <c r="H17" s="616"/>
      <c r="I17" s="617"/>
      <c r="J17" s="618"/>
    </row>
    <row r="18" spans="1:10" ht="24.95" customHeight="1">
      <c r="A18" s="213"/>
      <c r="B18" s="211"/>
      <c r="C18" s="215">
        <f t="shared" si="0"/>
        <v>45725.440972222219</v>
      </c>
      <c r="D18" s="640">
        <v>15</v>
      </c>
      <c r="E18" s="640"/>
      <c r="F18" s="216">
        <f>StepTest!F18</f>
        <v>18.149999999999999</v>
      </c>
      <c r="G18" s="216">
        <f>StepTest!G18</f>
        <v>6.8</v>
      </c>
      <c r="H18" s="616"/>
      <c r="I18" s="617"/>
      <c r="J18" s="618"/>
    </row>
    <row r="19" spans="1:10" ht="24.95" customHeight="1">
      <c r="A19" s="213"/>
      <c r="B19" s="211"/>
      <c r="C19" s="215">
        <f t="shared" si="0"/>
        <v>45725.444444444445</v>
      </c>
      <c r="D19" s="640">
        <v>20</v>
      </c>
      <c r="E19" s="640"/>
      <c r="F19" s="216">
        <f>StepTest!F19</f>
        <v>18.77</v>
      </c>
      <c r="G19" s="216">
        <f>StepTest!G19</f>
        <v>7.42</v>
      </c>
      <c r="H19" s="616"/>
      <c r="I19" s="617"/>
      <c r="J19" s="618"/>
    </row>
    <row r="20" spans="1:10" ht="24.95" customHeight="1">
      <c r="A20" s="213"/>
      <c r="B20" s="211"/>
      <c r="C20" s="215">
        <f t="shared" si="0"/>
        <v>45725.447916666664</v>
      </c>
      <c r="D20" s="640">
        <v>25</v>
      </c>
      <c r="E20" s="640"/>
      <c r="F20" s="216">
        <f>StepTest!F20</f>
        <v>19.239999999999998</v>
      </c>
      <c r="G20" s="216">
        <f>StepTest!G20</f>
        <v>7.89</v>
      </c>
      <c r="H20" s="616"/>
      <c r="I20" s="617"/>
      <c r="J20" s="618"/>
    </row>
    <row r="21" spans="1:10" ht="24.95" customHeight="1">
      <c r="A21" s="213"/>
      <c r="B21" s="211"/>
      <c r="C21" s="215">
        <f t="shared" si="0"/>
        <v>45725.451388888891</v>
      </c>
      <c r="D21" s="640">
        <v>30</v>
      </c>
      <c r="E21" s="640"/>
      <c r="F21" s="216">
        <f>StepTest!F21</f>
        <v>19.63</v>
      </c>
      <c r="G21" s="216">
        <f>StepTest!G21</f>
        <v>8.2799999999999994</v>
      </c>
      <c r="H21" s="616"/>
      <c r="I21" s="617"/>
      <c r="J21" s="618"/>
    </row>
    <row r="22" spans="1:10" ht="24.95" customHeight="1">
      <c r="A22" s="213"/>
      <c r="B22" s="211"/>
      <c r="C22" s="215">
        <f t="shared" si="0"/>
        <v>45725.454861111109</v>
      </c>
      <c r="D22" s="640">
        <v>35</v>
      </c>
      <c r="E22" s="640"/>
      <c r="F22" s="216">
        <f>StepTest!F22</f>
        <v>19.97</v>
      </c>
      <c r="G22" s="216">
        <f>StepTest!G22</f>
        <v>8.6199999999999992</v>
      </c>
      <c r="H22" s="616"/>
      <c r="I22" s="617"/>
      <c r="J22" s="618"/>
    </row>
    <row r="23" spans="1:10" ht="24.95" customHeight="1">
      <c r="A23" s="213"/>
      <c r="B23" s="211"/>
      <c r="C23" s="215">
        <f t="shared" si="0"/>
        <v>45725.458333333336</v>
      </c>
      <c r="D23" s="640">
        <v>40</v>
      </c>
      <c r="E23" s="640"/>
      <c r="F23" s="216">
        <f>StepTest!F23</f>
        <v>20.25</v>
      </c>
      <c r="G23" s="216">
        <f>StepTest!G23</f>
        <v>8.9</v>
      </c>
      <c r="H23" s="616"/>
      <c r="I23" s="617"/>
      <c r="J23" s="618"/>
    </row>
    <row r="24" spans="1:10" ht="24.95" customHeight="1">
      <c r="A24" s="213"/>
      <c r="B24" s="211"/>
      <c r="C24" s="215">
        <f t="shared" si="0"/>
        <v>45725.461805555555</v>
      </c>
      <c r="D24" s="640">
        <v>45</v>
      </c>
      <c r="E24" s="640"/>
      <c r="F24" s="216">
        <f>StepTest!F24</f>
        <v>20.5</v>
      </c>
      <c r="G24" s="216">
        <f>StepTest!G24</f>
        <v>9.15</v>
      </c>
      <c r="H24" s="616"/>
      <c r="I24" s="617"/>
      <c r="J24" s="618"/>
    </row>
    <row r="25" spans="1:10" ht="24.95" customHeight="1">
      <c r="A25" s="213"/>
      <c r="B25" s="211"/>
      <c r="C25" s="215">
        <f t="shared" si="0"/>
        <v>45725.465277777774</v>
      </c>
      <c r="D25" s="640">
        <v>50</v>
      </c>
      <c r="E25" s="640"/>
      <c r="F25" s="216">
        <f>StepTest!F25</f>
        <v>20.73</v>
      </c>
      <c r="G25" s="216">
        <f>StepTest!G25</f>
        <v>9.3800000000000008</v>
      </c>
      <c r="H25" s="616"/>
      <c r="I25" s="617"/>
      <c r="J25" s="618"/>
    </row>
    <row r="26" spans="1:10" ht="24.95" customHeight="1">
      <c r="A26" s="213"/>
      <c r="B26" s="211"/>
      <c r="C26" s="215">
        <f t="shared" si="0"/>
        <v>45725.46875</v>
      </c>
      <c r="D26" s="640">
        <v>55</v>
      </c>
      <c r="E26" s="640"/>
      <c r="F26" s="216">
        <f>StepTest!F26</f>
        <v>20.93</v>
      </c>
      <c r="G26" s="216">
        <f>StepTest!G26</f>
        <v>9.58</v>
      </c>
      <c r="H26" s="616"/>
      <c r="I26" s="617"/>
      <c r="J26" s="618"/>
    </row>
    <row r="27" spans="1:10" ht="24.95" customHeight="1">
      <c r="A27" s="213"/>
      <c r="B27" s="211"/>
      <c r="C27" s="215">
        <f t="shared" si="0"/>
        <v>45725.472222222219</v>
      </c>
      <c r="D27" s="640">
        <v>60</v>
      </c>
      <c r="E27" s="640"/>
      <c r="F27" s="216">
        <f>StepTest!F27</f>
        <v>21.119999999999997</v>
      </c>
      <c r="G27" s="216">
        <f>StepTest!G27</f>
        <v>9.77</v>
      </c>
      <c r="H27" s="616"/>
      <c r="I27" s="617"/>
      <c r="J27" s="618"/>
    </row>
    <row r="28" spans="1:10" ht="24.95" customHeight="1">
      <c r="A28" s="213"/>
      <c r="B28" s="211"/>
      <c r="C28" s="215">
        <f t="shared" si="0"/>
        <v>45725.482638888891</v>
      </c>
      <c r="D28" s="640">
        <v>75</v>
      </c>
      <c r="E28" s="640"/>
      <c r="F28" s="216">
        <f>StepTest!F28</f>
        <v>21.6</v>
      </c>
      <c r="G28" s="216">
        <f>StepTest!G28</f>
        <v>10.25</v>
      </c>
      <c r="H28" s="616"/>
      <c r="I28" s="617"/>
      <c r="J28" s="618"/>
    </row>
    <row r="29" spans="1:10" ht="24.95" customHeight="1">
      <c r="A29" s="213"/>
      <c r="B29" s="211"/>
      <c r="C29" s="215">
        <f t="shared" si="0"/>
        <v>45725.493055555555</v>
      </c>
      <c r="D29" s="640">
        <v>90</v>
      </c>
      <c r="E29" s="640"/>
      <c r="F29" s="216">
        <f>StepTest!F29</f>
        <v>21.990000000000002</v>
      </c>
      <c r="G29" s="216">
        <f>StepTest!G29</f>
        <v>10.64</v>
      </c>
      <c r="H29" s="616"/>
      <c r="I29" s="617"/>
      <c r="J29" s="618"/>
    </row>
    <row r="30" spans="1:10" ht="24.95" customHeight="1">
      <c r="A30" s="213"/>
      <c r="B30" s="211"/>
      <c r="C30" s="215">
        <f t="shared" si="0"/>
        <v>45725.503472222219</v>
      </c>
      <c r="D30" s="640">
        <v>105</v>
      </c>
      <c r="E30" s="640"/>
      <c r="F30" s="216">
        <f>StepTest!F30</f>
        <v>22.32</v>
      </c>
      <c r="G30" s="216">
        <f>StepTest!G30</f>
        <v>10.97</v>
      </c>
      <c r="H30" s="616"/>
      <c r="I30" s="617"/>
      <c r="J30" s="618"/>
    </row>
    <row r="31" spans="1:10" ht="24.95" customHeight="1">
      <c r="A31" s="213"/>
      <c r="B31" s="211"/>
      <c r="C31" s="215">
        <f t="shared" si="0"/>
        <v>45725.513888888891</v>
      </c>
      <c r="D31" s="640">
        <v>120</v>
      </c>
      <c r="E31" s="640"/>
      <c r="F31" s="216">
        <f>StepTest!F31</f>
        <v>22.61</v>
      </c>
      <c r="G31" s="216">
        <f>StepTest!G31</f>
        <v>11.26</v>
      </c>
      <c r="H31" s="616"/>
      <c r="I31" s="617"/>
      <c r="J31" s="618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0">
        <v>130</v>
      </c>
      <c r="E32" s="640"/>
      <c r="F32" s="216">
        <f>StepTest!F32</f>
        <v>24.86</v>
      </c>
      <c r="G32" s="216">
        <f>StepTest!G32</f>
        <v>13.51</v>
      </c>
      <c r="H32" s="616"/>
      <c r="I32" s="617"/>
      <c r="J32" s="618"/>
    </row>
    <row r="33" spans="1:10" ht="24.95" customHeight="1">
      <c r="A33" s="217"/>
      <c r="B33" s="214"/>
      <c r="C33" s="215">
        <f t="shared" si="0"/>
        <v>45725.527777777774</v>
      </c>
      <c r="D33" s="640">
        <v>140</v>
      </c>
      <c r="E33" s="640"/>
      <c r="F33" s="216">
        <f>StepTest!F33</f>
        <v>25.240000000000002</v>
      </c>
      <c r="G33" s="216">
        <f>StepTest!G33</f>
        <v>13.89</v>
      </c>
      <c r="H33" s="616"/>
      <c r="I33" s="617"/>
      <c r="J33" s="618"/>
    </row>
    <row r="34" spans="1:10" ht="24.95" customHeight="1">
      <c r="A34" s="217"/>
      <c r="B34" s="214"/>
      <c r="C34" s="215">
        <f t="shared" si="0"/>
        <v>45725.534722222219</v>
      </c>
      <c r="D34" s="640">
        <v>150</v>
      </c>
      <c r="E34" s="640"/>
      <c r="F34" s="216">
        <f>StepTest!F34</f>
        <v>25.61</v>
      </c>
      <c r="G34" s="216">
        <f>StepTest!G34</f>
        <v>14.26</v>
      </c>
      <c r="H34" s="616"/>
      <c r="I34" s="617"/>
      <c r="J34" s="618"/>
    </row>
    <row r="35" spans="1:10" ht="24.95" customHeight="1">
      <c r="A35" s="217"/>
      <c r="B35" s="214"/>
      <c r="C35" s="215">
        <f t="shared" si="0"/>
        <v>45725.555555555555</v>
      </c>
      <c r="D35" s="640">
        <v>180</v>
      </c>
      <c r="E35" s="640"/>
      <c r="F35" s="216">
        <f>StepTest!F35</f>
        <v>25.990000000000002</v>
      </c>
      <c r="G35" s="216">
        <f>StepTest!G35</f>
        <v>14.64</v>
      </c>
      <c r="H35" s="616"/>
      <c r="I35" s="617"/>
      <c r="J35" s="618"/>
    </row>
    <row r="36" spans="1:10" ht="24.95" customHeight="1">
      <c r="A36" s="217"/>
      <c r="B36" s="214"/>
      <c r="C36" s="215">
        <f t="shared" si="0"/>
        <v>45725.597222222219</v>
      </c>
      <c r="D36" s="640">
        <v>240</v>
      </c>
      <c r="E36" s="640"/>
      <c r="F36" s="216">
        <f>StepTest!F36</f>
        <v>26.369999999999997</v>
      </c>
      <c r="G36" s="216">
        <f>StepTest!G36</f>
        <v>15.02</v>
      </c>
      <c r="H36" s="616"/>
      <c r="I36" s="617"/>
      <c r="J36" s="618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0">
        <v>250</v>
      </c>
      <c r="E37" s="640"/>
      <c r="F37" s="216">
        <f>StepTest!F37</f>
        <v>28.9</v>
      </c>
      <c r="G37" s="216">
        <f>StepTest!G37</f>
        <v>17.55</v>
      </c>
      <c r="H37" s="616"/>
      <c r="I37" s="617"/>
      <c r="J37" s="618"/>
    </row>
    <row r="38" spans="1:10" ht="24.95" customHeight="1">
      <c r="A38" s="217"/>
      <c r="B38" s="214"/>
      <c r="C38" s="215">
        <f t="shared" si="0"/>
        <v>45725.611111111109</v>
      </c>
      <c r="D38" s="640">
        <v>260</v>
      </c>
      <c r="E38" s="640"/>
      <c r="F38" s="216">
        <f>StepTest!F38</f>
        <v>29.32</v>
      </c>
      <c r="G38" s="216">
        <f>StepTest!G38</f>
        <v>17.97</v>
      </c>
      <c r="H38" s="616"/>
      <c r="I38" s="617"/>
      <c r="J38" s="618"/>
    </row>
    <row r="39" spans="1:10" ht="24.95" customHeight="1">
      <c r="A39" s="217"/>
      <c r="B39" s="214"/>
      <c r="C39" s="215">
        <f t="shared" si="0"/>
        <v>45725.618055555555</v>
      </c>
      <c r="D39" s="640">
        <v>270</v>
      </c>
      <c r="E39" s="640"/>
      <c r="F39" s="216">
        <f>StepTest!F39</f>
        <v>29.740000000000002</v>
      </c>
      <c r="G39" s="216">
        <f>StepTest!G39</f>
        <v>18.39</v>
      </c>
      <c r="H39" s="616"/>
      <c r="I39" s="617"/>
      <c r="J39" s="618"/>
    </row>
    <row r="40" spans="1:10" ht="24.95" customHeight="1">
      <c r="A40" s="217"/>
      <c r="B40" s="214"/>
      <c r="C40" s="215">
        <f t="shared" si="0"/>
        <v>45725.638888888891</v>
      </c>
      <c r="D40" s="640">
        <v>300</v>
      </c>
      <c r="E40" s="640"/>
      <c r="F40" s="216">
        <f>StepTest!F40</f>
        <v>30.159999999999997</v>
      </c>
      <c r="G40" s="216">
        <f>StepTest!G40</f>
        <v>18.809999999999999</v>
      </c>
      <c r="H40" s="616"/>
      <c r="I40" s="617"/>
      <c r="J40" s="618"/>
    </row>
    <row r="41" spans="1:10" ht="24.95" customHeight="1">
      <c r="A41" s="217"/>
      <c r="B41" s="214"/>
      <c r="C41" s="215">
        <f t="shared" si="0"/>
        <v>45725.680555555555</v>
      </c>
      <c r="D41" s="640">
        <v>360</v>
      </c>
      <c r="E41" s="640"/>
      <c r="F41" s="216">
        <f>StepTest!F41</f>
        <v>30.589999999999996</v>
      </c>
      <c r="G41" s="216">
        <f>StepTest!G41</f>
        <v>19.239999999999998</v>
      </c>
      <c r="H41" s="616"/>
      <c r="I41" s="617"/>
      <c r="J41" s="618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36">
        <v>370</v>
      </c>
      <c r="E42" s="629"/>
      <c r="F42" s="216">
        <f>StepTest!F42</f>
        <v>33.409999999999997</v>
      </c>
      <c r="G42" s="216">
        <f>StepTest!G42</f>
        <v>22.06</v>
      </c>
      <c r="H42" s="616"/>
      <c r="I42" s="617"/>
      <c r="J42" s="618"/>
    </row>
    <row r="43" spans="1:10" ht="24.95" customHeight="1">
      <c r="A43" s="217"/>
      <c r="B43" s="214"/>
      <c r="C43" s="215">
        <f t="shared" si="0"/>
        <v>45725.694444444445</v>
      </c>
      <c r="D43" s="636">
        <v>380</v>
      </c>
      <c r="E43" s="629"/>
      <c r="F43" s="216">
        <f>StepTest!F43</f>
        <v>33.880000000000003</v>
      </c>
      <c r="G43" s="216">
        <f>StepTest!G43</f>
        <v>22.53</v>
      </c>
      <c r="H43" s="616"/>
      <c r="I43" s="617"/>
      <c r="J43" s="618"/>
    </row>
    <row r="44" spans="1:10" ht="24.95" customHeight="1">
      <c r="A44" s="217"/>
      <c r="B44" s="214"/>
      <c r="C44" s="215">
        <f t="shared" si="0"/>
        <v>45725.701388888891</v>
      </c>
      <c r="D44" s="636">
        <v>390</v>
      </c>
      <c r="E44" s="629"/>
      <c r="F44" s="216">
        <f>StepTest!F44</f>
        <v>34.35</v>
      </c>
      <c r="G44" s="216">
        <f>StepTest!G44</f>
        <v>23</v>
      </c>
      <c r="H44" s="616"/>
      <c r="I44" s="617"/>
      <c r="J44" s="618"/>
    </row>
    <row r="45" spans="1:10" ht="24.95" customHeight="1">
      <c r="A45" s="217"/>
      <c r="B45" s="214"/>
      <c r="C45" s="215">
        <f t="shared" si="0"/>
        <v>45725.722222222219</v>
      </c>
      <c r="D45" s="636">
        <v>420</v>
      </c>
      <c r="E45" s="629"/>
      <c r="F45" s="216">
        <f>StepTest!F45</f>
        <v>34.82</v>
      </c>
      <c r="G45" s="216">
        <f>StepTest!G45</f>
        <v>23.47</v>
      </c>
      <c r="H45" s="616"/>
      <c r="I45" s="617"/>
      <c r="J45" s="618"/>
    </row>
    <row r="46" spans="1:10" ht="24.95" customHeight="1">
      <c r="A46" s="217"/>
      <c r="B46" s="214"/>
      <c r="C46" s="215">
        <f t="shared" si="0"/>
        <v>45725.763888888891</v>
      </c>
      <c r="D46" s="636">
        <v>480</v>
      </c>
      <c r="E46" s="629"/>
      <c r="F46" s="216">
        <f>StepTest!F46</f>
        <v>35.299999999999997</v>
      </c>
      <c r="G46" s="216">
        <f>StepTest!G46</f>
        <v>23.95</v>
      </c>
      <c r="H46" s="616"/>
      <c r="I46" s="617"/>
      <c r="J46" s="618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36">
        <v>490</v>
      </c>
      <c r="E47" s="629"/>
      <c r="F47" s="216">
        <f>StepTest!F47</f>
        <v>38.17</v>
      </c>
      <c r="G47" s="216">
        <f>StepTest!G47</f>
        <v>26.82</v>
      </c>
      <c r="H47" s="616"/>
      <c r="I47" s="617"/>
      <c r="J47" s="618"/>
    </row>
    <row r="48" spans="1:10" ht="24.95" customHeight="1">
      <c r="A48" s="217"/>
      <c r="B48" s="214"/>
      <c r="C48" s="215">
        <f t="shared" si="0"/>
        <v>45725.777777777774</v>
      </c>
      <c r="D48" s="636">
        <v>500</v>
      </c>
      <c r="E48" s="629"/>
      <c r="F48" s="216">
        <f>StepTest!F48</f>
        <v>39.24</v>
      </c>
      <c r="G48" s="216">
        <f>StepTest!G48</f>
        <v>27.89</v>
      </c>
      <c r="H48" s="616"/>
      <c r="I48" s="617"/>
      <c r="J48" s="618"/>
    </row>
    <row r="49" spans="1:10" ht="24.95" customHeight="1">
      <c r="A49" s="217"/>
      <c r="B49" s="214"/>
      <c r="C49" s="215">
        <f t="shared" si="0"/>
        <v>45725.784722222219</v>
      </c>
      <c r="D49" s="636">
        <v>510</v>
      </c>
      <c r="E49" s="629"/>
      <c r="F49" s="216">
        <f>StepTest!F49</f>
        <v>40.32</v>
      </c>
      <c r="G49" s="216">
        <f>StepTest!G49</f>
        <v>28.97</v>
      </c>
      <c r="H49" s="616"/>
      <c r="I49" s="617"/>
      <c r="J49" s="618"/>
    </row>
    <row r="50" spans="1:10" ht="24.95" customHeight="1">
      <c r="A50" s="217"/>
      <c r="B50" s="214"/>
      <c r="C50" s="215">
        <f t="shared" si="0"/>
        <v>45725.805555555555</v>
      </c>
      <c r="D50" s="636">
        <v>540</v>
      </c>
      <c r="E50" s="629"/>
      <c r="F50" s="216">
        <f>StepTest!F50</f>
        <v>41.4</v>
      </c>
      <c r="G50" s="216">
        <f>StepTest!G50</f>
        <v>30.05</v>
      </c>
      <c r="H50" s="616"/>
      <c r="I50" s="617"/>
      <c r="J50" s="618"/>
    </row>
    <row r="51" spans="1:10" ht="24.95" customHeight="1">
      <c r="A51" s="218"/>
      <c r="B51" s="219"/>
      <c r="C51" s="220">
        <f t="shared" si="0"/>
        <v>45725.847222222219</v>
      </c>
      <c r="D51" s="664">
        <v>600</v>
      </c>
      <c r="E51" s="665"/>
      <c r="F51" s="221">
        <f>StepTest!F51</f>
        <v>42.48</v>
      </c>
      <c r="G51" s="221">
        <f>StepTest!G51</f>
        <v>31.13</v>
      </c>
      <c r="H51" s="658"/>
      <c r="I51" s="659"/>
      <c r="J51" s="660"/>
    </row>
    <row r="52" spans="1:10" ht="24.95" customHeight="1">
      <c r="A52" s="238"/>
      <c r="B52" s="246"/>
      <c r="C52" s="246"/>
      <c r="D52" s="650"/>
      <c r="E52" s="656"/>
      <c r="F52" s="246"/>
      <c r="G52" s="246"/>
      <c r="H52" s="650"/>
      <c r="I52" s="651"/>
      <c r="J52" s="652"/>
    </row>
    <row r="53" spans="1:10" ht="24.95" customHeight="1">
      <c r="A53" s="238"/>
      <c r="B53" s="246"/>
      <c r="C53" s="246"/>
      <c r="D53" s="650"/>
      <c r="E53" s="656"/>
      <c r="F53" s="246"/>
      <c r="G53" s="246"/>
      <c r="H53" s="650"/>
      <c r="I53" s="651"/>
      <c r="J53" s="652"/>
    </row>
    <row r="54" spans="1:10" ht="24.95" customHeight="1">
      <c r="A54" s="238"/>
      <c r="B54" s="246"/>
      <c r="C54" s="246"/>
      <c r="D54" s="650"/>
      <c r="E54" s="656"/>
      <c r="F54" s="246"/>
      <c r="G54" s="246"/>
      <c r="H54" s="650"/>
      <c r="I54" s="651"/>
      <c r="J54" s="652"/>
    </row>
    <row r="55" spans="1:10" ht="24.95" customHeight="1">
      <c r="A55" s="238"/>
      <c r="B55" s="246"/>
      <c r="C55" s="246"/>
      <c r="D55" s="650"/>
      <c r="E55" s="656"/>
      <c r="F55" s="246"/>
      <c r="G55" s="246"/>
      <c r="H55" s="650"/>
      <c r="I55" s="651"/>
      <c r="J55" s="652"/>
    </row>
    <row r="56" spans="1:10" ht="24.95" customHeight="1">
      <c r="A56" s="238"/>
      <c r="B56" s="246"/>
      <c r="C56" s="246"/>
      <c r="D56" s="650"/>
      <c r="E56" s="656"/>
      <c r="F56" s="246"/>
      <c r="G56" s="246"/>
      <c r="H56" s="650"/>
      <c r="I56" s="651"/>
      <c r="J56" s="652"/>
    </row>
    <row r="57" spans="1:10" ht="24.95" customHeight="1" thickBot="1">
      <c r="A57" s="242"/>
      <c r="B57" s="247"/>
      <c r="C57" s="247"/>
      <c r="D57" s="653"/>
      <c r="E57" s="657"/>
      <c r="F57" s="247"/>
      <c r="G57" s="247"/>
      <c r="H57" s="653"/>
      <c r="I57" s="654"/>
      <c r="J57" s="65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7" t="s">
        <v>316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294</v>
      </c>
      <c r="B4" s="629"/>
      <c r="C4" s="630">
        <f>LongTest!C10</f>
        <v>45726.430555555555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295</v>
      </c>
      <c r="B5" s="629"/>
      <c r="C5" s="630">
        <f>LongTest!C77</f>
        <v>45728.430555555555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38.270000000000003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0">
        <v>1</v>
      </c>
      <c r="E12" s="640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0">
        <v>2</v>
      </c>
      <c r="E13" s="640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0">
        <v>3</v>
      </c>
      <c r="E14" s="640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0">
        <v>4</v>
      </c>
      <c r="E15" s="640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0">
        <v>5</v>
      </c>
      <c r="E16" s="640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0">
        <v>10</v>
      </c>
      <c r="E17" s="640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0">
        <v>15</v>
      </c>
      <c r="E18" s="640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0">
        <v>20</v>
      </c>
      <c r="E19" s="640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0">
        <v>25</v>
      </c>
      <c r="E20" s="640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0">
        <v>30</v>
      </c>
      <c r="E21" s="640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0">
        <v>35</v>
      </c>
      <c r="E22" s="640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0">
        <v>40</v>
      </c>
      <c r="E23" s="640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0">
        <v>45</v>
      </c>
      <c r="E24" s="640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0">
        <v>50</v>
      </c>
      <c r="E25" s="640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0">
        <v>55</v>
      </c>
      <c r="E26" s="640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0">
        <v>60</v>
      </c>
      <c r="E27" s="640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0">
        <v>75</v>
      </c>
      <c r="E28" s="640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0">
        <v>90</v>
      </c>
      <c r="E29" s="640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0">
        <v>105</v>
      </c>
      <c r="E30" s="640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0">
        <v>120</v>
      </c>
      <c r="E31" s="640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0">
        <v>140</v>
      </c>
      <c r="E32" s="640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0">
        <v>160</v>
      </c>
      <c r="E33" s="640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0">
        <v>180</v>
      </c>
      <c r="E34" s="640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0">
        <v>240</v>
      </c>
      <c r="E35" s="640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0">
        <v>300</v>
      </c>
      <c r="E36" s="640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0">
        <v>360</v>
      </c>
      <c r="E37" s="640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0">
        <v>420</v>
      </c>
      <c r="E38" s="640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0">
        <v>480</v>
      </c>
      <c r="E39" s="640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0">
        <v>540</v>
      </c>
      <c r="E40" s="640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0">
        <v>600</v>
      </c>
      <c r="E41" s="640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0">
        <v>660</v>
      </c>
      <c r="E42" s="640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0">
        <v>720</v>
      </c>
      <c r="E43" s="640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0">
        <v>780</v>
      </c>
      <c r="E44" s="640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0">
        <v>840</v>
      </c>
      <c r="E45" s="640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0">
        <v>900</v>
      </c>
      <c r="E46" s="640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0">
        <v>960</v>
      </c>
      <c r="E47" s="640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0">
        <v>1020</v>
      </c>
      <c r="E48" s="640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0">
        <v>1080</v>
      </c>
      <c r="E49" s="640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0">
        <v>1140</v>
      </c>
      <c r="E50" s="640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0">
        <v>1200</v>
      </c>
      <c r="E51" s="640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0">
        <v>1260</v>
      </c>
      <c r="E52" s="640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0">
        <v>1320</v>
      </c>
      <c r="E53" s="640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0">
        <v>1380</v>
      </c>
      <c r="E54" s="640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0">
        <v>1440</v>
      </c>
      <c r="E55" s="640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43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43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43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43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43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43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43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43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43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43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43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43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43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43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43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43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43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43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43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43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43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43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43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8">
        <v>2880</v>
      </c>
      <c r="E79" s="669"/>
      <c r="F79" s="240">
        <f>LongTest!F77</f>
        <v>38.270000000000003</v>
      </c>
      <c r="G79" s="240">
        <f>LongTest!G77</f>
        <v>26.92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6" t="s">
        <v>321</v>
      </c>
      <c r="B80" s="667"/>
      <c r="C80" s="667"/>
      <c r="D80" s="667"/>
      <c r="E80" s="667"/>
      <c r="F80" s="667"/>
      <c r="G80" s="667"/>
      <c r="H80" s="667"/>
      <c r="I80" s="667"/>
      <c r="J80" s="66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354</v>
      </c>
      <c r="B4" s="629"/>
      <c r="C4" s="630">
        <f>장기28!C5</f>
        <v>45728.430555555555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353</v>
      </c>
      <c r="B5" s="629"/>
      <c r="C5" s="630">
        <f>LongTest!C101</f>
        <v>45728.680555555555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38.270000000000003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6">
        <v>1</v>
      </c>
      <c r="E12" s="643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6">
        <v>2</v>
      </c>
      <c r="E13" s="643"/>
      <c r="F13" s="216">
        <f>LongTest!F79</f>
        <v>26.73021109021095</v>
      </c>
      <c r="G13" s="216">
        <f>LongTest!G79</f>
        <v>15.380211090210949</v>
      </c>
      <c r="H13" s="616"/>
      <c r="I13" s="617"/>
      <c r="J13" s="618"/>
    </row>
    <row r="14" spans="1:10" ht="24.95" customHeight="1">
      <c r="A14" s="238"/>
      <c r="B14" s="215"/>
      <c r="C14" s="215">
        <f t="shared" si="0"/>
        <v>45728.432638888888</v>
      </c>
      <c r="D14" s="616">
        <v>3</v>
      </c>
      <c r="E14" s="643"/>
      <c r="F14" s="216">
        <f>LongTest!F80</f>
        <v>25.283494305486641</v>
      </c>
      <c r="G14" s="216">
        <f>LongTest!G80</f>
        <v>13.93349430548664</v>
      </c>
      <c r="H14" s="616"/>
      <c r="I14" s="617"/>
      <c r="J14" s="618"/>
    </row>
    <row r="15" spans="1:10" ht="24.95" customHeight="1">
      <c r="A15" s="238"/>
      <c r="B15" s="215"/>
      <c r="C15" s="215">
        <f t="shared" si="0"/>
        <v>45728.433333333334</v>
      </c>
      <c r="D15" s="616">
        <v>4</v>
      </c>
      <c r="E15" s="643"/>
      <c r="F15" s="216">
        <f>LongTest!F81</f>
        <v>23.972860793152201</v>
      </c>
      <c r="G15" s="216">
        <f>LongTest!G81</f>
        <v>12.622860793152199</v>
      </c>
      <c r="H15" s="616"/>
      <c r="I15" s="617"/>
      <c r="J15" s="618"/>
    </row>
    <row r="16" spans="1:10" ht="24.95" customHeight="1">
      <c r="A16" s="238"/>
      <c r="B16" s="215"/>
      <c r="C16" s="215">
        <f t="shared" si="0"/>
        <v>45728.434027777774</v>
      </c>
      <c r="D16" s="616">
        <v>5</v>
      </c>
      <c r="E16" s="643"/>
      <c r="F16" s="216">
        <f>LongTest!F82</f>
        <v>22.785510081671077</v>
      </c>
      <c r="G16" s="216">
        <f>LongTest!G82</f>
        <v>11.435510081671076</v>
      </c>
      <c r="H16" s="616"/>
      <c r="I16" s="617"/>
      <c r="J16" s="618"/>
    </row>
    <row r="17" spans="1:10" ht="24.95" customHeight="1">
      <c r="A17" s="238"/>
      <c r="B17" s="215"/>
      <c r="C17" s="215">
        <f t="shared" si="0"/>
        <v>45728.4375</v>
      </c>
      <c r="D17" s="616">
        <v>10</v>
      </c>
      <c r="E17" s="643"/>
      <c r="F17" s="216">
        <f>LongTest!F83</f>
        <v>19.852542004201268</v>
      </c>
      <c r="G17" s="216">
        <f>LongTest!G83</f>
        <v>8.5025420042012705</v>
      </c>
      <c r="H17" s="616"/>
      <c r="I17" s="617"/>
      <c r="J17" s="618"/>
    </row>
    <row r="18" spans="1:10" ht="24.95" customHeight="1">
      <c r="A18" s="238"/>
      <c r="B18" s="215"/>
      <c r="C18" s="215">
        <f t="shared" si="0"/>
        <v>45728.440972222219</v>
      </c>
      <c r="D18" s="616">
        <v>15</v>
      </c>
      <c r="E18" s="643"/>
      <c r="F18" s="216">
        <f>LongTest!F84</f>
        <v>19.310627178404037</v>
      </c>
      <c r="G18" s="216">
        <f>LongTest!G84</f>
        <v>7.960627178404037</v>
      </c>
      <c r="H18" s="616"/>
      <c r="I18" s="617"/>
      <c r="J18" s="618"/>
    </row>
    <row r="19" spans="1:10" ht="24.95" customHeight="1">
      <c r="A19" s="238"/>
      <c r="B19" s="215"/>
      <c r="C19" s="215">
        <f t="shared" si="0"/>
        <v>45728.444444444445</v>
      </c>
      <c r="D19" s="616">
        <v>20</v>
      </c>
      <c r="E19" s="643"/>
      <c r="F19" s="216">
        <f>LongTest!F85</f>
        <v>17.883453156773275</v>
      </c>
      <c r="G19" s="216">
        <f>LongTest!G85</f>
        <v>6.5334531567732759</v>
      </c>
      <c r="H19" s="616"/>
      <c r="I19" s="617"/>
      <c r="J19" s="618"/>
    </row>
    <row r="20" spans="1:10" ht="24.95" customHeight="1">
      <c r="A20" s="238"/>
      <c r="B20" s="215"/>
      <c r="C20" s="215">
        <f t="shared" si="0"/>
        <v>45728.447916666664</v>
      </c>
      <c r="D20" s="616">
        <v>25</v>
      </c>
      <c r="E20" s="643"/>
      <c r="F20" s="216">
        <f>LongTest!F86</f>
        <v>17.268893558814966</v>
      </c>
      <c r="G20" s="216">
        <f>LongTest!G86</f>
        <v>5.9188935588149674</v>
      </c>
      <c r="H20" s="616"/>
      <c r="I20" s="617"/>
      <c r="J20" s="618"/>
    </row>
    <row r="21" spans="1:10" ht="24.95" customHeight="1">
      <c r="A21" s="238"/>
      <c r="B21" s="215"/>
      <c r="C21" s="215">
        <f t="shared" si="0"/>
        <v>45728.451388888891</v>
      </c>
      <c r="D21" s="616">
        <v>30</v>
      </c>
      <c r="E21" s="643"/>
      <c r="F21" s="216">
        <f>LongTest!F87</f>
        <v>16.71214159954021</v>
      </c>
      <c r="G21" s="216">
        <f>LongTest!G87</f>
        <v>5.3621415995402115</v>
      </c>
      <c r="H21" s="616"/>
      <c r="I21" s="617"/>
      <c r="J21" s="618"/>
    </row>
    <row r="22" spans="1:10" ht="24.95" customHeight="1">
      <c r="A22" s="238"/>
      <c r="B22" s="215"/>
      <c r="C22" s="215">
        <f t="shared" si="0"/>
        <v>45728.454861111109</v>
      </c>
      <c r="D22" s="616">
        <v>35</v>
      </c>
      <c r="E22" s="643"/>
      <c r="F22" s="216">
        <f>LongTest!F88</f>
        <v>16.53844870842914</v>
      </c>
      <c r="G22" s="216">
        <f>LongTest!G88</f>
        <v>5.1884487084291395</v>
      </c>
      <c r="H22" s="616"/>
      <c r="I22" s="617"/>
      <c r="J22" s="618"/>
    </row>
    <row r="23" spans="1:10" ht="24.95" customHeight="1">
      <c r="A23" s="238"/>
      <c r="B23" s="215"/>
      <c r="C23" s="215">
        <f t="shared" si="0"/>
        <v>45728.458333333336</v>
      </c>
      <c r="D23" s="616">
        <v>40</v>
      </c>
      <c r="E23" s="643"/>
      <c r="F23" s="216">
        <f>LongTest!F89</f>
        <v>16.370382155202378</v>
      </c>
      <c r="G23" s="216">
        <f>LongTest!G89</f>
        <v>5.0203821552023769</v>
      </c>
      <c r="H23" s="616"/>
      <c r="I23" s="617"/>
      <c r="J23" s="618"/>
    </row>
    <row r="24" spans="1:10" ht="24.95" customHeight="1">
      <c r="A24" s="238"/>
      <c r="B24" s="215"/>
      <c r="C24" s="215">
        <f t="shared" si="0"/>
        <v>45728.461805555555</v>
      </c>
      <c r="D24" s="616">
        <v>45</v>
      </c>
      <c r="E24" s="643"/>
      <c r="F24" s="216">
        <f>LongTest!F90</f>
        <v>16.207759689004487</v>
      </c>
      <c r="G24" s="216">
        <f>LongTest!G90</f>
        <v>4.8577596890044861</v>
      </c>
      <c r="H24" s="616"/>
      <c r="I24" s="617"/>
      <c r="J24" s="618"/>
    </row>
    <row r="25" spans="1:10" ht="24.95" customHeight="1">
      <c r="A25" s="238"/>
      <c r="B25" s="215"/>
      <c r="C25" s="215">
        <f t="shared" si="0"/>
        <v>45728.465277777774</v>
      </c>
      <c r="D25" s="616">
        <v>50</v>
      </c>
      <c r="E25" s="643"/>
      <c r="F25" s="216">
        <f>LongTest!F91</f>
        <v>16.050404962531324</v>
      </c>
      <c r="G25" s="216">
        <f>LongTest!G91</f>
        <v>4.7004049625313247</v>
      </c>
      <c r="H25" s="616"/>
      <c r="I25" s="617"/>
      <c r="J25" s="618"/>
    </row>
    <row r="26" spans="1:10" ht="24.95" customHeight="1">
      <c r="A26" s="238"/>
      <c r="B26" s="215"/>
      <c r="C26" s="215">
        <f t="shared" si="0"/>
        <v>45728.46875</v>
      </c>
      <c r="D26" s="616">
        <v>55</v>
      </c>
      <c r="E26" s="643"/>
      <c r="F26" s="216">
        <f>LongTest!F92</f>
        <v>15.898147340799571</v>
      </c>
      <c r="G26" s="216">
        <f>LongTest!G92</f>
        <v>4.5481473407995727</v>
      </c>
      <c r="H26" s="616"/>
      <c r="I26" s="617"/>
      <c r="J26" s="618"/>
    </row>
    <row r="27" spans="1:10" ht="24.95" customHeight="1">
      <c r="A27" s="238"/>
      <c r="B27" s="215"/>
      <c r="C27" s="215">
        <f t="shared" si="0"/>
        <v>45728.472222222219</v>
      </c>
      <c r="D27" s="616">
        <v>60</v>
      </c>
      <c r="E27" s="643"/>
      <c r="F27" s="216">
        <f>LongTest!F93</f>
        <v>15.75082171611067</v>
      </c>
      <c r="G27" s="216">
        <f>LongTest!G93</f>
        <v>4.40082171611067</v>
      </c>
      <c r="H27" s="616"/>
      <c r="I27" s="617"/>
      <c r="J27" s="618"/>
    </row>
    <row r="28" spans="1:10" ht="24.95" customHeight="1">
      <c r="A28" s="238"/>
      <c r="B28" s="215"/>
      <c r="C28" s="215">
        <f t="shared" si="0"/>
        <v>45728.482638888891</v>
      </c>
      <c r="D28" s="616">
        <v>75</v>
      </c>
      <c r="E28" s="643"/>
      <c r="F28" s="216">
        <f>LongTest!F94</f>
        <v>15.608268329008549</v>
      </c>
      <c r="G28" s="216">
        <f>LongTest!G94</f>
        <v>4.2582683290085486</v>
      </c>
      <c r="H28" s="616"/>
      <c r="I28" s="617"/>
      <c r="J28" s="618"/>
    </row>
    <row r="29" spans="1:10" ht="24.95" customHeight="1">
      <c r="A29" s="238"/>
      <c r="B29" s="215"/>
      <c r="C29" s="215">
        <f t="shared" si="0"/>
        <v>45728.493055555555</v>
      </c>
      <c r="D29" s="616">
        <v>90</v>
      </c>
      <c r="E29" s="643"/>
      <c r="F29" s="216">
        <f>LongTest!F95</f>
        <v>15.470332595036952</v>
      </c>
      <c r="G29" s="216">
        <f>LongTest!G95</f>
        <v>4.1203325950369525</v>
      </c>
      <c r="H29" s="616"/>
      <c r="I29" s="617"/>
      <c r="J29" s="618"/>
    </row>
    <row r="30" spans="1:10" ht="24.95" customHeight="1">
      <c r="A30" s="238"/>
      <c r="B30" s="215"/>
      <c r="C30" s="215">
        <f t="shared" si="0"/>
        <v>45728.503472222219</v>
      </c>
      <c r="D30" s="616">
        <v>105</v>
      </c>
      <c r="E30" s="643"/>
      <c r="F30" s="216">
        <f>LongTest!F96</f>
        <v>15.336864937108539</v>
      </c>
      <c r="G30" s="216">
        <f>LongTest!G96</f>
        <v>3.9868649371085385</v>
      </c>
      <c r="H30" s="616"/>
      <c r="I30" s="617"/>
      <c r="J30" s="618"/>
    </row>
    <row r="31" spans="1:10" ht="24.95" customHeight="1">
      <c r="A31" s="238"/>
      <c r="B31" s="215"/>
      <c r="C31" s="215">
        <f t="shared" si="0"/>
        <v>45728.513888888891</v>
      </c>
      <c r="D31" s="616">
        <v>120</v>
      </c>
      <c r="E31" s="643"/>
      <c r="F31" s="216">
        <f>LongTest!F97</f>
        <v>14.961846389631328</v>
      </c>
      <c r="G31" s="216">
        <f>LongTest!G97</f>
        <v>3.6118463896313284</v>
      </c>
      <c r="H31" s="616"/>
      <c r="I31" s="617"/>
      <c r="J31" s="618"/>
    </row>
    <row r="32" spans="1:10" ht="24.95" customHeight="1">
      <c r="A32" s="238"/>
      <c r="B32" s="215"/>
      <c r="C32" s="215">
        <f t="shared" si="0"/>
        <v>45728.555555555555</v>
      </c>
      <c r="D32" s="616">
        <v>180</v>
      </c>
      <c r="E32" s="643"/>
      <c r="F32" s="216">
        <f>LongTest!F98</f>
        <v>14.844849844497581</v>
      </c>
      <c r="G32" s="216">
        <f>LongTest!G98</f>
        <v>3.4948498444975815</v>
      </c>
      <c r="H32" s="616"/>
      <c r="I32" s="617"/>
      <c r="J32" s="618"/>
    </row>
    <row r="33" spans="1:10" ht="24.95" customHeight="1">
      <c r="A33" s="238"/>
      <c r="B33" s="215"/>
      <c r="C33" s="215">
        <f t="shared" si="0"/>
        <v>45728.597222222219</v>
      </c>
      <c r="D33" s="616">
        <v>240</v>
      </c>
      <c r="E33" s="643"/>
      <c r="F33" s="216">
        <f>LongTest!F99</f>
        <v>14.218296333601067</v>
      </c>
      <c r="G33" s="216">
        <f>LongTest!G99</f>
        <v>2.8682963336010681</v>
      </c>
      <c r="H33" s="616"/>
      <c r="I33" s="617"/>
      <c r="J33" s="618"/>
    </row>
    <row r="34" spans="1:10" ht="24.95" customHeight="1">
      <c r="A34" s="238"/>
      <c r="B34" s="215"/>
      <c r="C34" s="215">
        <f t="shared" si="0"/>
        <v>45728.638888888891</v>
      </c>
      <c r="D34" s="616">
        <v>300</v>
      </c>
      <c r="E34" s="643"/>
      <c r="F34" s="216">
        <f>LongTest!F100</f>
        <v>13.704070767962296</v>
      </c>
      <c r="G34" s="216">
        <f>LongTest!G100</f>
        <v>2.3540707679622961</v>
      </c>
      <c r="H34" s="616"/>
      <c r="I34" s="617"/>
      <c r="J34" s="618"/>
    </row>
    <row r="35" spans="1:10" ht="24.95" customHeight="1" thickBot="1">
      <c r="A35" s="242"/>
      <c r="B35" s="243"/>
      <c r="C35" s="243">
        <f t="shared" si="0"/>
        <v>45728.680555555555</v>
      </c>
      <c r="D35" s="619">
        <v>360</v>
      </c>
      <c r="E35" s="644"/>
      <c r="F35" s="244">
        <f>LongTest!F101</f>
        <v>13.282035095417495</v>
      </c>
      <c r="G35" s="244">
        <f>LongTest!G101</f>
        <v>1.9320350954174961</v>
      </c>
      <c r="H35" s="619" t="s">
        <v>320</v>
      </c>
      <c r="I35" s="620"/>
      <c r="J35" s="62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4" t="s">
        <v>316</v>
      </c>
      <c r="B1" s="685"/>
      <c r="C1" s="685"/>
      <c r="D1" s="685"/>
      <c r="E1" s="685"/>
      <c r="F1" s="685"/>
      <c r="G1" s="685"/>
      <c r="H1" s="685"/>
      <c r="I1" s="685"/>
      <c r="J1" s="686"/>
    </row>
    <row r="2" spans="1:10" ht="24.95" customHeight="1">
      <c r="A2" s="687" t="s">
        <v>292</v>
      </c>
      <c r="B2" s="688"/>
      <c r="C2" s="689" t="str">
        <f>LongTest!C2</f>
        <v>예산군 마전 등 5지구 농업용관정 지하수영향조사 용역</v>
      </c>
      <c r="D2" s="690"/>
      <c r="E2" s="690"/>
      <c r="F2" s="690"/>
      <c r="G2" s="690"/>
      <c r="H2" s="690"/>
      <c r="I2" s="690"/>
      <c r="J2" s="691"/>
    </row>
    <row r="3" spans="1:10" ht="24.95" customHeight="1">
      <c r="A3" s="675" t="s">
        <v>293</v>
      </c>
      <c r="B3" s="676"/>
      <c r="C3" s="692" t="str">
        <f>LongTest!C4</f>
        <v>충청남도 예산군 대술면 마전리 820번지</v>
      </c>
      <c r="D3" s="693"/>
      <c r="E3" s="693"/>
      <c r="F3" s="693"/>
      <c r="G3" s="693"/>
      <c r="H3" s="694"/>
      <c r="I3" s="223" t="str">
        <f>Input!I54</f>
        <v>W-1</v>
      </c>
      <c r="J3" s="224" t="s">
        <v>319</v>
      </c>
    </row>
    <row r="4" spans="1:10" ht="24.95" customHeight="1">
      <c r="A4" s="675" t="s">
        <v>294</v>
      </c>
      <c r="B4" s="676"/>
      <c r="C4" s="678">
        <f>LongTest!C10</f>
        <v>45726.430555555555</v>
      </c>
      <c r="D4" s="679"/>
      <c r="E4" s="679"/>
      <c r="F4" s="679"/>
      <c r="G4" s="679"/>
      <c r="H4" s="679"/>
      <c r="I4" s="679"/>
      <c r="J4" s="680"/>
    </row>
    <row r="5" spans="1:10" ht="24.95" customHeight="1">
      <c r="A5" s="675" t="s">
        <v>295</v>
      </c>
      <c r="B5" s="676"/>
      <c r="C5" s="678">
        <f>C55</f>
        <v>45727.430555555555</v>
      </c>
      <c r="D5" s="679"/>
      <c r="E5" s="679"/>
      <c r="F5" s="679"/>
      <c r="G5" s="679"/>
      <c r="H5" s="679"/>
      <c r="I5" s="679"/>
      <c r="J5" s="680"/>
    </row>
    <row r="6" spans="1:10" ht="24.95" customHeight="1">
      <c r="A6" s="675" t="s">
        <v>291</v>
      </c>
      <c r="B6" s="676"/>
      <c r="C6" s="681" t="str">
        <f>LongTest!C5</f>
        <v>다다건설(주)</v>
      </c>
      <c r="D6" s="682"/>
      <c r="E6" s="682"/>
      <c r="F6" s="682"/>
      <c r="G6" s="682"/>
      <c r="H6" s="682"/>
      <c r="I6" s="682"/>
      <c r="J6" s="683"/>
    </row>
    <row r="7" spans="1:10" ht="24.95" customHeight="1">
      <c r="A7" s="675" t="s">
        <v>296</v>
      </c>
      <c r="B7" s="676"/>
      <c r="C7" s="677" t="s">
        <v>323</v>
      </c>
      <c r="D7" s="676"/>
      <c r="E7" s="225">
        <f>LongTest!C6</f>
        <v>7.5</v>
      </c>
      <c r="F7" s="225" t="s">
        <v>297</v>
      </c>
      <c r="G7" s="225" t="s">
        <v>325</v>
      </c>
      <c r="H7" s="677">
        <f>Input!I50</f>
        <v>48</v>
      </c>
      <c r="I7" s="676"/>
      <c r="J7" s="226" t="s">
        <v>298</v>
      </c>
    </row>
    <row r="8" spans="1:10" ht="24.95" customHeight="1">
      <c r="A8" s="675" t="s">
        <v>299</v>
      </c>
      <c r="B8" s="676"/>
      <c r="C8" s="677" t="s">
        <v>324</v>
      </c>
      <c r="D8" s="676"/>
      <c r="E8" s="225">
        <f>LongTest!D7</f>
        <v>250</v>
      </c>
      <c r="F8" s="225" t="s">
        <v>300</v>
      </c>
      <c r="G8" s="225" t="s">
        <v>301</v>
      </c>
      <c r="H8" s="677">
        <f>LongTest!G7</f>
        <v>158</v>
      </c>
      <c r="I8" s="676"/>
      <c r="J8" s="226" t="s">
        <v>298</v>
      </c>
    </row>
    <row r="9" spans="1:10" ht="24.95" customHeight="1">
      <c r="A9" s="675" t="s">
        <v>302</v>
      </c>
      <c r="B9" s="676"/>
      <c r="C9" s="677" t="s">
        <v>322</v>
      </c>
      <c r="D9" s="676"/>
      <c r="E9" s="225">
        <f>LongTest!D8</f>
        <v>11.35</v>
      </c>
      <c r="F9" s="225" t="s">
        <v>298</v>
      </c>
      <c r="G9" s="225" t="s">
        <v>303</v>
      </c>
      <c r="H9" s="677">
        <f>LongTest!G8</f>
        <v>38.270000000000003</v>
      </c>
      <c r="I9" s="676"/>
      <c r="J9" s="226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2">
        <v>1</v>
      </c>
      <c r="E12" s="642"/>
      <c r="F12" s="229">
        <f>LongTest!F10</f>
        <v>14.173611919746518</v>
      </c>
      <c r="G12" s="229">
        <f>LongTest!G10</f>
        <v>2.8236119197465186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2">
        <v>2</v>
      </c>
      <c r="E13" s="642"/>
      <c r="F13" s="229">
        <f>LongTest!F11</f>
        <v>16.828330176673838</v>
      </c>
      <c r="G13" s="229">
        <f>LongTest!G11</f>
        <v>5.4783301766738397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2">
        <v>3</v>
      </c>
      <c r="E14" s="642"/>
      <c r="F14" s="229">
        <f>LongTest!F12</f>
        <v>18.38124080695615</v>
      </c>
      <c r="G14" s="229">
        <f>LongTest!G12</f>
        <v>7.0312408069561521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2">
        <v>4</v>
      </c>
      <c r="E15" s="642"/>
      <c r="F15" s="229">
        <f>LongTest!F13</f>
        <v>19.483048433601155</v>
      </c>
      <c r="G15" s="229">
        <f>LongTest!G13</f>
        <v>8.1330484336011573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2">
        <v>5</v>
      </c>
      <c r="E16" s="642"/>
      <c r="F16" s="229">
        <f>LongTest!F14</f>
        <v>20.337676824516464</v>
      </c>
      <c r="G16" s="229">
        <f>LongTest!G14</f>
        <v>8.9876768245164662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2">
        <v>10</v>
      </c>
      <c r="E17" s="642"/>
      <c r="F17" s="229">
        <f>LongTest!F15</f>
        <v>22.992395081443789</v>
      </c>
      <c r="G17" s="229">
        <f>LongTest!G15</f>
        <v>11.642395081443787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2">
        <v>15</v>
      </c>
      <c r="E18" s="642"/>
      <c r="F18" s="229">
        <f>LongTest!F16</f>
        <v>24.545305711726101</v>
      </c>
      <c r="G18" s="229">
        <f>LongTest!G16</f>
        <v>13.1953057117261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2">
        <v>20</v>
      </c>
      <c r="E19" s="642"/>
      <c r="F19" s="229">
        <f>LongTest!F17</f>
        <v>25.647113338371106</v>
      </c>
      <c r="G19" s="229">
        <f>LongTest!G17</f>
        <v>14.297113338371105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2">
        <v>25</v>
      </c>
      <c r="E20" s="642"/>
      <c r="F20" s="229">
        <f>LongTest!F18</f>
        <v>26.501741729286422</v>
      </c>
      <c r="G20" s="229">
        <f>LongTest!G18</f>
        <v>15.151741729286421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2">
        <v>30</v>
      </c>
      <c r="E21" s="642"/>
      <c r="F21" s="229">
        <f>LongTest!F19</f>
        <v>27.200023968653419</v>
      </c>
      <c r="G21" s="229">
        <f>LongTest!G19</f>
        <v>15.850023968653417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2">
        <v>35</v>
      </c>
      <c r="E22" s="642"/>
      <c r="F22" s="229">
        <f>LongTest!F20</f>
        <v>27.790413189777567</v>
      </c>
      <c r="G22" s="229">
        <f>LongTest!G20</f>
        <v>16.440413189777566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2">
        <v>40</v>
      </c>
      <c r="E23" s="642"/>
      <c r="F23" s="229">
        <f>LongTest!F21</f>
        <v>28.301831595298424</v>
      </c>
      <c r="G23" s="229">
        <f>LongTest!G21</f>
        <v>16.951831595298422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2">
        <v>45</v>
      </c>
      <c r="E24" s="642"/>
      <c r="F24" s="229">
        <f>LongTest!F22</f>
        <v>28.752934598935731</v>
      </c>
      <c r="G24" s="229">
        <f>LongTest!G22</f>
        <v>17.40293459893573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2">
        <v>50</v>
      </c>
      <c r="E25" s="642"/>
      <c r="F25" s="229">
        <f>LongTest!F23</f>
        <v>29.15645998621374</v>
      </c>
      <c r="G25" s="229">
        <f>LongTest!G23</f>
        <v>17.806459986213738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2">
        <v>55</v>
      </c>
      <c r="E26" s="642"/>
      <c r="F26" s="229">
        <f>LongTest!F24</f>
        <v>29.521493101104525</v>
      </c>
      <c r="G26" s="229">
        <f>LongTest!G24</f>
        <v>18.171493101104524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2">
        <v>60</v>
      </c>
      <c r="E27" s="642"/>
      <c r="F27" s="229">
        <f>LongTest!F25</f>
        <v>29.854742225580736</v>
      </c>
      <c r="G27" s="229">
        <f>LongTest!G25</f>
        <v>18.504742225580735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2">
        <v>75</v>
      </c>
      <c r="E28" s="642"/>
      <c r="F28" s="229">
        <f>LongTest!F26</f>
        <v>30.709370616496052</v>
      </c>
      <c r="G28" s="229">
        <f>LongTest!G26</f>
        <v>19.359370616496051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2">
        <v>90</v>
      </c>
      <c r="E29" s="642"/>
      <c r="F29" s="229">
        <f>LongTest!F27</f>
        <v>31.407652855863049</v>
      </c>
      <c r="G29" s="229">
        <f>LongTest!G27</f>
        <v>20.057652855863047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2">
        <v>105</v>
      </c>
      <c r="E30" s="642"/>
      <c r="F30" s="229">
        <f>LongTest!F28</f>
        <v>31.99804207698719</v>
      </c>
      <c r="G30" s="229">
        <f>LongTest!G28</f>
        <v>20.648042076987188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2">
        <v>120</v>
      </c>
      <c r="E31" s="642"/>
      <c r="F31" s="229">
        <f>LongTest!F29</f>
        <v>32.509460482508054</v>
      </c>
      <c r="G31" s="229">
        <f>LongTest!G29</f>
        <v>21.159460482508052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2">
        <v>140</v>
      </c>
      <c r="E32" s="642"/>
      <c r="F32" s="229">
        <f>LongTest!F30</f>
        <v>33.099849703632195</v>
      </c>
      <c r="G32" s="229">
        <f>LongTest!G30</f>
        <v>21.749849703632194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2">
        <v>160</v>
      </c>
      <c r="E33" s="642"/>
      <c r="F33" s="229">
        <f>LongTest!F31</f>
        <v>33.611268109153059</v>
      </c>
      <c r="G33" s="229">
        <f>LongTest!G31</f>
        <v>22.261268109153058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2">
        <v>180</v>
      </c>
      <c r="E34" s="642"/>
      <c r="F34" s="229">
        <f>LongTest!F32</f>
        <v>34.062371112790366</v>
      </c>
      <c r="G34" s="229">
        <f>LongTest!G32</f>
        <v>22.712371112790365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2">
        <v>240</v>
      </c>
      <c r="E35" s="642"/>
      <c r="F35" s="229">
        <f>LongTest!F33</f>
        <v>35.164178739435371</v>
      </c>
      <c r="G35" s="229">
        <f>LongTest!G33</f>
        <v>23.81417873943537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2">
        <v>300</v>
      </c>
      <c r="E36" s="642"/>
      <c r="F36" s="229">
        <f>LongTest!F34</f>
        <v>36.018807130350687</v>
      </c>
      <c r="G36" s="229">
        <f>LongTest!G34</f>
        <v>24.668807130350686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2">
        <v>360</v>
      </c>
      <c r="E37" s="642"/>
      <c r="F37" s="229">
        <f>LongTest!F35</f>
        <v>36.717089369717691</v>
      </c>
      <c r="G37" s="229">
        <f>LongTest!G35</f>
        <v>25.367089369717689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2">
        <v>420</v>
      </c>
      <c r="E38" s="642"/>
      <c r="F38" s="229">
        <f>LongTest!F36</f>
        <v>37.307478590841825</v>
      </c>
      <c r="G38" s="229">
        <f>LongTest!G36</f>
        <v>25.957478590841824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2">
        <v>480</v>
      </c>
      <c r="E39" s="642"/>
      <c r="F39" s="229">
        <f>LongTest!F37</f>
        <v>37.818896996362696</v>
      </c>
      <c r="G39" s="229">
        <f>LongTest!G37</f>
        <v>26.468896996362695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2">
        <v>540</v>
      </c>
      <c r="E40" s="642"/>
      <c r="F40" s="229">
        <f>LongTest!F38</f>
        <v>38.270000000000003</v>
      </c>
      <c r="G40" s="229">
        <f>LongTest!G38</f>
        <v>26.92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2">
        <v>600</v>
      </c>
      <c r="E41" s="642"/>
      <c r="F41" s="229">
        <f>LongTest!F39</f>
        <v>38.270000000000003</v>
      </c>
      <c r="G41" s="229">
        <f>LongTest!G39</f>
        <v>26.92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2">
        <v>660</v>
      </c>
      <c r="E42" s="642"/>
      <c r="F42" s="229">
        <f>LongTest!F40</f>
        <v>38.270000000000003</v>
      </c>
      <c r="G42" s="229">
        <f>LongTest!G40</f>
        <v>26.92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2">
        <v>720</v>
      </c>
      <c r="E43" s="642"/>
      <c r="F43" s="229">
        <f>LongTest!F41</f>
        <v>38.270000000000003</v>
      </c>
      <c r="G43" s="229">
        <f>LongTest!G41</f>
        <v>26.92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2">
        <v>780</v>
      </c>
      <c r="E44" s="642"/>
      <c r="F44" s="225">
        <f>LongTest!F42</f>
        <v>38.270000000000003</v>
      </c>
      <c r="G44" s="225">
        <f>LongTest!G42</f>
        <v>26.92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2">
        <v>840</v>
      </c>
      <c r="E45" s="642"/>
      <c r="F45" s="225">
        <f>LongTest!F43</f>
        <v>38.270000000000003</v>
      </c>
      <c r="G45" s="225">
        <f>LongTest!G43</f>
        <v>26.92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2">
        <v>900</v>
      </c>
      <c r="E46" s="642"/>
      <c r="F46" s="225">
        <f>LongTest!F44</f>
        <v>38.270000000000003</v>
      </c>
      <c r="G46" s="225">
        <f>LongTest!G44</f>
        <v>26.92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2">
        <v>960</v>
      </c>
      <c r="E47" s="642"/>
      <c r="F47" s="225">
        <f>LongTest!F45</f>
        <v>38.270000000000003</v>
      </c>
      <c r="G47" s="225">
        <f>LongTest!G45</f>
        <v>26.92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2">
        <v>1020</v>
      </c>
      <c r="E48" s="642"/>
      <c r="F48" s="225">
        <f>LongTest!F46</f>
        <v>38.270000000000003</v>
      </c>
      <c r="G48" s="225">
        <f>LongTest!G46</f>
        <v>26.92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2">
        <v>1080</v>
      </c>
      <c r="E49" s="642"/>
      <c r="F49" s="225">
        <f>LongTest!F47</f>
        <v>38.270000000000003</v>
      </c>
      <c r="G49" s="225">
        <f>LongTest!G47</f>
        <v>26.92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2">
        <v>1140</v>
      </c>
      <c r="E50" s="642"/>
      <c r="F50" s="225">
        <f>LongTest!F48</f>
        <v>38.270000000000003</v>
      </c>
      <c r="G50" s="225">
        <f>LongTest!G48</f>
        <v>26.92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2">
        <v>1200</v>
      </c>
      <c r="E51" s="642"/>
      <c r="F51" s="225">
        <f>LongTest!F49</f>
        <v>38.270000000000003</v>
      </c>
      <c r="G51" s="225">
        <f>LongTest!G49</f>
        <v>26.92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2">
        <v>1260</v>
      </c>
      <c r="E52" s="642"/>
      <c r="F52" s="225">
        <f>LongTest!F50</f>
        <v>38.270000000000003</v>
      </c>
      <c r="G52" s="225">
        <f>LongTest!G50</f>
        <v>26.92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2">
        <v>1320</v>
      </c>
      <c r="E53" s="642"/>
      <c r="F53" s="225">
        <f>LongTest!F51</f>
        <v>38.270000000000003</v>
      </c>
      <c r="G53" s="225">
        <f>LongTest!G51</f>
        <v>26.92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2">
        <v>1380</v>
      </c>
      <c r="E54" s="642"/>
      <c r="F54" s="225">
        <f>LongTest!F52</f>
        <v>38.270000000000003</v>
      </c>
      <c r="G54" s="225">
        <f>LongTest!G52</f>
        <v>26.92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2">
        <v>1440</v>
      </c>
      <c r="E55" s="642"/>
      <c r="F55" s="225">
        <f>LongTest!F53</f>
        <v>38.270000000000003</v>
      </c>
      <c r="G55" s="225">
        <f>LongTest!G53</f>
        <v>26.92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3"/>
      <c r="E56" s="674"/>
      <c r="F56" s="225"/>
      <c r="G56" s="225"/>
      <c r="H56" s="225"/>
      <c r="I56" s="225"/>
      <c r="J56" s="226"/>
    </row>
    <row r="57" spans="1:10" ht="24.95" customHeight="1" thickBot="1">
      <c r="A57" s="670" t="s">
        <v>321</v>
      </c>
      <c r="B57" s="671"/>
      <c r="C57" s="671"/>
      <c r="D57" s="671"/>
      <c r="E57" s="671"/>
      <c r="F57" s="671"/>
      <c r="G57" s="671"/>
      <c r="H57" s="671"/>
      <c r="I57" s="671"/>
      <c r="J57" s="67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354</v>
      </c>
      <c r="B4" s="629"/>
      <c r="C4" s="630">
        <f>장기14!C55</f>
        <v>45727.430555555555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353</v>
      </c>
      <c r="B5" s="629"/>
      <c r="C5" s="630">
        <f>C31</f>
        <v>45727.513888888891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38.270000000000003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6">
        <v>1</v>
      </c>
      <c r="E12" s="643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6">
        <v>2</v>
      </c>
      <c r="E13" s="643"/>
      <c r="F13" s="216">
        <f>LongTest!F79</f>
        <v>26.73021109021095</v>
      </c>
      <c r="G13" s="216">
        <f>LongTest!G79</f>
        <v>15.380211090210949</v>
      </c>
      <c r="H13" s="616"/>
      <c r="I13" s="617"/>
      <c r="J13" s="618"/>
    </row>
    <row r="14" spans="1:10" ht="24.95" customHeight="1">
      <c r="A14" s="238"/>
      <c r="B14" s="215"/>
      <c r="C14" s="215">
        <f t="shared" si="0"/>
        <v>45727.432638888888</v>
      </c>
      <c r="D14" s="616">
        <v>3</v>
      </c>
      <c r="E14" s="643"/>
      <c r="F14" s="216">
        <f>LongTest!F80</f>
        <v>25.283494305486641</v>
      </c>
      <c r="G14" s="216">
        <f>LongTest!G80</f>
        <v>13.93349430548664</v>
      </c>
      <c r="H14" s="616"/>
      <c r="I14" s="617"/>
      <c r="J14" s="618"/>
    </row>
    <row r="15" spans="1:10" ht="24.95" customHeight="1">
      <c r="A15" s="238"/>
      <c r="B15" s="215"/>
      <c r="C15" s="215">
        <f t="shared" si="0"/>
        <v>45727.433333333334</v>
      </c>
      <c r="D15" s="616">
        <v>4</v>
      </c>
      <c r="E15" s="643"/>
      <c r="F15" s="216">
        <f>LongTest!F81</f>
        <v>23.972860793152201</v>
      </c>
      <c r="G15" s="216">
        <f>LongTest!G81</f>
        <v>12.622860793152199</v>
      </c>
      <c r="H15" s="616"/>
      <c r="I15" s="617"/>
      <c r="J15" s="618"/>
    </row>
    <row r="16" spans="1:10" ht="24.95" customHeight="1">
      <c r="A16" s="238"/>
      <c r="B16" s="215"/>
      <c r="C16" s="215">
        <f t="shared" si="0"/>
        <v>45727.434027777774</v>
      </c>
      <c r="D16" s="616">
        <v>5</v>
      </c>
      <c r="E16" s="643"/>
      <c r="F16" s="216">
        <f>LongTest!F82</f>
        <v>22.785510081671077</v>
      </c>
      <c r="G16" s="216">
        <f>LongTest!G82</f>
        <v>11.435510081671076</v>
      </c>
      <c r="H16" s="616"/>
      <c r="I16" s="617"/>
      <c r="J16" s="618"/>
    </row>
    <row r="17" spans="1:10" ht="24.95" customHeight="1">
      <c r="A17" s="238"/>
      <c r="B17" s="215"/>
      <c r="C17" s="215">
        <f t="shared" si="0"/>
        <v>45727.4375</v>
      </c>
      <c r="D17" s="616">
        <v>10</v>
      </c>
      <c r="E17" s="643"/>
      <c r="F17" s="216">
        <f>LongTest!F83</f>
        <v>19.852542004201268</v>
      </c>
      <c r="G17" s="216">
        <f>LongTest!G83</f>
        <v>8.5025420042012705</v>
      </c>
      <c r="H17" s="616"/>
      <c r="I17" s="617"/>
      <c r="J17" s="618"/>
    </row>
    <row r="18" spans="1:10" ht="24.95" customHeight="1">
      <c r="A18" s="238"/>
      <c r="B18" s="215"/>
      <c r="C18" s="215">
        <f t="shared" si="0"/>
        <v>45727.440972222219</v>
      </c>
      <c r="D18" s="616">
        <v>15</v>
      </c>
      <c r="E18" s="643"/>
      <c r="F18" s="216">
        <f>LongTest!F84</f>
        <v>19.310627178404037</v>
      </c>
      <c r="G18" s="216">
        <f>LongTest!G84</f>
        <v>7.960627178404037</v>
      </c>
      <c r="H18" s="616"/>
      <c r="I18" s="617"/>
      <c r="J18" s="618"/>
    </row>
    <row r="19" spans="1:10" ht="24.95" customHeight="1">
      <c r="A19" s="238"/>
      <c r="B19" s="215"/>
      <c r="C19" s="215">
        <f t="shared" si="0"/>
        <v>45727.444444444445</v>
      </c>
      <c r="D19" s="616">
        <v>20</v>
      </c>
      <c r="E19" s="643"/>
      <c r="F19" s="216">
        <f>LongTest!F85</f>
        <v>17.883453156773275</v>
      </c>
      <c r="G19" s="216">
        <f>LongTest!G85</f>
        <v>6.5334531567732759</v>
      </c>
      <c r="H19" s="616"/>
      <c r="I19" s="617"/>
      <c r="J19" s="618"/>
    </row>
    <row r="20" spans="1:10" ht="24.95" customHeight="1">
      <c r="A20" s="238"/>
      <c r="B20" s="215"/>
      <c r="C20" s="215">
        <f t="shared" si="0"/>
        <v>45727.447916666664</v>
      </c>
      <c r="D20" s="616">
        <v>25</v>
      </c>
      <c r="E20" s="643"/>
      <c r="F20" s="216">
        <f>LongTest!F86</f>
        <v>17.268893558814966</v>
      </c>
      <c r="G20" s="216">
        <f>LongTest!G86</f>
        <v>5.9188935588149674</v>
      </c>
      <c r="H20" s="616"/>
      <c r="I20" s="617"/>
      <c r="J20" s="618"/>
    </row>
    <row r="21" spans="1:10" ht="24.95" customHeight="1">
      <c r="A21" s="238"/>
      <c r="B21" s="215"/>
      <c r="C21" s="215">
        <f t="shared" si="0"/>
        <v>45727.451388888891</v>
      </c>
      <c r="D21" s="616">
        <v>30</v>
      </c>
      <c r="E21" s="643"/>
      <c r="F21" s="216">
        <f>LongTest!F87</f>
        <v>16.71214159954021</v>
      </c>
      <c r="G21" s="216">
        <f>LongTest!G87</f>
        <v>5.3621415995402115</v>
      </c>
      <c r="H21" s="616"/>
      <c r="I21" s="617"/>
      <c r="J21" s="618"/>
    </row>
    <row r="22" spans="1:10" ht="24.95" customHeight="1">
      <c r="A22" s="238"/>
      <c r="B22" s="215"/>
      <c r="C22" s="215">
        <f t="shared" si="0"/>
        <v>45727.454861111109</v>
      </c>
      <c r="D22" s="616">
        <v>35</v>
      </c>
      <c r="E22" s="643"/>
      <c r="F22" s="216">
        <f>LongTest!F88</f>
        <v>16.53844870842914</v>
      </c>
      <c r="G22" s="216">
        <f>LongTest!G88</f>
        <v>5.1884487084291395</v>
      </c>
      <c r="H22" s="616"/>
      <c r="I22" s="617"/>
      <c r="J22" s="618"/>
    </row>
    <row r="23" spans="1:10" ht="24.95" customHeight="1">
      <c r="A23" s="238"/>
      <c r="B23" s="215"/>
      <c r="C23" s="215">
        <f t="shared" si="0"/>
        <v>45727.458333333336</v>
      </c>
      <c r="D23" s="616">
        <v>40</v>
      </c>
      <c r="E23" s="643"/>
      <c r="F23" s="216">
        <f>LongTest!F89</f>
        <v>16.370382155202378</v>
      </c>
      <c r="G23" s="216">
        <f>LongTest!G89</f>
        <v>5.0203821552023769</v>
      </c>
      <c r="H23" s="616"/>
      <c r="I23" s="617"/>
      <c r="J23" s="618"/>
    </row>
    <row r="24" spans="1:10" ht="24.95" customHeight="1">
      <c r="A24" s="238"/>
      <c r="B24" s="215"/>
      <c r="C24" s="215">
        <f t="shared" si="0"/>
        <v>45727.461805555555</v>
      </c>
      <c r="D24" s="616">
        <v>45</v>
      </c>
      <c r="E24" s="643"/>
      <c r="F24" s="216">
        <f>LongTest!F90</f>
        <v>16.207759689004487</v>
      </c>
      <c r="G24" s="216">
        <f>LongTest!G90</f>
        <v>4.8577596890044861</v>
      </c>
      <c r="H24" s="616"/>
      <c r="I24" s="617"/>
      <c r="J24" s="618"/>
    </row>
    <row r="25" spans="1:10" ht="24.95" customHeight="1">
      <c r="A25" s="238"/>
      <c r="B25" s="215"/>
      <c r="C25" s="215">
        <f t="shared" si="0"/>
        <v>45727.465277777774</v>
      </c>
      <c r="D25" s="616">
        <v>50</v>
      </c>
      <c r="E25" s="643"/>
      <c r="F25" s="216">
        <f>LongTest!F91</f>
        <v>16.050404962531324</v>
      </c>
      <c r="G25" s="216">
        <f>LongTest!G91</f>
        <v>4.7004049625313247</v>
      </c>
      <c r="H25" s="616"/>
      <c r="I25" s="617"/>
      <c r="J25" s="618"/>
    </row>
    <row r="26" spans="1:10" ht="24.95" customHeight="1">
      <c r="A26" s="238"/>
      <c r="B26" s="215"/>
      <c r="C26" s="215">
        <f t="shared" si="0"/>
        <v>45727.46875</v>
      </c>
      <c r="D26" s="616">
        <v>55</v>
      </c>
      <c r="E26" s="643"/>
      <c r="F26" s="216">
        <f>LongTest!F92</f>
        <v>15.898147340799571</v>
      </c>
      <c r="G26" s="216">
        <f>LongTest!G92</f>
        <v>4.5481473407995727</v>
      </c>
      <c r="H26" s="616"/>
      <c r="I26" s="617"/>
      <c r="J26" s="618"/>
    </row>
    <row r="27" spans="1:10" ht="24.95" customHeight="1">
      <c r="A27" s="238"/>
      <c r="B27" s="215"/>
      <c r="C27" s="215">
        <f t="shared" si="0"/>
        <v>45727.472222222219</v>
      </c>
      <c r="D27" s="616">
        <v>60</v>
      </c>
      <c r="E27" s="643"/>
      <c r="F27" s="216">
        <f>LongTest!F93</f>
        <v>15.75082171611067</v>
      </c>
      <c r="G27" s="216">
        <f>LongTest!G93</f>
        <v>4.40082171611067</v>
      </c>
      <c r="H27" s="616"/>
      <c r="I27" s="617"/>
      <c r="J27" s="618"/>
    </row>
    <row r="28" spans="1:10" ht="24.95" customHeight="1">
      <c r="A28" s="238"/>
      <c r="B28" s="215"/>
      <c r="C28" s="215">
        <f t="shared" si="0"/>
        <v>45727.482638888891</v>
      </c>
      <c r="D28" s="616">
        <v>75</v>
      </c>
      <c r="E28" s="643"/>
      <c r="F28" s="216">
        <f>LongTest!F94</f>
        <v>15.608268329008549</v>
      </c>
      <c r="G28" s="216">
        <f>LongTest!G94</f>
        <v>4.2582683290085486</v>
      </c>
      <c r="H28" s="616"/>
      <c r="I28" s="617"/>
      <c r="J28" s="618"/>
    </row>
    <row r="29" spans="1:10" ht="24.95" customHeight="1">
      <c r="A29" s="238"/>
      <c r="B29" s="215"/>
      <c r="C29" s="215">
        <f t="shared" si="0"/>
        <v>45727.493055555555</v>
      </c>
      <c r="D29" s="616">
        <v>90</v>
      </c>
      <c r="E29" s="643"/>
      <c r="F29" s="216">
        <f>LongTest!F95</f>
        <v>15.470332595036952</v>
      </c>
      <c r="G29" s="216">
        <f>LongTest!G95</f>
        <v>4.1203325950369525</v>
      </c>
      <c r="H29" s="616"/>
      <c r="I29" s="617"/>
      <c r="J29" s="618"/>
    </row>
    <row r="30" spans="1:10" ht="24.95" customHeight="1">
      <c r="A30" s="238"/>
      <c r="B30" s="215"/>
      <c r="C30" s="215">
        <f t="shared" si="0"/>
        <v>45727.503472222219</v>
      </c>
      <c r="D30" s="616">
        <v>105</v>
      </c>
      <c r="E30" s="643"/>
      <c r="F30" s="216">
        <f>LongTest!F96</f>
        <v>15.336864937108539</v>
      </c>
      <c r="G30" s="216">
        <f>LongTest!G96</f>
        <v>3.9868649371085385</v>
      </c>
      <c r="H30" s="616"/>
      <c r="I30" s="617"/>
      <c r="J30" s="618"/>
    </row>
    <row r="31" spans="1:10" ht="24.95" customHeight="1">
      <c r="A31" s="238"/>
      <c r="B31" s="215"/>
      <c r="C31" s="215">
        <f t="shared" si="0"/>
        <v>45727.513888888891</v>
      </c>
      <c r="D31" s="616">
        <v>120</v>
      </c>
      <c r="E31" s="643"/>
      <c r="F31" s="216">
        <f>LongTest!F97</f>
        <v>14.961846389631328</v>
      </c>
      <c r="G31" s="216">
        <f>LongTest!G97</f>
        <v>3.6118463896313284</v>
      </c>
      <c r="H31" s="616" t="s">
        <v>326</v>
      </c>
      <c r="I31" s="617"/>
      <c r="J31" s="618"/>
    </row>
    <row r="32" spans="1:10" ht="24.95" customHeight="1">
      <c r="A32" s="238"/>
      <c r="B32" s="215"/>
      <c r="C32" s="215"/>
      <c r="D32" s="616"/>
      <c r="E32" s="643"/>
      <c r="F32" s="216"/>
      <c r="G32" s="216"/>
      <c r="H32" s="616"/>
      <c r="I32" s="617"/>
      <c r="J32" s="618"/>
    </row>
    <row r="33" spans="1:10" ht="24.95" customHeight="1">
      <c r="A33" s="238"/>
      <c r="B33" s="215"/>
      <c r="C33" s="215"/>
      <c r="D33" s="616"/>
      <c r="E33" s="643"/>
      <c r="F33" s="216"/>
      <c r="G33" s="216"/>
      <c r="H33" s="616"/>
      <c r="I33" s="617"/>
      <c r="J33" s="618"/>
    </row>
    <row r="34" spans="1:10" ht="24.95" customHeight="1">
      <c r="A34" s="238"/>
      <c r="B34" s="215"/>
      <c r="C34" s="215"/>
      <c r="D34" s="616"/>
      <c r="E34" s="643"/>
      <c r="F34" s="216"/>
      <c r="G34" s="216"/>
      <c r="H34" s="616"/>
      <c r="I34" s="617"/>
      <c r="J34" s="618"/>
    </row>
    <row r="35" spans="1:10" ht="24.95" customHeight="1" thickBot="1">
      <c r="A35" s="242"/>
      <c r="B35" s="243"/>
      <c r="C35" s="243"/>
      <c r="D35" s="619"/>
      <c r="E35" s="644"/>
      <c r="F35" s="244"/>
      <c r="G35" s="244"/>
      <c r="H35" s="619"/>
      <c r="I35" s="620"/>
      <c r="J35" s="62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zoomScaleNormal="100" workbookViewId="0">
      <selection activeCell="H8" sqref="H8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7" t="s">
        <v>207</v>
      </c>
      <c r="C12" s="698"/>
      <c r="D12" s="697" t="str">
        <f>C4</f>
        <v>W-1</v>
      </c>
      <c r="E12" s="699"/>
      <c r="F12" s="698"/>
      <c r="H12" s="700" t="str">
        <f>C4</f>
        <v>W-1</v>
      </c>
      <c r="I12" s="701"/>
      <c r="J12" s="702"/>
      <c r="L12"/>
      <c r="M12"/>
      <c r="N12"/>
      <c r="O12"/>
      <c r="P12"/>
      <c r="Q12"/>
    </row>
    <row r="13" spans="2:17" s="4" customFormat="1" ht="26.1" customHeight="1">
      <c r="B13" s="534" t="s">
        <v>203</v>
      </c>
      <c r="C13" s="535" t="s">
        <v>208</v>
      </c>
      <c r="D13" s="536" t="s">
        <v>209</v>
      </c>
      <c r="E13" s="537" t="s">
        <v>210</v>
      </c>
      <c r="F13" s="535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41"/>
      <c r="N21"/>
      <c r="O21" s="541"/>
      <c r="P21" s="542"/>
      <c r="Q21" s="543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41"/>
      <c r="P22" s="542"/>
      <c r="Q22" s="543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41"/>
      <c r="P23" s="542"/>
      <c r="Q23" s="543"/>
    </row>
    <row r="24" spans="2:17" s="49" customFormat="1" ht="26.1" customHeight="1">
      <c r="B24" s="703" t="s">
        <v>79</v>
      </c>
      <c r="C24" s="704"/>
      <c r="D24" s="536">
        <f>MAX(D14:D23)</f>
        <v>15.700000000000001</v>
      </c>
      <c r="E24" s="537">
        <f t="shared" ref="E24:F24" si="4">MAX(E14:E23)</f>
        <v>216</v>
      </c>
      <c r="F24" s="535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3" t="s">
        <v>212</v>
      </c>
      <c r="C25" s="704"/>
      <c r="D25" s="536">
        <f>MIN(D14:D23)</f>
        <v>15.1</v>
      </c>
      <c r="E25" s="537">
        <f t="shared" ref="E25:F25" si="5">MIN(E14:E23)</f>
        <v>210</v>
      </c>
      <c r="F25" s="535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5" t="s">
        <v>213</v>
      </c>
      <c r="C26" s="696"/>
      <c r="D26" s="538">
        <f>D24-D25</f>
        <v>0.60000000000000142</v>
      </c>
      <c r="E26" s="539">
        <f t="shared" ref="E26:F26" si="6">E24-E25</f>
        <v>6</v>
      </c>
      <c r="F26" s="540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2025-04-29T04:56:36Z</dcterms:modified>
</cp:coreProperties>
</file>