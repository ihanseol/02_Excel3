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A6370BF-7450-42AA-9952-CFF94EC05FBD}" xr6:coauthVersionLast="47" xr6:coauthVersionMax="47" xr10:uidLastSave="{00000000-0000-0000-0000-000000000000}"/>
  <bookViews>
    <workbookView xWindow="38280" yWindow="-120" windowWidth="38640" windowHeight="211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J1440" sheetId="22" state="hidden" r:id="rId19"/>
    <sheet name="R120" sheetId="23" state="hidden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11" l="1"/>
  <c r="E23" i="11"/>
  <c r="D23" i="11"/>
  <c r="B23" i="11"/>
  <c r="F22" i="11"/>
  <c r="E22" i="11"/>
  <c r="D22" i="11"/>
  <c r="B22" i="11"/>
  <c r="F21" i="11"/>
  <c r="E21" i="11"/>
  <c r="D21" i="11"/>
  <c r="B21" i="11"/>
  <c r="A27" i="9"/>
  <c r="A27" i="22"/>
  <c r="A28" i="23"/>
  <c r="A28" i="10"/>
  <c r="A31" i="23" l="1"/>
  <c r="B24" i="23"/>
  <c r="A19" i="23"/>
  <c r="A18" i="23"/>
  <c r="A15" i="23"/>
  <c r="A27" i="23" s="1"/>
  <c r="A7" i="23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9" i="22"/>
  <c r="A18" i="22"/>
  <c r="A15" i="22"/>
  <c r="A26" i="22" s="1"/>
  <c r="A7" i="22"/>
  <c r="C5" i="15"/>
  <c r="C5" i="20"/>
  <c r="E21" i="2"/>
  <c r="D23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<sst xmlns="http://schemas.openxmlformats.org/spreadsheetml/2006/main" count="1440" uniqueCount="355">
  <si>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</si>
  <si>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</si>
  <si>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</si>
  <si>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</si>
  <si>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</si>
  <si>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</si>
  <si>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</si>
  <si>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</si>
  <si>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</si>
  <si>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</si>
  <si>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</si>
  <si>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</si>
  <si>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</si>
  <si>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</si>
  <si>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</si>
  <si>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</si>
  <si>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</si>
  <si>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</si>
  <si>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</si>
  <si>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</si>
  <si>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</si>
  <si>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</si>
  <si>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</si>
  <si>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</si>
  <si>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</si>
  <si>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</si>
  <si>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</si>
  <si>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</si>
  <si>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</si>
  <si>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</si>
  <si>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</si>
  <si>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</si>
  <si>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</si>
  <si>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</si>
  <si>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</si>
  <si>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</si>
  <si>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</si>
  <si>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</si>
  <si>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</si>
  <si>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</si>
  <si>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</si>
  <si>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</si>
  <si>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</si>
  <si>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</si>
  <si>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</si>
  <si>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</si>
  <si>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</si>
  <si>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</si>
  <si>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</si>
  <si>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</si>
  <si>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</si>
  <si>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</si>
  <si>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</si>
  <si>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</si>
  <si>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</si>
  <si>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</si>
  <si>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</si>
  <si>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</si>
  <si>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</si>
  <si>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</si>
  <si>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</si>
  <si>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</si>
  <si>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</si>
  <si>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</si>
  <si>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</si>
  <si>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</si>
  <si>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</si>
  <si>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</si>
  <si>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</si>
  <si>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</si>
  <si>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</si>
  <si>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</si>
  <si>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</si>
  <si>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</si>
  <si>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</si>
  <si>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</si>
  <si>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</si>
  <si>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</si>
  <si>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</si>
  <si>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</si>
  <si>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</si>
  <si>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</si>
  <si>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</si>
  <si>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</si>
  <si>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</si>
  <si>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</si>
  <si>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</si>
  <si>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</si>
  <si>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</si>
  <si>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</si>
  <si>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</si>
  <si>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</si>
  <si>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</si>
  <si>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</si>
  <si>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</si>
  <si>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</si>
  <si>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</si>
  <si>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</si>
  <si>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</si>
  <si>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</si>
  <si>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</si>
  <si>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</si>
  <si>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</si>
  <si>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</si>
  <si>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</si>
  <si>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</si>
  <si>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</si>
  <si>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</si>
  <si>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</si>
  <si>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</si>
  <si>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</si>
  <si>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</si>
  <si>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</si>
  <si>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</si>
  <si>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</si>
  <si>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</si>
  <si>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</si>
  <si>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</si>
  <si>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</si>
  <si>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</si>
  <si>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</si>
  <si>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</si>
  <si>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</si>
  <si>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</si>
  <si>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</si>
  <si>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</si>
  <si>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</si>
  <si>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</si>
  <si>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</si>
  <si>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</si>
  <si>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</si>
  <si>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</si>
  <si>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</si>
  <si>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</si>
  <si>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</si>
  <si>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</si>
  <si>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</si>
  <si>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</si>
  <si>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</si>
  <si>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</si>
  <si>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</si>
  <si>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</si>
  <si>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</si>
  <si>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</si>
  <si>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</si>
  <si>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</si>
  <si>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</si>
  <si>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</si>
  <si>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</si>
  <si>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</si>
  <si>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</si>
  <si>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</si>
  <si>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</si>
  <si>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</si>
  <si>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</si>
  <si>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</si>
  <si>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</si>
  <si>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</si>
  <si>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</si>
  <si>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</si>
  <si>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</si>
  <si>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</si>
  <si>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</si>
  <si>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</si>
  <si>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</si>
  <si>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</si>
  <si>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</si>
  <si>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</si>
  <si>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</si>
  <si>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</si>
  <si>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</si>
  <si>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</si>
  <si>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</si>
  <si>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</si>
  <si>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</si>
  <si>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</si>
  <si>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</si>
  <si>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</si>
  <si>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</si>
  <si>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</si>
  <si>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</si>
  <si>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</si>
  <si>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</si>
  <si>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</si>
  <si>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</si>
  <si>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</si>
  <si>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</si>
  <si>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</si>
  <si>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</si>
  <si>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</si>
  <si>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</si>
  <si>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</si>
  <si>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</si>
  <si>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</si>
  <si>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</si>
  <si>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</si>
  <si>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</si>
  <si>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</si>
  <si>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</si>
  <si>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</si>
  <si>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</si>
  <si>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</si>
  <si>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</si>
  <si>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</si>
  <si>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</si>
  <si>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</si>
  <si>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</si>
  <si>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</si>
  <si>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</si>
  <si>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</si>
  <si>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</si>
  <si>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</si>
  <si>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</si>
  <si>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</si>
  <si>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</si>
  <si>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</si>
  <si>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</si>
  <si>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</si>
  <si>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</si>
  <si>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</si>
  <si>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</si>
  <si>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</si>
  <si>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</si>
  <si>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</si>
  <si>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</si>
  <si>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</si>
  <si>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</si>
  <si>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</si>
  <si>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</si>
  <si>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</si>
  <si>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</si>
  <si>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</si>
  <si>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</si>
  <si>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</si>
  <si>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</si>
  <si>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</si>
  <si>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</si>
  <si>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</si>
  <si>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</si>
  <si>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</si>
  <si>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</si>
  <si>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</si>
  <si>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</si>
  <si>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</si>
  <si>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</si>
  <si>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</si>
  <si>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</si>
  <si>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</si>
  <si>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</si>
  <si>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</si>
  <si>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</si>
  <si>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</si>
  <si>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</si>
  <si>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</si>
  <si>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</si>
  <si>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</si>
  <si>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</si>
  <si>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</si>
  <si>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</si>
  <si>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</si>
  <si>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</si>
  <si>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</si>
  <si>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</si>
  <si>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</si>
  <si>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</si>
  <si>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</si>
  <si>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</si>
  <si>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</si>
  <si>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</si>
  <si>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</si>
  <si>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</si>
  <si>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</si>
  <si>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</si>
  <si>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</si>
  <si>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</si>
  <si>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</si>
  <si>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</si>
  <si>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</si>
  <si>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</si>
  <si>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</si>
  <si>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</si>
  <si>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</si>
  <si>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</si>
  <si>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</si>
  <si>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</si>
  <si>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</si>
  <si>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</si>
  <si>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</si>
  <si>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</si>
  <si>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</si>
  <si>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</si>
  <si>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</si>
  <si>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</si>
  <si>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</si>
  <si>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</si>
  <si>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</si>
  <si>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</si>
  <si>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</si>
  <si>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</si>
  <si>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</si>
  <si>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</si>
  <si>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</si>
  <si>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</si>
  <si>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</si>
  <si>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</si>
  <si>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</si>
  <si>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</si>
  <si>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</si>
  <si>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</si>
  <si>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</si>
  <si>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</si>
  <si>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</si>
  <si>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</si>
  <si>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</si>
  <si>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</si>
  <si>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</si>
  <si>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</si>
  <si>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</si>
  <si>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</si>
  <si>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</si>
  <si>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</si>
  <si>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</si>
  <si>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</si>
  <si>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</si>
  <si>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</si>
  <si>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</si>
  <si>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</si>
  <si>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</si>
  <si>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</si>
  <si>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</si>
  <si>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</si>
  <si>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</si>
  <si>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</si>
  <si>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</si>
  <si>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</si>
  <si>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</si>
  <si>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</si>
  <si>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</si>
  <si>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</si>
  <si>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</si>
  <si>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</si>
  <si>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</si>
  <si>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</si>
  <si>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</si>
  <si>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</si>
  <si>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</si>
  <si>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</si>
  <si>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</si>
  <si>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</si>
  <si>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</si>
  <si>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</si>
  <si>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22.58
26.33
30.54
35.24
42.40</t>
  </si>
  <si>
    <t>11.23
14.98
19.19
23.89
31.05</t>
  </si>
  <si>
    <t>11.131
10.681
10.143
9.586
8.481</t>
  </si>
  <si>
    <t>0.089840
0.093625
0.098587
0.104323
0.117904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</si>
</sst>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7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0" fontId="6" fillId="21" borderId="24" xfId="2" applyFont="1" applyFill="1" applyBorder="1" applyAlignment="1">
      <alignment horizontal="center" vertical="center"/>
    </xf>
    <xf numFmtId="0" fontId="6" fillId="21" borderId="25" xfId="2" applyFont="1" applyFill="1" applyBorder="1" applyAlignment="1">
      <alignment horizontal="center" vertical="center"/>
    </xf>
    <xf numFmtId="0" fontId="6" fillId="21" borderId="26" xfId="2" applyFont="1" applyFill="1" applyBorder="1" applyAlignment="1">
      <alignment horizontal="center" vertical="center"/>
    </xf>
    <xf numFmtId="0" fontId="6" fillId="21" borderId="3" xfId="2" applyFont="1" applyFill="1" applyBorder="1" applyAlignment="1">
      <alignment horizontal="center" vertical="center"/>
    </xf>
    <xf numFmtId="0" fontId="6" fillId="21" borderId="34" xfId="2" applyFont="1" applyFill="1" applyBorder="1" applyAlignment="1">
      <alignment horizontal="center" vertical="center"/>
    </xf>
    <xf numFmtId="0" fontId="6" fillId="21" borderId="32" xfId="2" applyFont="1" applyFill="1" applyBorder="1" applyAlignment="1">
      <alignment horizontal="center" vertical="center"/>
    </xf>
    <xf numFmtId="0" fontId="6" fillId="21" borderId="33" xfId="2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6" fillId="21" borderId="49" xfId="2" applyFont="1" applyFill="1" applyBorder="1" applyAlignment="1">
      <alignment horizontal="center" vertical="center"/>
    </xf>
    <xf numFmtId="0" fontId="6" fillId="21" borderId="50" xfId="2" applyFont="1" applyFill="1" applyBorder="1" applyAlignment="1">
      <alignment horizontal="center" vertical="center"/>
    </xf>
    <xf numFmtId="0" fontId="8" fillId="21" borderId="46" xfId="2" applyFont="1" applyFill="1" applyBorder="1" applyAlignment="1">
      <alignment horizontal="center" vertical="center"/>
    </xf>
    <xf numFmtId="0" fontId="8" fillId="21" borderId="48" xfId="2" applyFont="1" applyFill="1" applyBorder="1" applyAlignment="1">
      <alignment horizontal="center" vertical="center"/>
    </xf>
    <xf numFmtId="0" fontId="8" fillId="21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21" borderId="44" xfId="2" applyFont="1" applyFill="1" applyBorder="1" applyAlignment="1">
      <alignment horizontal="center" vertical="center"/>
    </xf>
    <xf numFmtId="0" fontId="6" fillId="21" borderId="45" xfId="2" applyFont="1" applyFill="1" applyBorder="1" applyAlignment="1">
      <alignment horizontal="center" vertical="center"/>
    </xf>
    <xf numFmtId="2" fontId="8" fillId="0" borderId="37" xfId="5" applyNumberFormat="1" applyFont="1" applyFill="1" applyBorder="1" applyAlignment="1">
      <alignment horizontal="center" vertical="center"/>
    </xf>
    <xf numFmtId="2" fontId="8" fillId="0" borderId="55" xfId="5" applyNumberFormat="1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110.91</c:v>
                </c:pt>
                <c:pt idx="1">
                  <c:v>112.09</c:v>
                </c:pt>
                <c:pt idx="2">
                  <c:v>112.96</c:v>
                </c:pt>
                <c:pt idx="3">
                  <c:v>113.57</c:v>
                </c:pt>
                <c:pt idx="4">
                  <c:v>114.05</c:v>
                </c:pt>
                <c:pt idx="5">
                  <c:v>115.53</c:v>
                </c:pt>
                <c:pt idx="6">
                  <c:v>116.39</c:v>
                </c:pt>
                <c:pt idx="7">
                  <c:v>117.01</c:v>
                </c:pt>
                <c:pt idx="8">
                  <c:v>117.49</c:v>
                </c:pt>
                <c:pt idx="9">
                  <c:v>117.87</c:v>
                </c:pt>
                <c:pt idx="10">
                  <c:v>118.2</c:v>
                </c:pt>
                <c:pt idx="11">
                  <c:v>118.49</c:v>
                </c:pt>
                <c:pt idx="12">
                  <c:v>118.74</c:v>
                </c:pt>
                <c:pt idx="13">
                  <c:v>118.97</c:v>
                </c:pt>
                <c:pt idx="14">
                  <c:v>119.17</c:v>
                </c:pt>
                <c:pt idx="15">
                  <c:v>119.35</c:v>
                </c:pt>
                <c:pt idx="16">
                  <c:v>119.83</c:v>
                </c:pt>
                <c:pt idx="17">
                  <c:v>120.22</c:v>
                </c:pt>
                <c:pt idx="18">
                  <c:v>120.55</c:v>
                </c:pt>
                <c:pt idx="19">
                  <c:v>120.84</c:v>
                </c:pt>
                <c:pt idx="20" formatCode="\ 0.00\ ">
                  <c:v>121</c:v>
                </c:pt>
                <c:pt idx="21" formatCode="\ 0.00\ ">
                  <c:v>121.15</c:v>
                </c:pt>
                <c:pt idx="22" formatCode="\ 0.00\ ">
                  <c:v>121.29</c:v>
                </c:pt>
                <c:pt idx="23" formatCode="\ 0.00\ ">
                  <c:v>121.42</c:v>
                </c:pt>
                <c:pt idx="24" formatCode="\ 0.00\ ">
                  <c:v>121.55</c:v>
                </c:pt>
                <c:pt idx="25">
                  <c:v>145</c:v>
                </c:pt>
                <c:pt idx="26" formatCode="\ 0.00\ ">
                  <c:v>145.11000000000001</c:v>
                </c:pt>
                <c:pt idx="27">
                  <c:v>149.03</c:v>
                </c:pt>
                <c:pt idx="28" formatCode="\ 0.00\ ">
                  <c:v>149.13</c:v>
                </c:pt>
                <c:pt idx="29">
                  <c:v>153.06</c:v>
                </c:pt>
                <c:pt idx="30" formatCode="\ 0.00\ ">
                  <c:v>153.12</c:v>
                </c:pt>
                <c:pt idx="31" formatCode="\ 0.00\ ">
                  <c:v>153.17000000000002</c:v>
                </c:pt>
                <c:pt idx="32" formatCode="\ 0.00\ ">
                  <c:v>153.21</c:v>
                </c:pt>
                <c:pt idx="33" formatCode="\ 0.00\ ">
                  <c:v>153.24</c:v>
                </c:pt>
                <c:pt idx="34" formatCode="\ 0.00\ ">
                  <c:v>153.26000000000002</c:v>
                </c:pt>
                <c:pt idx="35">
                  <c:v>157.09</c:v>
                </c:pt>
                <c:pt idx="36" formatCode="\ 0.00\ ">
                  <c:v>157.16</c:v>
                </c:pt>
                <c:pt idx="37" formatCode="\ 0.00\ ">
                  <c:v>157.22</c:v>
                </c:pt>
                <c:pt idx="38" formatCode="\ 0.00\ ">
                  <c:v>157.27000000000001</c:v>
                </c:pt>
                <c:pt idx="39">
                  <c:v>161.12</c:v>
                </c:pt>
                <c:pt idx="40" formatCode="\ 0.00\ ">
                  <c:v>161.30000000000001</c:v>
                </c:pt>
                <c:pt idx="41" formatCode="\ 0.00\ ">
                  <c:v>161.46</c:v>
                </c:pt>
                <c:pt idx="42" formatCode="\ 0.00\ ">
                  <c:v>161.61000000000001</c:v>
                </c:pt>
                <c:pt idx="43" formatCode="\ 0.00\ ">
                  <c:v>161.75</c:v>
                </c:pt>
                <c:pt idx="44" formatCode="\ 0.00\ ">
                  <c:v>161.88</c:v>
                </c:pt>
                <c:pt idx="45">
                  <c:v>188.3</c:v>
                </c:pt>
                <c:pt idx="46" formatCode="\ 0.00\ ">
                  <c:v>188.41000000000003</c:v>
                </c:pt>
                <c:pt idx="47">
                  <c:v>192.83</c:v>
                </c:pt>
                <c:pt idx="48" formatCode="\ 0.00\ ">
                  <c:v>192.94000000000003</c:v>
                </c:pt>
                <c:pt idx="49">
                  <c:v>197.36</c:v>
                </c:pt>
                <c:pt idx="50" formatCode="\ 0.00\ ">
                  <c:v>197.43</c:v>
                </c:pt>
                <c:pt idx="51" formatCode="\ 0.00\ ">
                  <c:v>197.48000000000002</c:v>
                </c:pt>
                <c:pt idx="52" formatCode="\ 0.00\ ">
                  <c:v>197.52</c:v>
                </c:pt>
                <c:pt idx="53" formatCode="\ 0.00\ ">
                  <c:v>197.55</c:v>
                </c:pt>
                <c:pt idx="54" formatCode="\ 0.00\ ">
                  <c:v>197.57000000000002</c:v>
                </c:pt>
                <c:pt idx="55">
                  <c:v>201.89</c:v>
                </c:pt>
                <c:pt idx="56" formatCode="\ 0.00\ ">
                  <c:v>201.97</c:v>
                </c:pt>
                <c:pt idx="57" formatCode="\ 0.00\ ">
                  <c:v>202.03</c:v>
                </c:pt>
                <c:pt idx="58" formatCode="\ 0.00\ ">
                  <c:v>202.08</c:v>
                </c:pt>
                <c:pt idx="59">
                  <c:v>206.43</c:v>
                </c:pt>
                <c:pt idx="60" formatCode="\ 0.00\ ">
                  <c:v>206.62</c:v>
                </c:pt>
                <c:pt idx="61" formatCode="\ 0.00\ ">
                  <c:v>206.79</c:v>
                </c:pt>
                <c:pt idx="62" formatCode="\ 0.00\ ">
                  <c:v>206.95</c:v>
                </c:pt>
                <c:pt idx="63" formatCode="\ 0.00\ ">
                  <c:v>207.1</c:v>
                </c:pt>
                <c:pt idx="64" formatCode="\ 0.00\ ">
                  <c:v>207.23999999999998</c:v>
                </c:pt>
                <c:pt idx="65">
                  <c:v>236.7</c:v>
                </c:pt>
                <c:pt idx="66" formatCode="\ 0.00\ ">
                  <c:v>236.82</c:v>
                </c:pt>
                <c:pt idx="67" formatCode="\ 0.00\ ">
                  <c:v>241.75</c:v>
                </c:pt>
                <c:pt idx="68" formatCode="\ 0.00\ ">
                  <c:v>241.87</c:v>
                </c:pt>
                <c:pt idx="69" formatCode="\ 0.00\ ">
                  <c:v>246.79</c:v>
                </c:pt>
                <c:pt idx="70" formatCode="\ 0.00\ ">
                  <c:v>246.85999999999999</c:v>
                </c:pt>
                <c:pt idx="71" formatCode="\ 0.00\ ">
                  <c:v>246.91</c:v>
                </c:pt>
                <c:pt idx="72" formatCode="\ 0.00\ ">
                  <c:v>246.95</c:v>
                </c:pt>
                <c:pt idx="73" formatCode="\ 0.00\ ">
                  <c:v>246.98</c:v>
                </c:pt>
                <c:pt idx="74" formatCode="\ 0.00\ ">
                  <c:v>247.01</c:v>
                </c:pt>
                <c:pt idx="75" formatCode="\ 0.00\ ">
                  <c:v>251.84</c:v>
                </c:pt>
                <c:pt idx="76" formatCode="\ 0.00\ ">
                  <c:v>251.93</c:v>
                </c:pt>
                <c:pt idx="77" formatCode="\ 0.00\ ">
                  <c:v>252</c:v>
                </c:pt>
                <c:pt idx="78" formatCode="\ 0.00\ ">
                  <c:v>252.05</c:v>
                </c:pt>
                <c:pt idx="79" formatCode="\ 0.00\ ">
                  <c:v>256.89</c:v>
                </c:pt>
                <c:pt idx="80" formatCode="\ 0.00\ ">
                  <c:v>257.09999999999997</c:v>
                </c:pt>
                <c:pt idx="81" formatCode="\ 0.00\ ">
                  <c:v>257.28999999999996</c:v>
                </c:pt>
                <c:pt idx="82" formatCode="\ 0.00\ ">
                  <c:v>257.45999999999998</c:v>
                </c:pt>
                <c:pt idx="83" formatCode="\ 0.00\ ">
                  <c:v>257.62</c:v>
                </c:pt>
                <c:pt idx="84" formatCode="\ 0.00\ ">
                  <c:v>257.76</c:v>
                </c:pt>
                <c:pt idx="85" formatCode="\ 0.00\ ">
                  <c:v>287.70999999999998</c:v>
                </c:pt>
                <c:pt idx="86" formatCode="\ 0.00\ ">
                  <c:v>288.02</c:v>
                </c:pt>
                <c:pt idx="87" formatCode="\ 0.00\ ">
                  <c:v>299.27</c:v>
                </c:pt>
                <c:pt idx="88" formatCode="\ 0.00\ ">
                  <c:v>299.57</c:v>
                </c:pt>
                <c:pt idx="89" formatCode="\ 0.00\ ">
                  <c:v>310.83</c:v>
                </c:pt>
                <c:pt idx="90" formatCode="\ 0.00\ ">
                  <c:v>310.97999999999996</c:v>
                </c:pt>
                <c:pt idx="91" formatCode="\ 0.00\ ">
                  <c:v>311.10999999999996</c:v>
                </c:pt>
                <c:pt idx="92" formatCode="\ 0.00\ ">
                  <c:v>311.21999999999997</c:v>
                </c:pt>
                <c:pt idx="93" formatCode="\ 0.00\ ">
                  <c:v>311.29999999999995</c:v>
                </c:pt>
                <c:pt idx="94" formatCode="\ 0.00\ ">
                  <c:v>311.36999999999995</c:v>
                </c:pt>
                <c:pt idx="95" formatCode="\ 0.00\ ">
                  <c:v>322.39</c:v>
                </c:pt>
                <c:pt idx="96" formatCode="\ 0.00\ ">
                  <c:v>322.58</c:v>
                </c:pt>
                <c:pt idx="97" formatCode="\ 0.00\ ">
                  <c:v>322.74</c:v>
                </c:pt>
                <c:pt idx="98" formatCode="\ 0.00\ ">
                  <c:v>322.88</c:v>
                </c:pt>
                <c:pt idx="99" formatCode="\ 0.00\ ">
                  <c:v>333.95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0.96672000000000002</c:v>
                </c:pt>
                <c:pt idx="1">
                  <c:v>1.0070000000000001</c:v>
                </c:pt>
                <c:pt idx="2">
                  <c:v>1.0605188800410994</c:v>
                </c:pt>
                <c:pt idx="3">
                  <c:v>1.1217903930131004</c:v>
                </c:pt>
                <c:pt idx="4">
                  <c:v>1.2680842984621228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69330422125182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80.461730183771706</c:v>
                </c:pt>
                <c:pt idx="2">
                  <c:v>76.288218739483582</c:v>
                </c:pt>
                <c:pt idx="3">
                  <c:v>72.562095193781914</c:v>
                </c:pt>
                <c:pt idx="4">
                  <c:v>69.210914347738566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120.84</c:v>
                </c:pt>
                <c:pt idx="1">
                  <c:v>161.12</c:v>
                </c:pt>
                <c:pt idx="2">
                  <c:v>206.43</c:v>
                </c:pt>
                <c:pt idx="3">
                  <c:v>256.89</c:v>
                </c:pt>
                <c:pt idx="4">
                  <c:v>333.95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0.96672000000000002</c:v>
                </c:pt>
                <c:pt idx="2">
                  <c:v>1.0070000000000001</c:v>
                </c:pt>
                <c:pt idx="3">
                  <c:v>1.0605188800410994</c:v>
                </c:pt>
                <c:pt idx="4">
                  <c:v>1.1217903930131004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69330422125182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110.91</c:v>
                </c:pt>
                <c:pt idx="1">
                  <c:v>112.09</c:v>
                </c:pt>
                <c:pt idx="2">
                  <c:v>112.96</c:v>
                </c:pt>
                <c:pt idx="3">
                  <c:v>113.57</c:v>
                </c:pt>
                <c:pt idx="4">
                  <c:v>114.05</c:v>
                </c:pt>
                <c:pt idx="5">
                  <c:v>115.53</c:v>
                </c:pt>
                <c:pt idx="6">
                  <c:v>116.39</c:v>
                </c:pt>
                <c:pt idx="7">
                  <c:v>117.01</c:v>
                </c:pt>
                <c:pt idx="8">
                  <c:v>117.49</c:v>
                </c:pt>
                <c:pt idx="9">
                  <c:v>117.87</c:v>
                </c:pt>
                <c:pt idx="10">
                  <c:v>118.2</c:v>
                </c:pt>
                <c:pt idx="11">
                  <c:v>118.49</c:v>
                </c:pt>
                <c:pt idx="12">
                  <c:v>118.74</c:v>
                </c:pt>
                <c:pt idx="13">
                  <c:v>118.97</c:v>
                </c:pt>
                <c:pt idx="14">
                  <c:v>119.17</c:v>
                </c:pt>
                <c:pt idx="15">
                  <c:v>119.35</c:v>
                </c:pt>
                <c:pt idx="16">
                  <c:v>119.83</c:v>
                </c:pt>
                <c:pt idx="17">
                  <c:v>120.22</c:v>
                </c:pt>
                <c:pt idx="18">
                  <c:v>120.55</c:v>
                </c:pt>
                <c:pt idx="19">
                  <c:v>120.84</c:v>
                </c:pt>
                <c:pt idx="20">
                  <c:v>145</c:v>
                </c:pt>
                <c:pt idx="21">
                  <c:v>149.03</c:v>
                </c:pt>
                <c:pt idx="22">
                  <c:v>153.06</c:v>
                </c:pt>
                <c:pt idx="23">
                  <c:v>157.09</c:v>
                </c:pt>
                <c:pt idx="24">
                  <c:v>161.12</c:v>
                </c:pt>
                <c:pt idx="25">
                  <c:v>188.3</c:v>
                </c:pt>
                <c:pt idx="26">
                  <c:v>192.83</c:v>
                </c:pt>
                <c:pt idx="27">
                  <c:v>197.36</c:v>
                </c:pt>
                <c:pt idx="28">
                  <c:v>201.89</c:v>
                </c:pt>
                <c:pt idx="29">
                  <c:v>206.43</c:v>
                </c:pt>
                <c:pt idx="30">
                  <c:v>236.7</c:v>
                </c:pt>
                <c:pt idx="31">
                  <c:v>241.75</c:v>
                </c:pt>
                <c:pt idx="32">
                  <c:v>246.79</c:v>
                </c:pt>
                <c:pt idx="33">
                  <c:v>251.84</c:v>
                </c:pt>
                <c:pt idx="34">
                  <c:v>256.89</c:v>
                </c:pt>
                <c:pt idx="35">
                  <c:v>287.70999999999998</c:v>
                </c:pt>
                <c:pt idx="36">
                  <c:v>299.27</c:v>
                </c:pt>
                <c:pt idx="37">
                  <c:v>310.83</c:v>
                </c:pt>
                <c:pt idx="38">
                  <c:v>322.39</c:v>
                </c:pt>
                <c:pt idx="39">
                  <c:v>333.95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110.61764298272897</c:v>
                </c:pt>
                <c:pt idx="1">
                  <c:v>112.09766599391878</c:v>
                </c:pt>
                <c:pt idx="2">
                  <c:v>112.96342395566921</c:v>
                </c:pt>
                <c:pt idx="3">
                  <c:v>113.57768900510857</c:v>
                </c:pt>
                <c:pt idx="4">
                  <c:v>114.05414999349036</c:v>
                </c:pt>
                <c:pt idx="5">
                  <c:v>115.53417300468016</c:v>
                </c:pt>
                <c:pt idx="6">
                  <c:v>116.3999309664306</c:v>
                </c:pt>
                <c:pt idx="7">
                  <c:v>117.01419601586996</c:v>
                </c:pt>
                <c:pt idx="8">
                  <c:v>117.49065700425174</c:v>
                </c:pt>
                <c:pt idx="9">
                  <c:v>117.8799539776204</c:v>
                </c:pt>
                <c:pt idx="10">
                  <c:v>118.20909987871255</c:v>
                </c:pt>
                <c:pt idx="11">
                  <c:v>118.49421902705976</c:v>
                </c:pt>
                <c:pt idx="12">
                  <c:v>118.74571193937084</c:v>
                </c:pt>
                <c:pt idx="13">
                  <c:v>118.97068001544154</c:v>
                </c:pt>
                <c:pt idx="14">
                  <c:v>119.17418839471114</c:v>
                </c:pt>
                <c:pt idx="15">
                  <c:v>119.35997698881019</c:v>
                </c:pt>
                <c:pt idx="16">
                  <c:v>119.83643797719199</c:v>
                </c:pt>
                <c:pt idx="17">
                  <c:v>120.22573495056064</c:v>
                </c:pt>
                <c:pt idx="18">
                  <c:v>120.5548808516528</c:v>
                </c:pt>
                <c:pt idx="19">
                  <c:v>120.84</c:v>
                </c:pt>
                <c:pt idx="20">
                  <c:v>159.44433398766063</c:v>
                </c:pt>
                <c:pt idx="21">
                  <c:v>159.64687729907502</c:v>
                </c:pt>
                <c:pt idx="22">
                  <c:v>159.83544061080573</c:v>
                </c:pt>
                <c:pt idx="23">
                  <c:v>160.33374073671763</c:v>
                </c:pt>
                <c:pt idx="24">
                  <c:v>161.12</c:v>
                </c:pt>
                <c:pt idx="25">
                  <c:v>205.2175735061407</c:v>
                </c:pt>
                <c:pt idx="26">
                  <c:v>205.34798110185039</c:v>
                </c:pt>
                <c:pt idx="27">
                  <c:v>205.47346646501305</c:v>
                </c:pt>
                <c:pt idx="28">
                  <c:v>205.82378675307035</c:v>
                </c:pt>
                <c:pt idx="29">
                  <c:v>206.43</c:v>
                </c:pt>
                <c:pt idx="30">
                  <c:v>255.87184372132563</c:v>
                </c:pt>
                <c:pt idx="31">
                  <c:v>255.97616260867972</c:v>
                </c:pt>
                <c:pt idx="32">
                  <c:v>256.07777160576609</c:v>
                </c:pt>
                <c:pt idx="33">
                  <c:v>256.36766172022794</c:v>
                </c:pt>
                <c:pt idx="34">
                  <c:v>256.89</c:v>
                </c:pt>
                <c:pt idx="35">
                  <c:v>333.0389475523603</c:v>
                </c:pt>
                <c:pt idx="36">
                  <c:v>333.12982913650688</c:v>
                </c:pt>
                <c:pt idx="37">
                  <c:v>333.21891096651393</c:v>
                </c:pt>
                <c:pt idx="38">
                  <c:v>333.47603725733421</c:v>
                </c:pt>
                <c:pt idx="39">
                  <c:v>333.95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110.91</c:v>
                </c:pt>
                <c:pt idx="1">
                  <c:v>112.09</c:v>
                </c:pt>
                <c:pt idx="2">
                  <c:v>112.96</c:v>
                </c:pt>
                <c:pt idx="3">
                  <c:v>113.57</c:v>
                </c:pt>
                <c:pt idx="4">
                  <c:v>114.05</c:v>
                </c:pt>
                <c:pt idx="5">
                  <c:v>115.53</c:v>
                </c:pt>
                <c:pt idx="6">
                  <c:v>116.39</c:v>
                </c:pt>
                <c:pt idx="7">
                  <c:v>117.01</c:v>
                </c:pt>
                <c:pt idx="8">
                  <c:v>117.49</c:v>
                </c:pt>
                <c:pt idx="9">
                  <c:v>117.87</c:v>
                </c:pt>
                <c:pt idx="10">
                  <c:v>118.2</c:v>
                </c:pt>
                <c:pt idx="11">
                  <c:v>118.49</c:v>
                </c:pt>
                <c:pt idx="12">
                  <c:v>118.74</c:v>
                </c:pt>
                <c:pt idx="13">
                  <c:v>118.97</c:v>
                </c:pt>
                <c:pt idx="14">
                  <c:v>119.17</c:v>
                </c:pt>
                <c:pt idx="15">
                  <c:v>119.35</c:v>
                </c:pt>
                <c:pt idx="16">
                  <c:v>119.83</c:v>
                </c:pt>
                <c:pt idx="17">
                  <c:v>120.22</c:v>
                </c:pt>
                <c:pt idx="18">
                  <c:v>120.55</c:v>
                </c:pt>
                <c:pt idx="19">
                  <c:v>120.84</c:v>
                </c:pt>
                <c:pt idx="20">
                  <c:v>145</c:v>
                </c:pt>
                <c:pt idx="21">
                  <c:v>149.03</c:v>
                </c:pt>
                <c:pt idx="22">
                  <c:v>153.06</c:v>
                </c:pt>
                <c:pt idx="23">
                  <c:v>157.09</c:v>
                </c:pt>
                <c:pt idx="24">
                  <c:v>161.12</c:v>
                </c:pt>
                <c:pt idx="25">
                  <c:v>188.3</c:v>
                </c:pt>
                <c:pt idx="26">
                  <c:v>192.83</c:v>
                </c:pt>
                <c:pt idx="27">
                  <c:v>197.36</c:v>
                </c:pt>
                <c:pt idx="28">
                  <c:v>201.89</c:v>
                </c:pt>
                <c:pt idx="29">
                  <c:v>206.43</c:v>
                </c:pt>
                <c:pt idx="30">
                  <c:v>236.7</c:v>
                </c:pt>
                <c:pt idx="31">
                  <c:v>241.75</c:v>
                </c:pt>
                <c:pt idx="32">
                  <c:v>246.79</c:v>
                </c:pt>
                <c:pt idx="33">
                  <c:v>251.84</c:v>
                </c:pt>
                <c:pt idx="34">
                  <c:v>256.89</c:v>
                </c:pt>
                <c:pt idx="35">
                  <c:v>287.70999999999998</c:v>
                </c:pt>
                <c:pt idx="36">
                  <c:v>299.27</c:v>
                </c:pt>
                <c:pt idx="37">
                  <c:v>310.83</c:v>
                </c:pt>
                <c:pt idx="38">
                  <c:v>322.39</c:v>
                </c:pt>
                <c:pt idx="39">
                  <c:v>333.95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16.939168550951234</c:v>
                </c:pt>
                <c:pt idx="1">
                  <c:v>15.347009456817981</c:v>
                </c:pt>
                <c:pt idx="2">
                  <c:v>13.904501779955083</c:v>
                </c:pt>
                <c:pt idx="3">
                  <c:v>12.597579371587861</c:v>
                </c:pt>
                <c:pt idx="4">
                  <c:v>11.413498198996141</c:v>
                </c:pt>
                <c:pt idx="5">
                  <c:v>8.4881645186330434</c:v>
                </c:pt>
                <c:pt idx="6">
                  <c:v>7.9475798997881943</c:v>
                </c:pt>
                <c:pt idx="7">
                  <c:v>6.5237640519690405</c:v>
                </c:pt>
                <c:pt idx="8">
                  <c:v>5.9105775055290843</c:v>
                </c:pt>
                <c:pt idx="9">
                  <c:v>5.355026050999216</c:v>
                </c:pt>
                <c:pt idx="10">
                  <c:v>5.1816985632126462</c:v>
                </c:pt>
                <c:pt idx="11">
                  <c:v>5.0139812102295833</c:v>
                </c:pt>
                <c:pt idx="12">
                  <c:v>4.8516924073924814</c:v>
                </c:pt>
                <c:pt idx="13">
                  <c:v>4.6946564474405026</c:v>
                </c:pt>
                <c:pt idx="14">
                  <c:v>4.5427033102743355</c:v>
                </c:pt>
                <c:pt idx="15">
                  <c:v>4.3956684788783873</c:v>
                </c:pt>
                <c:pt idx="16">
                  <c:v>4.2533927612010771</c:v>
                </c:pt>
                <c:pt idx="17">
                  <c:v>4.1157221178003791</c:v>
                </c:pt>
                <c:pt idx="18">
                  <c:v>3.982507495067992</c:v>
                </c:pt>
                <c:pt idx="19">
                  <c:v>3.6081806497654068</c:v>
                </c:pt>
                <c:pt idx="20">
                  <c:v>3.4913937505892099</c:v>
                </c:pt>
                <c:pt idx="21">
                  <c:v>2.8659075251285322</c:v>
                </c:pt>
                <c:pt idx="22">
                  <c:v>2.3524777006896587</c:v>
                </c:pt>
                <c:pt idx="23">
                  <c:v>1.9310292756197371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39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5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9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50.emf"/><Relationship Id="rId5" Type="http://schemas.openxmlformats.org/officeDocument/2006/relationships/image" Target="../media/image48.emf"/><Relationship Id="rId15" Type="http://schemas.openxmlformats.org/officeDocument/2006/relationships/image" Target="../media/image43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9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1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345</v>
      </c>
    </row>
    <row r="22" spans="4:10" ht="18" customHeight="1">
      <c r="D22" s="3" t="s">
        <v>256</v>
      </c>
      <c r="E22" s="3" t="s">
        <v>274</v>
      </c>
      <c r="J22" s="3" t="s">
        <v>346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110.91</v>
      </c>
      <c r="E1" s="1">
        <v>1</v>
      </c>
      <c r="F1" s="1">
        <f>StepTest!G12</f>
        <v>110.91</v>
      </c>
    </row>
    <row r="2" spans="1:6">
      <c r="A2" s="50">
        <v>2</v>
      </c>
      <c r="B2" s="1">
        <f t="shared" ref="B2:B20" si="0">F2</f>
        <v>112.09</v>
      </c>
      <c r="E2" s="1">
        <v>2</v>
      </c>
      <c r="F2" s="1">
        <f>StepTest!G13</f>
        <v>112.09</v>
      </c>
    </row>
    <row r="3" spans="1:6">
      <c r="A3" s="50">
        <v>3</v>
      </c>
      <c r="B3" s="1">
        <f>F3</f>
        <v>112.96</v>
      </c>
      <c r="E3" s="1">
        <v>3</v>
      </c>
      <c r="F3" s="1">
        <f>StepTest!G14</f>
        <v>112.96</v>
      </c>
    </row>
    <row r="4" spans="1:6">
      <c r="A4" s="50">
        <v>4</v>
      </c>
      <c r="B4" s="1">
        <f t="shared" si="0"/>
        <v>113.57</v>
      </c>
      <c r="E4" s="1">
        <v>4</v>
      </c>
      <c r="F4" s="1">
        <f>StepTest!G15</f>
        <v>113.57</v>
      </c>
    </row>
    <row r="5" spans="1:6">
      <c r="A5" s="50">
        <v>5</v>
      </c>
      <c r="B5" s="1">
        <f>F5</f>
        <v>114.05</v>
      </c>
      <c r="E5" s="1">
        <v>5</v>
      </c>
      <c r="F5" s="1">
        <f>StepTest!G16</f>
        <v>114.05</v>
      </c>
    </row>
    <row r="6" spans="1:6">
      <c r="A6" s="50">
        <v>10</v>
      </c>
      <c r="B6" s="1">
        <f t="shared" si="0"/>
        <v>115.53</v>
      </c>
      <c r="E6" s="1">
        <v>10</v>
      </c>
      <c r="F6" s="1">
        <f>StepTest!G17</f>
        <v>115.53</v>
      </c>
    </row>
    <row r="7" spans="1:6">
      <c r="A7" s="50">
        <v>15</v>
      </c>
      <c r="B7" s="1">
        <f t="shared" si="0"/>
        <v>116.39</v>
      </c>
      <c r="E7" s="1">
        <v>15</v>
      </c>
      <c r="F7" s="1">
        <f>StepTest!G18</f>
        <v>116.39</v>
      </c>
    </row>
    <row r="8" spans="1:6">
      <c r="A8" s="50">
        <v>20</v>
      </c>
      <c r="B8" s="1">
        <f t="shared" si="0"/>
        <v>117.01</v>
      </c>
      <c r="E8" s="1">
        <v>20</v>
      </c>
      <c r="F8" s="1">
        <f>StepTest!G19</f>
        <v>117.01</v>
      </c>
    </row>
    <row r="9" spans="1:6">
      <c r="A9" s="50">
        <v>25</v>
      </c>
      <c r="B9" s="1">
        <f t="shared" si="0"/>
        <v>117.49</v>
      </c>
      <c r="E9" s="1">
        <v>25</v>
      </c>
      <c r="F9" s="1">
        <f>StepTest!G20</f>
        <v>117.49</v>
      </c>
    </row>
    <row r="10" spans="1:6">
      <c r="A10" s="50">
        <v>30</v>
      </c>
      <c r="B10" s="1">
        <f t="shared" si="0"/>
        <v>117.87</v>
      </c>
      <c r="E10" s="1">
        <v>30</v>
      </c>
      <c r="F10" s="1">
        <f>StepTest!G21</f>
        <v>117.87</v>
      </c>
    </row>
    <row r="11" spans="1:6">
      <c r="A11" s="50">
        <v>35</v>
      </c>
      <c r="B11" s="1">
        <f t="shared" si="0"/>
        <v>118.2</v>
      </c>
      <c r="E11" s="1">
        <v>35</v>
      </c>
      <c r="F11" s="1">
        <f>StepTest!G22</f>
        <v>118.2</v>
      </c>
    </row>
    <row r="12" spans="1:6">
      <c r="A12" s="50">
        <v>40</v>
      </c>
      <c r="B12" s="1">
        <f t="shared" si="0"/>
        <v>118.49</v>
      </c>
      <c r="E12" s="1">
        <v>40</v>
      </c>
      <c r="F12" s="1">
        <f>StepTest!G23</f>
        <v>118.49</v>
      </c>
    </row>
    <row r="13" spans="1:6">
      <c r="A13" s="50">
        <v>45</v>
      </c>
      <c r="B13" s="1">
        <f t="shared" si="0"/>
        <v>118.74</v>
      </c>
      <c r="E13" s="1">
        <v>45</v>
      </c>
      <c r="F13" s="1">
        <f>StepTest!G24</f>
        <v>118.74</v>
      </c>
    </row>
    <row r="14" spans="1:6">
      <c r="A14" s="50">
        <v>50</v>
      </c>
      <c r="B14" s="1">
        <f t="shared" si="0"/>
        <v>118.97</v>
      </c>
      <c r="E14" s="1">
        <v>50</v>
      </c>
      <c r="F14" s="1">
        <f>StepTest!G25</f>
        <v>118.97</v>
      </c>
    </row>
    <row r="15" spans="1:6">
      <c r="A15" s="50">
        <v>55</v>
      </c>
      <c r="B15" s="1">
        <f t="shared" si="0"/>
        <v>119.17</v>
      </c>
      <c r="E15" s="1">
        <v>55</v>
      </c>
      <c r="F15" s="1">
        <f>StepTest!G26</f>
        <v>119.17</v>
      </c>
    </row>
    <row r="16" spans="1:6">
      <c r="A16" s="50">
        <v>60</v>
      </c>
      <c r="B16" s="1">
        <f t="shared" si="0"/>
        <v>119.35</v>
      </c>
      <c r="E16" s="1">
        <v>60</v>
      </c>
      <c r="F16" s="1">
        <f>StepTest!G27</f>
        <v>119.35</v>
      </c>
    </row>
    <row r="17" spans="1:6">
      <c r="A17" s="50">
        <v>75</v>
      </c>
      <c r="B17" s="1">
        <f t="shared" si="0"/>
        <v>119.83</v>
      </c>
      <c r="E17" s="1">
        <v>75</v>
      </c>
      <c r="F17" s="1">
        <f>StepTest!G28</f>
        <v>119.83</v>
      </c>
    </row>
    <row r="18" spans="1:6">
      <c r="A18" s="50">
        <v>90</v>
      </c>
      <c r="B18" s="1">
        <f t="shared" si="0"/>
        <v>120.22</v>
      </c>
      <c r="E18" s="1">
        <v>90</v>
      </c>
      <c r="F18" s="1">
        <f>StepTest!G29</f>
        <v>120.22</v>
      </c>
    </row>
    <row r="19" spans="1:6">
      <c r="A19" s="50">
        <v>105</v>
      </c>
      <c r="B19" s="1">
        <f t="shared" si="0"/>
        <v>120.55</v>
      </c>
      <c r="E19" s="1">
        <v>105</v>
      </c>
      <c r="F19" s="1">
        <f>StepTest!G30</f>
        <v>120.55</v>
      </c>
    </row>
    <row r="20" spans="1:6">
      <c r="A20" s="51">
        <v>120</v>
      </c>
      <c r="B20" s="52">
        <f t="shared" si="0"/>
        <v>120.84</v>
      </c>
      <c r="C20" s="52">
        <f>B26-B20</f>
        <v>24.159999999999997</v>
      </c>
      <c r="D20" s="53">
        <f>C20/10</f>
        <v>2.4159999999999995</v>
      </c>
      <c r="E20" s="1">
        <v>120</v>
      </c>
      <c r="F20" s="1">
        <f>StepTest!G31</f>
        <v>120.84</v>
      </c>
    </row>
    <row r="21" spans="1:6">
      <c r="A21" s="50">
        <v>121</v>
      </c>
      <c r="B21" s="54">
        <f>B20+D21</f>
        <v>121</v>
      </c>
      <c r="D21" s="1">
        <v>0.16</v>
      </c>
      <c r="E21" s="1">
        <v>130</v>
      </c>
      <c r="F21" s="1">
        <f>StepTest!G32</f>
        <v>145</v>
      </c>
    </row>
    <row r="22" spans="1:6">
      <c r="A22" s="50">
        <v>122</v>
      </c>
      <c r="B22" s="54">
        <f>B21+D22</f>
        <v>121.15</v>
      </c>
      <c r="D22" s="1">
        <v>0.15</v>
      </c>
      <c r="E22" s="1">
        <v>140</v>
      </c>
      <c r="F22" s="1">
        <f>StepTest!G33</f>
        <v>149.03</v>
      </c>
    </row>
    <row r="23" spans="1:6">
      <c r="A23" s="50">
        <v>123</v>
      </c>
      <c r="B23" s="54">
        <f>B22+D23</f>
        <v>121.29</v>
      </c>
      <c r="D23" s="1">
        <v>0.14000000000000001</v>
      </c>
      <c r="E23" s="1">
        <v>150</v>
      </c>
      <c r="F23" s="1">
        <f>StepTest!G34</f>
        <v>153.06</v>
      </c>
    </row>
    <row r="24" spans="1:6">
      <c r="A24" s="50">
        <v>124</v>
      </c>
      <c r="B24" s="54">
        <f>B23+D24</f>
        <v>121.42</v>
      </c>
      <c r="D24" s="1">
        <v>0.13</v>
      </c>
      <c r="E24" s="1">
        <v>180</v>
      </c>
      <c r="F24" s="1">
        <f>StepTest!G35</f>
        <v>157.09</v>
      </c>
    </row>
    <row r="25" spans="1:6">
      <c r="A25" s="50">
        <v>125</v>
      </c>
      <c r="B25" s="54">
        <f>B24+D25</f>
        <v>121.55</v>
      </c>
      <c r="D25" s="1">
        <v>0.13</v>
      </c>
      <c r="E25" s="1">
        <v>240</v>
      </c>
      <c r="F25" s="1">
        <f>StepTest!G36</f>
        <v>161.12</v>
      </c>
    </row>
    <row r="26" spans="1:6">
      <c r="A26" s="50">
        <v>130</v>
      </c>
      <c r="B26" s="52">
        <f>F21</f>
        <v>145</v>
      </c>
      <c r="C26" s="52">
        <f>B28-B26</f>
        <v>4.0300000000000011</v>
      </c>
      <c r="D26" s="52">
        <f>C26/2</f>
        <v>2.0150000000000006</v>
      </c>
      <c r="E26" s="1">
        <v>250</v>
      </c>
      <c r="F26" s="1">
        <f>StepTest!G37</f>
        <v>188.3</v>
      </c>
    </row>
    <row r="27" spans="1:6">
      <c r="A27" s="50">
        <v>135</v>
      </c>
      <c r="B27" s="54">
        <f>B26+D27</f>
        <v>145.11000000000001</v>
      </c>
      <c r="D27" s="1">
        <v>0.11</v>
      </c>
      <c r="E27" s="1">
        <v>260</v>
      </c>
      <c r="F27" s="1">
        <f>StepTest!G38</f>
        <v>192.83</v>
      </c>
    </row>
    <row r="28" spans="1:6">
      <c r="A28" s="50">
        <v>140</v>
      </c>
      <c r="B28" s="52">
        <f>F22</f>
        <v>149.03</v>
      </c>
      <c r="C28" s="52">
        <f>B30-B28</f>
        <v>4.0300000000000011</v>
      </c>
      <c r="D28" s="52">
        <f>C28/2</f>
        <v>2.0150000000000006</v>
      </c>
      <c r="E28" s="1">
        <v>270</v>
      </c>
      <c r="F28" s="1">
        <f>StepTest!G39</f>
        <v>197.36</v>
      </c>
    </row>
    <row r="29" spans="1:6">
      <c r="A29" s="50">
        <v>145</v>
      </c>
      <c r="B29" s="54">
        <f>B28+D29</f>
        <v>149.13</v>
      </c>
      <c r="D29" s="1">
        <v>0.1</v>
      </c>
      <c r="E29" s="1">
        <v>300</v>
      </c>
      <c r="F29" s="1">
        <f>StepTest!G40</f>
        <v>201.89</v>
      </c>
    </row>
    <row r="30" spans="1:6">
      <c r="A30" s="50">
        <v>150</v>
      </c>
      <c r="B30" s="52">
        <f>F23</f>
        <v>153.06</v>
      </c>
      <c r="C30" s="52">
        <f>B36-B30</f>
        <v>4.0300000000000011</v>
      </c>
      <c r="D30" s="55">
        <f>C30/6</f>
        <v>0.67166666666666686</v>
      </c>
      <c r="E30" s="1">
        <v>360</v>
      </c>
      <c r="F30" s="1">
        <f>StepTest!G41</f>
        <v>206.43</v>
      </c>
    </row>
    <row r="31" spans="1:6">
      <c r="A31" s="50">
        <v>155</v>
      </c>
      <c r="B31" s="54">
        <f>B30+D31</f>
        <v>153.12</v>
      </c>
      <c r="D31" s="1">
        <v>0.06</v>
      </c>
    </row>
    <row r="32" spans="1:6">
      <c r="A32" s="50">
        <v>160</v>
      </c>
      <c r="B32" s="54">
        <f t="shared" ref="B32:B39" si="1">B31+D32</f>
        <v>153.17000000000002</v>
      </c>
      <c r="D32" s="1">
        <v>0.05</v>
      </c>
    </row>
    <row r="33" spans="1:4">
      <c r="A33" s="50">
        <v>165</v>
      </c>
      <c r="B33" s="54">
        <f t="shared" si="1"/>
        <v>153.21</v>
      </c>
      <c r="D33" s="1">
        <v>0.04</v>
      </c>
    </row>
    <row r="34" spans="1:4">
      <c r="A34" s="50">
        <v>170</v>
      </c>
      <c r="B34" s="54">
        <f t="shared" si="1"/>
        <v>153.24</v>
      </c>
      <c r="D34" s="1">
        <v>0.03</v>
      </c>
    </row>
    <row r="35" spans="1:4">
      <c r="A35" s="50">
        <v>175</v>
      </c>
      <c r="B35" s="54">
        <f t="shared" si="1"/>
        <v>153.26000000000002</v>
      </c>
      <c r="D35" s="1">
        <v>0.02</v>
      </c>
    </row>
    <row r="36" spans="1:4">
      <c r="A36" s="50">
        <v>180</v>
      </c>
      <c r="B36" s="52">
        <f>F24</f>
        <v>157.09</v>
      </c>
      <c r="C36" s="52">
        <f>B40-B36</f>
        <v>4.0300000000000011</v>
      </c>
      <c r="D36" s="52">
        <f>C36/4</f>
        <v>1.0075000000000003</v>
      </c>
    </row>
    <row r="37" spans="1:4">
      <c r="A37" s="50">
        <v>195</v>
      </c>
      <c r="B37" s="54">
        <f t="shared" si="1"/>
        <v>157.16</v>
      </c>
      <c r="D37" s="1">
        <v>7.0000000000000007E-2</v>
      </c>
    </row>
    <row r="38" spans="1:4">
      <c r="A38" s="50">
        <v>210</v>
      </c>
      <c r="B38" s="54">
        <f t="shared" si="1"/>
        <v>157.22</v>
      </c>
      <c r="D38" s="1">
        <v>0.06</v>
      </c>
    </row>
    <row r="39" spans="1:4">
      <c r="A39" s="50">
        <v>225</v>
      </c>
      <c r="B39" s="54">
        <f t="shared" si="1"/>
        <v>157.27000000000001</v>
      </c>
      <c r="D39" s="1">
        <v>0.05</v>
      </c>
    </row>
    <row r="40" spans="1:4">
      <c r="A40" s="51">
        <v>240</v>
      </c>
      <c r="B40" s="52">
        <f>F25</f>
        <v>161.12</v>
      </c>
      <c r="C40" s="52">
        <f>B46-B40</f>
        <v>27.180000000000007</v>
      </c>
      <c r="D40" s="53">
        <f>C40/10</f>
        <v>2.7180000000000009</v>
      </c>
    </row>
    <row r="41" spans="1:4">
      <c r="A41" s="50">
        <v>241</v>
      </c>
      <c r="B41" s="54">
        <f>B40+D41</f>
        <v>161.30000000000001</v>
      </c>
      <c r="D41" s="1">
        <v>0.18</v>
      </c>
    </row>
    <row r="42" spans="1:4">
      <c r="A42" s="50">
        <v>242</v>
      </c>
      <c r="B42" s="54">
        <f>B41+D42</f>
        <v>161.46</v>
      </c>
      <c r="D42" s="1">
        <v>0.16</v>
      </c>
    </row>
    <row r="43" spans="1:4">
      <c r="A43" s="50">
        <v>243</v>
      </c>
      <c r="B43" s="54">
        <f>B42+D43</f>
        <v>161.61000000000001</v>
      </c>
      <c r="D43" s="1">
        <v>0.15</v>
      </c>
    </row>
    <row r="44" spans="1:4">
      <c r="A44" s="50">
        <v>244</v>
      </c>
      <c r="B44" s="54">
        <f>B43+D44</f>
        <v>161.75</v>
      </c>
      <c r="D44" s="1">
        <v>0.14000000000000001</v>
      </c>
    </row>
    <row r="45" spans="1:4">
      <c r="A45" s="50">
        <v>245</v>
      </c>
      <c r="B45" s="54">
        <f>B44+D45</f>
        <v>161.88</v>
      </c>
      <c r="D45" s="1">
        <v>0.13</v>
      </c>
    </row>
    <row r="46" spans="1:4">
      <c r="A46" s="50">
        <v>250</v>
      </c>
      <c r="B46" s="52">
        <f>F26</f>
        <v>188.3</v>
      </c>
      <c r="C46" s="52">
        <f>B48-B46</f>
        <v>4.5300000000000011</v>
      </c>
      <c r="D46" s="52">
        <f>C46/2</f>
        <v>2.2650000000000006</v>
      </c>
    </row>
    <row r="47" spans="1:4">
      <c r="A47" s="50">
        <v>255</v>
      </c>
      <c r="B47" s="54">
        <f>B46+D47</f>
        <v>188.41000000000003</v>
      </c>
      <c r="D47" s="1">
        <v>0.11</v>
      </c>
    </row>
    <row r="48" spans="1:4">
      <c r="A48" s="50">
        <v>260</v>
      </c>
      <c r="B48" s="52">
        <f>F27</f>
        <v>192.83</v>
      </c>
      <c r="C48" s="52">
        <f>B50-B48</f>
        <v>4.5300000000000011</v>
      </c>
      <c r="D48" s="52">
        <f>C48/2</f>
        <v>2.2650000000000006</v>
      </c>
    </row>
    <row r="49" spans="1:6">
      <c r="A49" s="50">
        <v>265</v>
      </c>
      <c r="B49" s="54">
        <f>B48+D49</f>
        <v>192.94000000000003</v>
      </c>
      <c r="D49" s="1">
        <v>0.11</v>
      </c>
    </row>
    <row r="50" spans="1:6">
      <c r="A50" s="50">
        <v>270</v>
      </c>
      <c r="B50" s="52">
        <f>F28</f>
        <v>197.36</v>
      </c>
      <c r="C50" s="52">
        <f>B56-B50</f>
        <v>4.5299999999999727</v>
      </c>
      <c r="D50" s="55">
        <f>C50/6</f>
        <v>0.75499999999999545</v>
      </c>
    </row>
    <row r="51" spans="1:6">
      <c r="A51" s="50">
        <v>275</v>
      </c>
      <c r="B51" s="54">
        <f>B50+D51</f>
        <v>197.43</v>
      </c>
      <c r="D51" s="1">
        <v>7.0000000000000007E-2</v>
      </c>
    </row>
    <row r="52" spans="1:6">
      <c r="A52" s="50">
        <v>280</v>
      </c>
      <c r="B52" s="54">
        <f>B51+D52</f>
        <v>197.48000000000002</v>
      </c>
      <c r="D52" s="1">
        <v>0.05</v>
      </c>
    </row>
    <row r="53" spans="1:6">
      <c r="A53" s="50">
        <v>285</v>
      </c>
      <c r="B53" s="54">
        <f>B52+D53</f>
        <v>197.52</v>
      </c>
      <c r="D53" s="1">
        <v>0.04</v>
      </c>
    </row>
    <row r="54" spans="1:6">
      <c r="A54" s="50">
        <v>290</v>
      </c>
      <c r="B54" s="54">
        <f>B53+D54</f>
        <v>197.55</v>
      </c>
      <c r="D54" s="1">
        <v>0.03</v>
      </c>
    </row>
    <row r="55" spans="1:6">
      <c r="A55" s="50">
        <v>295</v>
      </c>
      <c r="B55" s="54">
        <f>B54+D55</f>
        <v>197.57000000000002</v>
      </c>
      <c r="D55" s="1">
        <v>0.02</v>
      </c>
    </row>
    <row r="56" spans="1:6">
      <c r="A56" s="50">
        <v>300</v>
      </c>
      <c r="B56" s="52">
        <f>F29</f>
        <v>201.89</v>
      </c>
      <c r="C56" s="52">
        <f>B60-B56</f>
        <v>4.5400000000000205</v>
      </c>
      <c r="D56" s="52">
        <f>C56/4</f>
        <v>1.1350000000000051</v>
      </c>
    </row>
    <row r="57" spans="1:6">
      <c r="A57" s="50">
        <v>315</v>
      </c>
      <c r="B57" s="54">
        <f>B56+D57</f>
        <v>201.97</v>
      </c>
      <c r="D57" s="1">
        <v>0.08</v>
      </c>
    </row>
    <row r="58" spans="1:6">
      <c r="A58" s="50">
        <v>330</v>
      </c>
      <c r="B58" s="54">
        <f>B57+D58</f>
        <v>202.03</v>
      </c>
      <c r="D58" s="1">
        <v>0.06</v>
      </c>
    </row>
    <row r="59" spans="1:6">
      <c r="A59" s="50">
        <v>345</v>
      </c>
      <c r="B59" s="54">
        <f>B58+D59</f>
        <v>202.08</v>
      </c>
      <c r="D59" s="1">
        <v>0.05</v>
      </c>
    </row>
    <row r="60" spans="1:6">
      <c r="A60" s="51">
        <v>360</v>
      </c>
      <c r="B60" s="52">
        <f>F30</f>
        <v>206.43</v>
      </c>
      <c r="C60" s="52">
        <f>B66-B60</f>
        <v>30.269999999999982</v>
      </c>
      <c r="D60" s="53">
        <f>C60/10</f>
        <v>3.0269999999999984</v>
      </c>
    </row>
    <row r="61" spans="1:6">
      <c r="A61" s="50">
        <v>361</v>
      </c>
      <c r="B61" s="54">
        <f>B60+D61</f>
        <v>206.62</v>
      </c>
      <c r="D61" s="1">
        <v>0.19</v>
      </c>
    </row>
    <row r="62" spans="1:6">
      <c r="A62" s="50">
        <v>362</v>
      </c>
      <c r="B62" s="54">
        <f>B61+D62</f>
        <v>206.79</v>
      </c>
      <c r="D62" s="1">
        <v>0.17</v>
      </c>
    </row>
    <row r="63" spans="1:6">
      <c r="A63" s="50">
        <v>363</v>
      </c>
      <c r="B63" s="54">
        <f>B62+D63</f>
        <v>206.95</v>
      </c>
      <c r="D63" s="1">
        <v>0.16</v>
      </c>
      <c r="E63" s="1">
        <v>370</v>
      </c>
      <c r="F63" s="1">
        <f>StepTest!G42</f>
        <v>236.7</v>
      </c>
    </row>
    <row r="64" spans="1:6">
      <c r="A64" s="50">
        <v>364</v>
      </c>
      <c r="B64" s="54">
        <f>B63+D64</f>
        <v>207.1</v>
      </c>
      <c r="D64" s="1">
        <v>0.15</v>
      </c>
      <c r="E64" s="1">
        <v>380</v>
      </c>
      <c r="F64" s="1">
        <f>StepTest!G43</f>
        <v>241.75</v>
      </c>
    </row>
    <row r="65" spans="1:6">
      <c r="A65" s="50">
        <v>365</v>
      </c>
      <c r="B65" s="54">
        <f>B64+D65</f>
        <v>207.23999999999998</v>
      </c>
      <c r="D65" s="1">
        <v>0.14000000000000001</v>
      </c>
      <c r="E65" s="1">
        <v>390</v>
      </c>
      <c r="F65" s="1">
        <f>StepTest!G44</f>
        <v>246.79</v>
      </c>
    </row>
    <row r="66" spans="1:6">
      <c r="A66" s="50">
        <v>370</v>
      </c>
      <c r="B66" s="52">
        <f>F63</f>
        <v>236.7</v>
      </c>
      <c r="C66" s="56">
        <f>B68-B66</f>
        <v>5.0500000000000114</v>
      </c>
      <c r="D66" s="52">
        <f>C66/2</f>
        <v>2.5250000000000057</v>
      </c>
      <c r="E66" s="1">
        <v>420</v>
      </c>
      <c r="F66" s="1">
        <f>StepTest!G45</f>
        <v>251.84</v>
      </c>
    </row>
    <row r="67" spans="1:6">
      <c r="A67" s="50">
        <v>375</v>
      </c>
      <c r="B67" s="54">
        <f>B66+D67</f>
        <v>236.82</v>
      </c>
      <c r="D67" s="1">
        <v>0.12</v>
      </c>
      <c r="E67" s="1">
        <v>480</v>
      </c>
      <c r="F67" s="1">
        <f>StepTest!G46</f>
        <v>256.89</v>
      </c>
    </row>
    <row r="68" spans="1:6">
      <c r="A68" s="50">
        <v>380</v>
      </c>
      <c r="B68" s="57">
        <f>F64</f>
        <v>241.75</v>
      </c>
      <c r="C68" s="52">
        <f>B70-B68</f>
        <v>5.039999999999992</v>
      </c>
      <c r="D68" s="52">
        <f>C68/2</f>
        <v>2.519999999999996</v>
      </c>
      <c r="E68" s="1">
        <v>490</v>
      </c>
      <c r="F68" s="1">
        <f>StepTest!G47</f>
        <v>287.70999999999998</v>
      </c>
    </row>
    <row r="69" spans="1:6">
      <c r="A69" s="50">
        <v>385</v>
      </c>
      <c r="B69" s="54">
        <f>B68+D69</f>
        <v>241.87</v>
      </c>
      <c r="D69" s="1">
        <v>0.12</v>
      </c>
      <c r="E69" s="1">
        <v>500</v>
      </c>
      <c r="F69" s="1">
        <f>StepTest!G48</f>
        <v>299.27</v>
      </c>
    </row>
    <row r="70" spans="1:6">
      <c r="A70" s="50">
        <v>390</v>
      </c>
      <c r="B70" s="57">
        <f>F65</f>
        <v>246.79</v>
      </c>
      <c r="C70" s="52">
        <f>B76-B70</f>
        <v>5.0500000000000114</v>
      </c>
      <c r="D70" s="55">
        <f>C70/6</f>
        <v>0.84166666666666856</v>
      </c>
      <c r="E70" s="1">
        <v>510</v>
      </c>
      <c r="F70" s="1">
        <f>StepTest!G49</f>
        <v>310.83</v>
      </c>
    </row>
    <row r="71" spans="1:6">
      <c r="A71" s="50">
        <v>395</v>
      </c>
      <c r="B71" s="54">
        <f>B70+D71</f>
        <v>246.85999999999999</v>
      </c>
      <c r="D71" s="1">
        <v>7.0000000000000007E-2</v>
      </c>
      <c r="E71" s="1">
        <v>540</v>
      </c>
      <c r="F71" s="1">
        <f>StepTest!G50</f>
        <v>322.39</v>
      </c>
    </row>
    <row r="72" spans="1:6">
      <c r="A72" s="50">
        <v>400</v>
      </c>
      <c r="B72" s="54">
        <f>B71+D72</f>
        <v>246.91</v>
      </c>
      <c r="D72" s="1">
        <v>0.05</v>
      </c>
      <c r="E72" s="1">
        <v>600</v>
      </c>
      <c r="F72" s="1">
        <f>StepTest!G51</f>
        <v>333.95</v>
      </c>
    </row>
    <row r="73" spans="1:6">
      <c r="A73" s="50">
        <v>405</v>
      </c>
      <c r="B73" s="54">
        <f>B72+D73</f>
        <v>246.95</v>
      </c>
      <c r="D73" s="1">
        <v>0.04</v>
      </c>
    </row>
    <row r="74" spans="1:6">
      <c r="A74" s="50">
        <v>410</v>
      </c>
      <c r="B74" s="54">
        <f>B73+D74</f>
        <v>246.98</v>
      </c>
      <c r="D74" s="1">
        <v>0.03</v>
      </c>
    </row>
    <row r="75" spans="1:6">
      <c r="A75" s="50">
        <v>415</v>
      </c>
      <c r="B75" s="54">
        <f>B74+D75</f>
        <v>247.01</v>
      </c>
      <c r="D75" s="1">
        <v>0.03</v>
      </c>
    </row>
    <row r="76" spans="1:6">
      <c r="A76" s="50">
        <v>420</v>
      </c>
      <c r="B76" s="57">
        <f>F66</f>
        <v>251.84</v>
      </c>
      <c r="C76" s="52">
        <f>B80-B76</f>
        <v>5.0499999999999829</v>
      </c>
      <c r="D76" s="52">
        <f>C76/4</f>
        <v>1.2624999999999957</v>
      </c>
    </row>
    <row r="77" spans="1:6">
      <c r="A77" s="50">
        <v>435</v>
      </c>
      <c r="B77" s="54">
        <f>B76+D77</f>
        <v>251.93</v>
      </c>
      <c r="D77" s="1">
        <v>0.09</v>
      </c>
    </row>
    <row r="78" spans="1:6">
      <c r="A78" s="50">
        <v>450</v>
      </c>
      <c r="B78" s="54">
        <f>B77+D78</f>
        <v>252</v>
      </c>
      <c r="D78" s="1">
        <v>7.0000000000000007E-2</v>
      </c>
    </row>
    <row r="79" spans="1:6">
      <c r="A79" s="50">
        <v>465</v>
      </c>
      <c r="B79" s="54">
        <f>B78+D79</f>
        <v>252.05</v>
      </c>
      <c r="D79" s="1">
        <v>0.05</v>
      </c>
    </row>
    <row r="80" spans="1:6">
      <c r="A80" s="51">
        <v>480</v>
      </c>
      <c r="B80" s="57">
        <f>F67</f>
        <v>256.89</v>
      </c>
      <c r="C80" s="52">
        <f>B86-B80</f>
        <v>30.819999999999993</v>
      </c>
      <c r="D80" s="53">
        <f>C80/10</f>
        <v>3.0819999999999994</v>
      </c>
    </row>
    <row r="81" spans="1:4">
      <c r="A81" s="50">
        <v>481</v>
      </c>
      <c r="B81" s="54">
        <f>B80+D81</f>
        <v>257.09999999999997</v>
      </c>
      <c r="D81" s="1">
        <v>0.21</v>
      </c>
    </row>
    <row r="82" spans="1:4">
      <c r="A82" s="50">
        <v>482</v>
      </c>
      <c r="B82" s="54">
        <f>B81+D82</f>
        <v>257.28999999999996</v>
      </c>
      <c r="D82" s="1">
        <v>0.19</v>
      </c>
    </row>
    <row r="83" spans="1:4">
      <c r="A83" s="50">
        <v>483</v>
      </c>
      <c r="B83" s="54">
        <f>B82+D83</f>
        <v>257.45999999999998</v>
      </c>
      <c r="D83" s="1">
        <v>0.17</v>
      </c>
    </row>
    <row r="84" spans="1:4">
      <c r="A84" s="50">
        <v>484</v>
      </c>
      <c r="B84" s="54">
        <f>B83+D84</f>
        <v>257.62</v>
      </c>
      <c r="D84" s="1">
        <v>0.16</v>
      </c>
    </row>
    <row r="85" spans="1:4">
      <c r="A85" s="50">
        <v>485</v>
      </c>
      <c r="B85" s="54">
        <f>B84+D85</f>
        <v>257.76</v>
      </c>
      <c r="D85" s="1">
        <v>0.14000000000000001</v>
      </c>
    </row>
    <row r="86" spans="1:4">
      <c r="A86" s="50">
        <v>490</v>
      </c>
      <c r="B86" s="57">
        <f>F68</f>
        <v>287.70999999999998</v>
      </c>
      <c r="C86" s="52">
        <f>B88-B86</f>
        <v>11.560000000000002</v>
      </c>
      <c r="D86" s="52">
        <f>C86/2</f>
        <v>5.7800000000000011</v>
      </c>
    </row>
    <row r="87" spans="1:4">
      <c r="A87" s="50">
        <v>495</v>
      </c>
      <c r="B87" s="54">
        <f>B86+D87</f>
        <v>288.02</v>
      </c>
      <c r="D87" s="1">
        <v>0.31</v>
      </c>
    </row>
    <row r="88" spans="1:4">
      <c r="A88" s="50">
        <v>500</v>
      </c>
      <c r="B88" s="57">
        <f>F69</f>
        <v>299.27</v>
      </c>
      <c r="C88" s="52">
        <f>B90-B88</f>
        <v>11.560000000000002</v>
      </c>
      <c r="D88" s="52">
        <f>C88/2</f>
        <v>5.7800000000000011</v>
      </c>
    </row>
    <row r="89" spans="1:4">
      <c r="A89" s="50">
        <v>505</v>
      </c>
      <c r="B89" s="54">
        <f>B88+D89</f>
        <v>299.57</v>
      </c>
      <c r="D89" s="1">
        <v>0.3</v>
      </c>
    </row>
    <row r="90" spans="1:4">
      <c r="A90" s="50">
        <v>510</v>
      </c>
      <c r="B90" s="57">
        <f>F70</f>
        <v>310.83</v>
      </c>
      <c r="C90" s="52">
        <f>B96-B90</f>
        <v>11.560000000000002</v>
      </c>
      <c r="D90" s="55">
        <f>C90/6</f>
        <v>1.926666666666667</v>
      </c>
    </row>
    <row r="91" spans="1:4">
      <c r="A91" s="50">
        <v>515</v>
      </c>
      <c r="B91" s="54">
        <f>B90+D91</f>
        <v>310.97999999999996</v>
      </c>
      <c r="D91" s="1">
        <v>0.15</v>
      </c>
    </row>
    <row r="92" spans="1:4">
      <c r="A92" s="50">
        <v>520</v>
      </c>
      <c r="B92" s="54">
        <f>B91+D92</f>
        <v>311.10999999999996</v>
      </c>
      <c r="D92" s="1">
        <v>0.13</v>
      </c>
    </row>
    <row r="93" spans="1:4">
      <c r="A93" s="50">
        <v>525</v>
      </c>
      <c r="B93" s="54">
        <f>B92+D93</f>
        <v>311.21999999999997</v>
      </c>
      <c r="D93" s="1">
        <v>0.11</v>
      </c>
    </row>
    <row r="94" spans="1:4">
      <c r="A94" s="50">
        <v>530</v>
      </c>
      <c r="B94" s="54">
        <f>B93+D94</f>
        <v>311.29999999999995</v>
      </c>
      <c r="D94" s="1">
        <v>0.08</v>
      </c>
    </row>
    <row r="95" spans="1:4">
      <c r="A95" s="50">
        <v>535</v>
      </c>
      <c r="B95" s="54">
        <f>B94+D95</f>
        <v>311.36999999999995</v>
      </c>
      <c r="D95" s="1">
        <v>7.0000000000000007E-2</v>
      </c>
    </row>
    <row r="96" spans="1:4">
      <c r="A96" s="50">
        <v>540</v>
      </c>
      <c r="B96" s="57">
        <f>F71</f>
        <v>322.39</v>
      </c>
      <c r="C96" s="52">
        <f>B100-B96</f>
        <v>11.560000000000002</v>
      </c>
      <c r="D96" s="52">
        <f>C96/4</f>
        <v>2.8900000000000006</v>
      </c>
    </row>
    <row r="97" spans="1:4">
      <c r="A97" s="50">
        <v>555</v>
      </c>
      <c r="B97" s="54">
        <f>B96+D97</f>
        <v>322.58</v>
      </c>
      <c r="D97" s="1">
        <v>0.19</v>
      </c>
    </row>
    <row r="98" spans="1:4">
      <c r="A98" s="50">
        <v>570</v>
      </c>
      <c r="B98" s="54">
        <f>B97+D98</f>
        <v>322.74</v>
      </c>
      <c r="D98" s="1">
        <v>0.16</v>
      </c>
    </row>
    <row r="99" spans="1:4">
      <c r="A99" s="50">
        <v>585</v>
      </c>
      <c r="B99" s="54">
        <f>B98+D99</f>
        <v>322.88</v>
      </c>
      <c r="D99" s="1">
        <v>0.14000000000000001</v>
      </c>
    </row>
    <row r="100" spans="1:4">
      <c r="A100" s="51">
        <v>600</v>
      </c>
      <c r="B100" s="34">
        <f>F72</f>
        <v>333.95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O36" sqref="O36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0" t="s">
        <v>0</v>
      </c>
      <c r="B2" s="530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28" t="s">
        <v>3</v>
      </c>
    </row>
    <row r="3" spans="1:19" s="6" customFormat="1">
      <c r="A3" s="274">
        <f>B3+$M$48</f>
        <v>132.19</v>
      </c>
      <c r="B3" s="275">
        <f>B20</f>
        <v>120.84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0.96672000000000002</v>
      </c>
      <c r="G3" s="277">
        <f>1/F3</f>
        <v>1.0344256868586561</v>
      </c>
    </row>
    <row r="4" spans="1:19" s="6" customFormat="1">
      <c r="A4" s="274">
        <f>B4+$M$48</f>
        <v>172.47</v>
      </c>
      <c r="B4" s="266">
        <f>B21</f>
        <v>161.12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1.0070000000000001</v>
      </c>
      <c r="G4" s="277">
        <f t="shared" ref="G4:G7" si="2">1/F4</f>
        <v>0.99304865938430975</v>
      </c>
    </row>
    <row r="5" spans="1:19" s="6" customFormat="1">
      <c r="A5" s="274">
        <f>B5+$M$48</f>
        <v>217.78</v>
      </c>
      <c r="B5" s="266">
        <f>B22</f>
        <v>206.43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1.0605188800410994</v>
      </c>
      <c r="G5" s="277">
        <f t="shared" si="2"/>
        <v>0.9429346509712736</v>
      </c>
    </row>
    <row r="6" spans="1:19" s="6" customFormat="1">
      <c r="A6" s="274">
        <f>B6+$M$48</f>
        <v>268.24</v>
      </c>
      <c r="B6" s="275">
        <f>B23</f>
        <v>256.89</v>
      </c>
      <c r="C6" s="266"/>
      <c r="D6" s="263">
        <f>D23</f>
        <v>229</v>
      </c>
      <c r="E6" s="260">
        <f>D6/12</f>
        <v>19.083333333333332</v>
      </c>
      <c r="F6" s="277">
        <f t="shared" si="1"/>
        <v>1.1217903930131004</v>
      </c>
      <c r="G6" s="277">
        <f t="shared" si="2"/>
        <v>0.89143213048386472</v>
      </c>
    </row>
    <row r="7" spans="1:19" s="6" customFormat="1">
      <c r="A7" s="274">
        <f>B7+$M$48</f>
        <v>345.3</v>
      </c>
      <c r="B7" s="266">
        <f>B24</f>
        <v>333.95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1.2680842984621228</v>
      </c>
      <c r="G7" s="277">
        <f t="shared" si="2"/>
        <v>0.78859110645306174</v>
      </c>
    </row>
    <row r="8" spans="1:19" s="6" customFormat="1">
      <c r="A8" s="260"/>
      <c r="B8" s="260" t="s">
        <v>4</v>
      </c>
      <c r="C8" s="260"/>
      <c r="D8" s="260"/>
      <c r="E8" s="587" t="s">
        <v>5</v>
      </c>
      <c r="F8" s="587"/>
      <c r="G8" s="587"/>
    </row>
    <row r="9" spans="1:19" s="6" customFormat="1">
      <c r="A9" s="531" t="s">
        <v>6</v>
      </c>
      <c r="B9" s="531" t="s">
        <v>2</v>
      </c>
      <c r="C9" s="260"/>
      <c r="D9" s="260"/>
      <c r="E9" s="262">
        <v>0.98</v>
      </c>
      <c r="F9" s="588" t="s">
        <v>7</v>
      </c>
      <c r="G9" s="588"/>
    </row>
    <row r="10" spans="1:19" s="6" customFormat="1">
      <c r="A10" s="278">
        <f>D20/B20</f>
        <v>1.0344256868586561</v>
      </c>
      <c r="B10" s="278">
        <f>B20/D20</f>
        <v>0.96672000000000002</v>
      </c>
      <c r="C10" s="260"/>
      <c r="D10" s="260"/>
      <c r="E10" s="262">
        <v>0.98</v>
      </c>
      <c r="F10" s="588" t="s">
        <v>8</v>
      </c>
      <c r="G10" s="588"/>
    </row>
    <row r="11" spans="1:19" s="6" customFormat="1">
      <c r="A11" s="278">
        <f t="shared" ref="A11:A14" si="3">D21/B21</f>
        <v>0.99304865938430975</v>
      </c>
      <c r="B11" s="278">
        <f t="shared" ref="B11:B14" si="4">B21/D21</f>
        <v>1.0070000000000001</v>
      </c>
      <c r="C11" s="260"/>
      <c r="D11" s="260" t="s">
        <v>4</v>
      </c>
      <c r="E11" s="262">
        <v>0.98</v>
      </c>
      <c r="F11" s="588" t="s">
        <v>9</v>
      </c>
      <c r="G11" s="588"/>
    </row>
    <row r="12" spans="1:19" s="6" customFormat="1">
      <c r="A12" s="278">
        <f t="shared" si="3"/>
        <v>0.9429346509712736</v>
      </c>
      <c r="B12" s="278">
        <f t="shared" si="4"/>
        <v>1.0605188800410994</v>
      </c>
      <c r="C12" s="260"/>
      <c r="D12" s="260"/>
      <c r="E12" s="262">
        <v>1</v>
      </c>
      <c r="F12" s="588" t="s">
        <v>10</v>
      </c>
      <c r="G12" s="588"/>
    </row>
    <row r="13" spans="1:19" s="6" customFormat="1">
      <c r="A13" s="278">
        <f t="shared" si="3"/>
        <v>0.89143213048386472</v>
      </c>
      <c r="B13" s="278">
        <f t="shared" si="4"/>
        <v>1.1217903930131004</v>
      </c>
      <c r="C13" s="260"/>
      <c r="D13" s="260" t="s">
        <v>4</v>
      </c>
      <c r="E13" s="587" t="s">
        <v>11</v>
      </c>
      <c r="F13" s="587"/>
      <c r="G13" s="587"/>
    </row>
    <row r="14" spans="1:19" s="6" customFormat="1">
      <c r="A14" s="278">
        <f t="shared" si="3"/>
        <v>0.78859110645306174</v>
      </c>
      <c r="B14" s="278">
        <f t="shared" si="4"/>
        <v>1.2680842984621228</v>
      </c>
      <c r="C14" s="260"/>
      <c r="D14" s="260"/>
      <c r="E14" s="262">
        <v>1</v>
      </c>
      <c r="F14" s="588" t="s">
        <v>7</v>
      </c>
      <c r="G14" s="588"/>
    </row>
    <row r="15" spans="1:19" s="6" customFormat="1" ht="17.25" thickBot="1">
      <c r="A15" s="260"/>
      <c r="B15" s="260"/>
      <c r="C15" s="260"/>
      <c r="D15" s="260"/>
      <c r="E15" s="262">
        <v>1</v>
      </c>
      <c r="F15" s="588" t="s">
        <v>8</v>
      </c>
      <c r="G15" s="588"/>
    </row>
    <row r="16" spans="1:19" s="6" customFormat="1">
      <c r="A16" s="260"/>
      <c r="B16" s="527" t="s">
        <v>12</v>
      </c>
      <c r="C16" s="260"/>
      <c r="D16" s="527" t="s">
        <v>13</v>
      </c>
      <c r="E16" s="525">
        <v>1</v>
      </c>
      <c r="F16" s="588" t="s">
        <v>9</v>
      </c>
      <c r="G16" s="588"/>
      <c r="Q16" s="548" t="s">
        <v>337</v>
      </c>
      <c r="R16" s="549"/>
      <c r="S16" s="550"/>
    </row>
    <row r="17" spans="1:21" s="6" customFormat="1" ht="17.25" thickBot="1">
      <c r="A17" s="260"/>
      <c r="B17" s="524">
        <f>M52</f>
        <v>256.89</v>
      </c>
      <c r="C17" s="260"/>
      <c r="D17" s="526">
        <f>M47</f>
        <v>229</v>
      </c>
      <c r="E17" s="525">
        <v>1</v>
      </c>
      <c r="F17" s="588" t="s">
        <v>10</v>
      </c>
      <c r="G17" s="588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29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1">
        <f>INT(B$17*C20*100)/100</f>
        <v>120.84</v>
      </c>
      <c r="C20" s="260">
        <f>0.48*E9</f>
        <v>0.47039999999999998</v>
      </c>
      <c r="D20" s="518">
        <f>INT(D$17*E20)</f>
        <v>125</v>
      </c>
      <c r="E20" s="279">
        <f>0.55*E14</f>
        <v>0.55000000000000004</v>
      </c>
      <c r="F20" s="277">
        <f>B20/D20</f>
        <v>0.96672000000000002</v>
      </c>
      <c r="G20" s="260">
        <f>F20-F19</f>
        <v>0.96672000000000002</v>
      </c>
    </row>
    <row r="21" spans="1:21" s="6" customFormat="1">
      <c r="A21" s="266">
        <f>B21-B20</f>
        <v>40.28</v>
      </c>
      <c r="B21" s="522">
        <f>INT(B$17*C21*100)/100</f>
        <v>161.12</v>
      </c>
      <c r="C21" s="260">
        <f>0.64*E10</f>
        <v>0.62719999999999998</v>
      </c>
      <c r="D21" s="518">
        <f>INT(D$17*E21)</f>
        <v>160</v>
      </c>
      <c r="E21" s="279">
        <f>0.7*E15</f>
        <v>0.7</v>
      </c>
      <c r="F21" s="277">
        <f>B21/D21</f>
        <v>1.0070000000000001</v>
      </c>
      <c r="G21" s="260">
        <f>F21-F20</f>
        <v>4.0280000000000094E-2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45.31</v>
      </c>
      <c r="B22" s="522">
        <f>INT(B$17*C22*100)/100</f>
        <v>206.43</v>
      </c>
      <c r="C22" s="260">
        <f>0.82*E11</f>
        <v>0.80359999999999998</v>
      </c>
      <c r="D22" s="519">
        <f>(D$17*E22)</f>
        <v>194.65</v>
      </c>
      <c r="E22" s="279">
        <f>0.85*E16</f>
        <v>0.85</v>
      </c>
      <c r="F22" s="277">
        <f>B22/D22</f>
        <v>1.0605188800410994</v>
      </c>
      <c r="G22" s="404">
        <f>F22-F21</f>
        <v>5.3518880041099282E-2</v>
      </c>
    </row>
    <row r="23" spans="1:21" s="6" customFormat="1">
      <c r="A23" s="266">
        <f>B23-B22</f>
        <v>50.45999999999998</v>
      </c>
      <c r="B23" s="522">
        <f>INT(B$17*C23*100)/100</f>
        <v>256.89</v>
      </c>
      <c r="C23" s="260">
        <v>1</v>
      </c>
      <c r="D23" s="518">
        <f>D$17*E23</f>
        <v>229</v>
      </c>
      <c r="E23" s="279">
        <v>1</v>
      </c>
      <c r="F23" s="277">
        <f>B23/D23</f>
        <v>1.1217903930131004</v>
      </c>
      <c r="G23" s="260">
        <f>F23-F22</f>
        <v>6.1271512972000952E-2</v>
      </c>
      <c r="O23" s="286"/>
      <c r="Q23" s="286"/>
      <c r="S23" s="286"/>
      <c r="U23" s="286"/>
    </row>
    <row r="24" spans="1:21" s="6" customFormat="1" ht="17.25" thickBot="1">
      <c r="A24" s="266">
        <f>B24-B23</f>
        <v>77.06</v>
      </c>
      <c r="B24" s="523">
        <f>INT(B$17*C24*100)/100</f>
        <v>333.95</v>
      </c>
      <c r="C24" s="260">
        <f>1.3*E12</f>
        <v>1.3</v>
      </c>
      <c r="D24" s="520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1.2680842984621228</v>
      </c>
      <c r="G25" s="266"/>
      <c r="O25" s="286"/>
      <c r="Q25" s="286"/>
      <c r="S25" s="286"/>
      <c r="U25" s="286"/>
    </row>
    <row r="26" spans="1:21" s="6" customFormat="1">
      <c r="A26" s="573" t="s">
        <v>14</v>
      </c>
      <c r="B26" s="573"/>
      <c r="C26" s="280">
        <f>INT(M51*1)</f>
        <v>200</v>
      </c>
      <c r="D26" s="260"/>
      <c r="E26" s="260"/>
      <c r="F26" s="281">
        <f>M50/M51</f>
        <v>1.4432499999999999</v>
      </c>
      <c r="G26" s="260"/>
      <c r="O26" s="286"/>
      <c r="Q26" s="286"/>
      <c r="S26" s="286"/>
      <c r="U26" s="286"/>
    </row>
    <row r="27" spans="1:21" s="6" customFormat="1">
      <c r="A27" s="573" t="s">
        <v>15</v>
      </c>
      <c r="B27" s="573"/>
      <c r="C27" s="282">
        <f>SafeYield!B7</f>
        <v>206.66534994030187</v>
      </c>
      <c r="D27" s="266">
        <f>(C27/D6)*100</f>
        <v>90.246877703188588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5" t="s">
        <v>16</v>
      </c>
      <c r="B30" s="415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18">
        <v>1.3960000000000001E-4</v>
      </c>
      <c r="B31" s="418">
        <v>7.1861900000000006E-2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1.3960000000000001E-4</v>
      </c>
      <c r="B32" s="260">
        <f t="shared" si="6"/>
        <v>7.1861900000000006E-2</v>
      </c>
      <c r="C32" s="260"/>
      <c r="D32" s="263">
        <f t="shared" si="5"/>
        <v>125</v>
      </c>
      <c r="E32" s="260"/>
      <c r="F32" s="261">
        <f>B32*D32/(B32*D32+A32*D32*D32)*100</f>
        <v>80.461730183771706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1.3960000000000001E-4</v>
      </c>
      <c r="B33" s="260">
        <f t="shared" si="6"/>
        <v>7.1861900000000006E-2</v>
      </c>
      <c r="C33" s="260"/>
      <c r="D33" s="263">
        <f t="shared" si="5"/>
        <v>160</v>
      </c>
      <c r="E33" s="260"/>
      <c r="F33" s="261">
        <f>B33*D33/(B33*D33+A33*D33*D33)*100</f>
        <v>76.288218739483582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1.3960000000000001E-4</v>
      </c>
      <c r="B34" s="260">
        <f t="shared" si="6"/>
        <v>7.1861900000000006E-2</v>
      </c>
      <c r="C34" s="260"/>
      <c r="D34" s="263">
        <f t="shared" si="5"/>
        <v>194.65</v>
      </c>
      <c r="E34" s="260"/>
      <c r="F34" s="261">
        <f>B34*D34/(B34*D34+A34*D34*D34)*100</f>
        <v>72.562095193781914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1.3960000000000001E-4</v>
      </c>
      <c r="B35" s="260">
        <f>B34</f>
        <v>7.1861900000000006E-2</v>
      </c>
      <c r="C35" s="260"/>
      <c r="D35" s="263">
        <f t="shared" si="5"/>
        <v>229</v>
      </c>
      <c r="E35" s="260"/>
      <c r="F35" s="261">
        <f>B35*D35/(B35*D35+A35*D35*D35)*100</f>
        <v>69.210914347738566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74.630739616193949</v>
      </c>
      <c r="G37" s="260"/>
      <c r="P37" s="108">
        <v>1.3960000000000001E-4</v>
      </c>
      <c r="Q37" s="108">
        <v>0.108</v>
      </c>
    </row>
    <row r="38" spans="1:21" s="6" customFormat="1" ht="13.5" customHeight="1">
      <c r="A38" s="264">
        <v>72.188999999999993</v>
      </c>
      <c r="B38" s="262">
        <v>0.108</v>
      </c>
      <c r="C38" s="262">
        <v>93.789000000000001</v>
      </c>
      <c r="D38" s="260"/>
      <c r="E38" s="260" t="s">
        <v>21</v>
      </c>
      <c r="F38" s="260"/>
      <c r="G38" s="260"/>
      <c r="P38" s="108">
        <v>7.1861900000000006E-2</v>
      </c>
      <c r="Q38" s="108">
        <v>93.789000000000001</v>
      </c>
    </row>
    <row r="39" spans="1:21" s="6" customFormat="1" ht="13.5" customHeight="1">
      <c r="A39" s="265"/>
      <c r="B39" s="260" t="s">
        <v>22</v>
      </c>
      <c r="C39" s="266">
        <f>(C38-A38)/B38</f>
        <v>200.00000000000009</v>
      </c>
      <c r="D39" s="260">
        <f>C38-B38*M51</f>
        <v>72.188999999999993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2.7679999999999998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74" t="s">
        <v>341</v>
      </c>
      <c r="J44" s="575"/>
      <c r="K44" s="576"/>
      <c r="L44" s="389" t="s">
        <v>30</v>
      </c>
      <c r="M44" s="397">
        <v>250</v>
      </c>
      <c r="N44" s="407" t="s">
        <v>31</v>
      </c>
      <c r="Q44" s="546">
        <v>125</v>
      </c>
      <c r="R44" s="294">
        <v>22.58</v>
      </c>
      <c r="S44" s="294">
        <v>11.23</v>
      </c>
      <c r="T44" s="295">
        <v>11.131</v>
      </c>
      <c r="U44" s="296">
        <v>8.9840000000000003E-2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78" t="s">
        <v>342</v>
      </c>
      <c r="J45" s="579"/>
      <c r="K45" s="580"/>
      <c r="L45" s="396" t="s">
        <v>34</v>
      </c>
      <c r="M45" s="408">
        <v>158</v>
      </c>
      <c r="N45" s="406">
        <f>M44</f>
        <v>250</v>
      </c>
      <c r="Q45" s="546">
        <v>160</v>
      </c>
      <c r="R45" s="294">
        <v>26.33</v>
      </c>
      <c r="S45" s="294">
        <v>14.98</v>
      </c>
      <c r="T45" s="295">
        <v>10.680999999999999</v>
      </c>
      <c r="U45" s="296">
        <v>9.3625E-2</v>
      </c>
    </row>
    <row r="46" spans="1:21" s="6" customFormat="1">
      <c r="A46" s="260">
        <f>B34</f>
        <v>7.1861900000000006E-2</v>
      </c>
      <c r="B46" s="108" t="s">
        <v>35</v>
      </c>
      <c r="C46" s="577" t="s">
        <v>36</v>
      </c>
      <c r="D46" s="577"/>
      <c r="E46" s="260"/>
      <c r="F46" s="260"/>
      <c r="G46" s="260"/>
      <c r="H46" s="390" t="s">
        <v>37</v>
      </c>
      <c r="I46" s="584" t="s">
        <v>340</v>
      </c>
      <c r="J46" s="585"/>
      <c r="K46" s="586"/>
      <c r="L46" s="396" t="s">
        <v>38</v>
      </c>
      <c r="M46" s="409">
        <f>IF(I52&gt;M48, M45-I52,M45-M48)</f>
        <v>138</v>
      </c>
      <c r="Q46" s="546">
        <v>195</v>
      </c>
      <c r="R46" s="294">
        <v>30.54</v>
      </c>
      <c r="S46" s="294">
        <v>19.190000000000001</v>
      </c>
      <c r="T46" s="295">
        <v>10.143000000000001</v>
      </c>
      <c r="U46" s="296">
        <v>9.8587207808887745E-2</v>
      </c>
    </row>
    <row r="47" spans="1:21" s="6" customFormat="1">
      <c r="A47" s="260">
        <f>120/1440</f>
        <v>8.3333333333333329E-2</v>
      </c>
      <c r="B47" s="108" t="s">
        <v>336</v>
      </c>
      <c r="C47" s="577" t="s">
        <v>40</v>
      </c>
      <c r="D47" s="577"/>
      <c r="E47" s="260"/>
      <c r="F47" s="260"/>
      <c r="G47" s="260"/>
      <c r="H47" s="390" t="s">
        <v>41</v>
      </c>
      <c r="I47" s="581" t="s">
        <v>343</v>
      </c>
      <c r="J47" s="582"/>
      <c r="K47" s="583"/>
      <c r="L47" s="416" t="s">
        <v>42</v>
      </c>
      <c r="M47" s="417">
        <f>INT((M51*100)/M53)</f>
        <v>229</v>
      </c>
      <c r="Q47" s="546">
        <v>229</v>
      </c>
      <c r="R47" s="294">
        <v>35.24</v>
      </c>
      <c r="S47" s="294">
        <v>23.89</v>
      </c>
      <c r="T47" s="295">
        <v>9.5860000000000003</v>
      </c>
      <c r="U47" s="296">
        <v>0.10432314410480349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62" t="s">
        <v>290</v>
      </c>
      <c r="K48" s="562"/>
      <c r="L48" s="403" t="s">
        <v>44</v>
      </c>
      <c r="M48" s="408">
        <v>11.35</v>
      </c>
      <c r="Q48" s="547">
        <v>263</v>
      </c>
      <c r="R48" s="298">
        <v>42.4</v>
      </c>
      <c r="S48" s="298">
        <v>31.05</v>
      </c>
      <c r="T48" s="299">
        <v>8.4809999999999999</v>
      </c>
      <c r="U48" s="300">
        <v>0.11790393013100438</v>
      </c>
    </row>
    <row r="49" spans="1:24" s="6" customFormat="1">
      <c r="A49" s="260" t="s">
        <v>45</v>
      </c>
      <c r="B49" s="301">
        <f>INT(SQRT(B54)*1000)/1000</f>
        <v>2.7679999999999998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63">
        <f>LongTest!C10</f>
        <v>45726.430555555555</v>
      </c>
      <c r="J49" s="563"/>
      <c r="K49" s="563"/>
      <c r="L49" s="396" t="s">
        <v>48</v>
      </c>
      <c r="M49" s="408">
        <v>300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0">
        <f>M49-M48</f>
        <v>288.64999999999998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08">
        <v>200</v>
      </c>
      <c r="P51" s="303"/>
    </row>
    <row r="52" spans="1:24" s="6" customFormat="1" ht="17.25" thickBot="1">
      <c r="A52" s="265" t="s">
        <v>53</v>
      </c>
      <c r="B52" s="108">
        <f>10^(5.46*A44*A46)</f>
        <v>310.68628691565476</v>
      </c>
      <c r="C52" s="304">
        <f>B52*B51</f>
        <v>0.15534314345782738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5" t="s">
        <v>56</v>
      </c>
      <c r="M52" s="411">
        <f>INT(M50*0.89*100)/100</f>
        <v>256.89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72" t="s">
        <v>240</v>
      </c>
      <c r="J53" s="572"/>
      <c r="K53" s="572"/>
      <c r="L53" s="572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7.6660000000000004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2.7687542325024084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57" t="s">
        <v>62</v>
      </c>
      <c r="E57" s="558"/>
      <c r="F57" s="557" t="s">
        <v>61</v>
      </c>
      <c r="G57" s="558"/>
      <c r="H57" s="310" t="s">
        <v>63</v>
      </c>
      <c r="I57" s="311">
        <f>M50</f>
        <v>288.64999999999998</v>
      </c>
      <c r="J57" s="310" t="s">
        <v>64</v>
      </c>
      <c r="K57" s="310" t="s">
        <v>65</v>
      </c>
      <c r="L57" s="557" t="s">
        <v>66</v>
      </c>
      <c r="M57" s="559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60">
        <f>SkinFactor!E10</f>
        <v>5.1830000000000001E-2</v>
      </c>
      <c r="E58" s="561"/>
      <c r="F58" s="551"/>
      <c r="G58" s="552"/>
      <c r="H58" s="305" t="s">
        <v>68</v>
      </c>
      <c r="I58" s="313">
        <f>C62/M46</f>
        <v>2.1300724637681158E-2</v>
      </c>
      <c r="J58" s="305" t="s">
        <v>69</v>
      </c>
      <c r="K58" s="314">
        <f>SQRT(6*I57*I58*I60/I59)</f>
        <v>278.70340157085366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2.8959999999999999</v>
      </c>
      <c r="C59" s="564">
        <f>B59</f>
        <v>2.8959999999999999</v>
      </c>
      <c r="D59" s="566">
        <f>SkinFactor!I16</f>
        <v>1.7809999999999999E-4</v>
      </c>
      <c r="E59" s="567"/>
      <c r="F59" s="568">
        <f>INT((D59+D60)/1*10000000)/10000000</f>
        <v>1.7809999999999999E-4</v>
      </c>
      <c r="G59" s="569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341.34056171329354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65"/>
      <c r="D60" s="566"/>
      <c r="E60" s="567"/>
      <c r="F60" s="570"/>
      <c r="G60" s="571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118.00805854248154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51"/>
      <c r="E61" s="552"/>
      <c r="F61" s="551"/>
      <c r="G61" s="552"/>
      <c r="H61" s="305" t="s">
        <v>28</v>
      </c>
      <c r="I61" s="305">
        <f>C62</f>
        <v>2.9394999999999998</v>
      </c>
      <c r="J61" s="305" t="s">
        <v>77</v>
      </c>
      <c r="K61" s="314">
        <f>((K58+K59+K60)/3)</f>
        <v>246.01734060887622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2.9394999999999998</v>
      </c>
      <c r="D62" s="553"/>
      <c r="E62" s="554"/>
      <c r="F62" s="555">
        <f>F59</f>
        <v>1.7809999999999999E-4</v>
      </c>
      <c r="G62" s="556"/>
      <c r="H62" s="319" t="s">
        <v>78</v>
      </c>
      <c r="I62" s="320">
        <v>70.33</v>
      </c>
      <c r="J62" s="319" t="s">
        <v>79</v>
      </c>
      <c r="K62" s="321">
        <f>MAX(K58:K60)</f>
        <v>341.34056171329354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351</v>
      </c>
      <c r="S64" s="327" t="s">
        <v>352</v>
      </c>
      <c r="T64" s="327" t="s">
        <v>353</v>
      </c>
      <c r="U64" s="327" t="s">
        <v>354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9" r:id="rId4" name="CommandButton_STEP">
          <controlPr defaultSize="0" autoLine="0" autoPict="0" r:id="rId5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4" name="CommandButton_STEP"/>
      </mc:Fallback>
    </mc:AlternateContent>
    <mc:AlternateContent xmlns:mc="http://schemas.openxmlformats.org/markup-compatibility/2006">
      <mc:Choice Requires="x14">
        <control shapeId="1076" r:id="rId6" name="OptionButton2">
          <controlPr defaultSize="0" autoLine="0" r:id="rId7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6" name="OptionButton2"/>
      </mc:Fallback>
    </mc:AlternateContent>
    <mc:AlternateContent xmlns:mc="http://schemas.openxmlformats.org/markup-compatibility/2006">
      <mc:Choice Requires="x14">
        <control shapeId="1075" r:id="rId8" name="OptionButton1">
          <controlPr defaultSize="0" autoLine="0" r:id="rId9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8" name="OptionButton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26" r:id="rId12" name="CommandButton_CB1">
          <controlPr defaultSize="0" autoLine="0" r:id="rId13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2" name="CommandButton_CB1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30" r:id="rId16" name="CommandButton_Chart">
          <controlPr defaultSize="0" autoLine="0" r:id="rId17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16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1" t="s">
        <v>116</v>
      </c>
      <c r="C3" s="462" t="s">
        <v>13</v>
      </c>
      <c r="D3" s="462" t="s">
        <v>28</v>
      </c>
      <c r="E3" s="462" t="s">
        <v>117</v>
      </c>
      <c r="F3" s="462" t="s">
        <v>32</v>
      </c>
      <c r="G3" s="462" t="s">
        <v>118</v>
      </c>
      <c r="H3" s="462" t="s">
        <v>35</v>
      </c>
      <c r="I3" s="46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64">
        <f>LongTest!G10</f>
        <v>2.8238075488796248</v>
      </c>
      <c r="C4" s="465">
        <f>LongTest!B10</f>
        <v>200</v>
      </c>
      <c r="D4" s="466">
        <v>6.3520341974657759</v>
      </c>
      <c r="E4" s="467">
        <f>Input!M44/2000</f>
        <v>0.125</v>
      </c>
      <c r="F4" s="468">
        <v>5.0000000000000001E-4</v>
      </c>
      <c r="G4" s="468">
        <f>PI()</f>
        <v>3.1415926535897931</v>
      </c>
      <c r="H4" s="468">
        <f>Input!$A$46</f>
        <v>7.1861900000000006E-2</v>
      </c>
      <c r="I4" s="469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0"/>
      <c r="C5" s="471"/>
      <c r="D5" s="472">
        <v>2.8959999999999999</v>
      </c>
      <c r="E5" s="473" t="s">
        <v>235</v>
      </c>
      <c r="F5" s="471"/>
      <c r="G5" s="471"/>
      <c r="H5" s="468"/>
      <c r="I5" s="47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75" t="s">
        <v>120</v>
      </c>
      <c r="C6" s="476">
        <f>(2*G4*B4*D5)/(C4)</f>
        <v>0.25691148834860877</v>
      </c>
      <c r="D6" s="477"/>
      <c r="E6" s="476">
        <f>1.15*LOG((2.25*D5*(1/1440))/(F4*E4^2))</f>
        <v>3.1772528361674537</v>
      </c>
      <c r="F6" s="478" t="s">
        <v>121</v>
      </c>
      <c r="G6" s="479">
        <f>C6-E6</f>
        <v>-2.9203413478188449</v>
      </c>
      <c r="H6" s="468"/>
      <c r="I6" s="469">
        <f>Input!M49</f>
        <v>300</v>
      </c>
      <c r="J6" s="116">
        <f>MAX(C13,C18,C23)</f>
        <v>341.3</v>
      </c>
      <c r="K6" s="114" t="s">
        <v>214</v>
      </c>
      <c r="M6" s="12"/>
      <c r="N6" s="7"/>
      <c r="O6" s="7"/>
    </row>
    <row r="7" spans="1:15" ht="23.1" customHeight="1">
      <c r="A7" s="7"/>
      <c r="B7" s="480" t="s">
        <v>122</v>
      </c>
      <c r="C7" s="468">
        <f>2.25*D4*(120/1440)</f>
        <v>1.1910064120248329</v>
      </c>
      <c r="D7" s="471"/>
      <c r="E7" s="481" t="s">
        <v>123</v>
      </c>
      <c r="F7" s="468">
        <f>F4*10^(5.46*D4*H4)</f>
        <v>0.15534314345782738</v>
      </c>
      <c r="G7" s="481" t="s">
        <v>124</v>
      </c>
      <c r="H7" s="468">
        <f>F4*EXP(4*G4*D4*H4)</f>
        <v>0.15493637401798593</v>
      </c>
      <c r="I7" s="474" t="s">
        <v>125</v>
      </c>
      <c r="J7" s="117">
        <f>ROUND((C13+C18+C23)/3,1)</f>
        <v>246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2" t="s">
        <v>126</v>
      </c>
      <c r="C8" s="483">
        <f>ROUND(E4*EXP(-1*G6),3)</f>
        <v>2.3180000000000001</v>
      </c>
      <c r="D8" s="484"/>
      <c r="E8" s="484"/>
      <c r="F8" s="485"/>
      <c r="G8" s="484"/>
      <c r="H8" s="486"/>
      <c r="I8" s="487">
        <f>Input!M45</f>
        <v>158</v>
      </c>
      <c r="J8" s="112" t="s">
        <v>237</v>
      </c>
      <c r="K8" s="118">
        <f>ROUND(SQRT(C7/F7),4)</f>
        <v>2.7688999999999999</v>
      </c>
      <c r="L8" s="7"/>
      <c r="M8" s="7"/>
      <c r="N8" s="13"/>
      <c r="O8" s="7"/>
    </row>
    <row r="9" spans="1:15" ht="23.1" customHeight="1" thickBot="1">
      <c r="A9" s="7"/>
      <c r="B9" s="413" t="s">
        <v>347</v>
      </c>
      <c r="C9" s="414">
        <v>2880</v>
      </c>
      <c r="D9" s="7"/>
      <c r="E9" s="7"/>
      <c r="F9" s="7"/>
      <c r="G9" s="7"/>
      <c r="H9" s="8"/>
      <c r="I9" s="488" t="s">
        <v>127</v>
      </c>
      <c r="J9" s="112" t="s">
        <v>238</v>
      </c>
      <c r="K9" s="119">
        <f>ROUND(SQRT(C7/H7),4)</f>
        <v>2.7726000000000002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42">
        <f>LongTest!F101</f>
        <v>13.281029275619737</v>
      </c>
      <c r="D10" s="705">
        <f>LongTest!F97</f>
        <v>14.958180649765406</v>
      </c>
      <c r="E10" s="412">
        <v>5.1830000000000001E-2</v>
      </c>
      <c r="F10" s="419" t="s">
        <v>348</v>
      </c>
      <c r="H10" s="258" t="s">
        <v>84</v>
      </c>
      <c r="I10" s="489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43">
        <f>I6-C10</f>
        <v>286.71897072438026</v>
      </c>
      <c r="D11" s="706">
        <f>I6-D10</f>
        <v>285.04181935023462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0" t="s">
        <v>130</v>
      </c>
      <c r="C13" s="491">
        <f>ROUND(SQRT(6*B16*E16*H16/I16),1)</f>
        <v>278.7</v>
      </c>
      <c r="D13" s="492"/>
      <c r="E13" s="493" t="s">
        <v>248</v>
      </c>
      <c r="F13" s="494">
        <f>D5</f>
        <v>2.8959999999999999</v>
      </c>
      <c r="G13" s="493" t="s">
        <v>247</v>
      </c>
      <c r="H13" s="495">
        <v>2.9830000000000001</v>
      </c>
      <c r="I13" s="496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0"/>
      <c r="C14" s="471"/>
      <c r="D14" s="471"/>
      <c r="E14" s="471"/>
      <c r="F14" s="471"/>
      <c r="G14" s="471"/>
      <c r="H14" s="468"/>
      <c r="I14" s="497"/>
      <c r="J14" s="7"/>
      <c r="K14" s="7"/>
      <c r="L14" s="7"/>
      <c r="M14" s="7"/>
      <c r="N14" s="7"/>
      <c r="O14" s="7"/>
    </row>
    <row r="15" spans="1:15" ht="23.1" customHeight="1">
      <c r="A15" s="7"/>
      <c r="B15" s="498" t="s">
        <v>131</v>
      </c>
      <c r="C15" s="468" t="s">
        <v>132</v>
      </c>
      <c r="D15" s="468" t="s">
        <v>133</v>
      </c>
      <c r="E15" s="468" t="s">
        <v>68</v>
      </c>
      <c r="F15" s="468" t="s">
        <v>134</v>
      </c>
      <c r="G15" s="468" t="s">
        <v>135</v>
      </c>
      <c r="H15" s="468" t="s">
        <v>136</v>
      </c>
      <c r="I15" s="49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0">
        <f>I6-I4</f>
        <v>288.64999999999998</v>
      </c>
      <c r="C16" s="501">
        <f>I8-IF(I4&gt;I10,I4,I10)</f>
        <v>138</v>
      </c>
      <c r="D16" s="502">
        <f>(F13+H13)/2</f>
        <v>2.9394999999999998</v>
      </c>
      <c r="E16" s="503">
        <f>INT(D16/C16*100000)/100000</f>
        <v>2.1299999999999999E-2</v>
      </c>
      <c r="F16" s="504">
        <v>1440</v>
      </c>
      <c r="G16" s="505">
        <v>540</v>
      </c>
      <c r="H16" s="502">
        <f>INT(G16/F16*10000)/10000</f>
        <v>0.375</v>
      </c>
      <c r="I16" s="506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0" t="s">
        <v>137</v>
      </c>
      <c r="C18" s="491">
        <f>ROUND(3*SQRT(B21*E21*H21/I21),1)</f>
        <v>341.3</v>
      </c>
      <c r="D18" s="492"/>
      <c r="E18" s="492"/>
      <c r="F18" s="492"/>
      <c r="G18" s="492"/>
      <c r="H18" s="507"/>
      <c r="I18" s="508"/>
      <c r="J18" s="7"/>
      <c r="K18" s="7"/>
      <c r="L18" s="7"/>
      <c r="M18" s="7"/>
      <c r="N18" s="7"/>
      <c r="O18" s="7"/>
    </row>
    <row r="19" spans="1:15" ht="23.1" customHeight="1">
      <c r="A19" s="7"/>
      <c r="B19" s="470"/>
      <c r="C19" s="471"/>
      <c r="D19" s="471"/>
      <c r="E19" s="471"/>
      <c r="F19" s="471"/>
      <c r="G19" s="471"/>
      <c r="H19" s="468"/>
      <c r="I19" s="497"/>
      <c r="J19" s="7"/>
      <c r="K19" s="7"/>
      <c r="L19" s="7"/>
      <c r="M19" s="7"/>
      <c r="N19" s="7"/>
      <c r="O19" s="7"/>
    </row>
    <row r="20" spans="1:15" ht="23.1" customHeight="1">
      <c r="A20" s="7"/>
      <c r="B20" s="498" t="s">
        <v>138</v>
      </c>
      <c r="C20" s="468" t="s">
        <v>38</v>
      </c>
      <c r="D20" s="468" t="s">
        <v>139</v>
      </c>
      <c r="E20" s="509" t="s">
        <v>68</v>
      </c>
      <c r="F20" s="468" t="s">
        <v>134</v>
      </c>
      <c r="G20" s="468" t="s">
        <v>140</v>
      </c>
      <c r="H20" s="468" t="s">
        <v>39</v>
      </c>
      <c r="I20" s="497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0">
        <f t="shared" ref="B21:I21" si="0">B16</f>
        <v>288.64999999999998</v>
      </c>
      <c r="C21" s="511">
        <f t="shared" si="0"/>
        <v>138</v>
      </c>
      <c r="D21" s="504">
        <f t="shared" si="0"/>
        <v>2.9394999999999998</v>
      </c>
      <c r="E21" s="502">
        <f t="shared" si="0"/>
        <v>2.1299999999999999E-2</v>
      </c>
      <c r="F21" s="504">
        <f t="shared" si="0"/>
        <v>1440</v>
      </c>
      <c r="G21" s="504">
        <f t="shared" si="0"/>
        <v>540</v>
      </c>
      <c r="H21" s="504">
        <f t="shared" si="0"/>
        <v>0.375</v>
      </c>
      <c r="I21" s="512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0" t="s">
        <v>141</v>
      </c>
      <c r="C23" s="491">
        <f>ROUND(SQRT((2.25*D26*H26)/I26),1)</f>
        <v>118</v>
      </c>
      <c r="D23" s="492"/>
      <c r="E23" s="492"/>
      <c r="F23" s="492"/>
      <c r="G23" s="492"/>
      <c r="H23" s="507"/>
      <c r="I23" s="508"/>
      <c r="J23" s="7"/>
      <c r="K23" s="7"/>
      <c r="L23" s="7"/>
      <c r="M23" s="7"/>
      <c r="N23" s="7"/>
      <c r="O23" s="7"/>
    </row>
    <row r="24" spans="1:15" ht="23.1" customHeight="1">
      <c r="A24" s="7"/>
      <c r="B24" s="470"/>
      <c r="C24" s="471"/>
      <c r="D24" s="471"/>
      <c r="E24" s="471"/>
      <c r="F24" s="471"/>
      <c r="G24" s="471"/>
      <c r="H24" s="468"/>
      <c r="I24" s="497"/>
      <c r="J24" s="7"/>
      <c r="K24" s="7"/>
      <c r="L24" s="7"/>
      <c r="M24" s="7"/>
      <c r="N24" s="104"/>
      <c r="O24" s="7"/>
    </row>
    <row r="25" spans="1:15" ht="23.1" customHeight="1">
      <c r="A25" s="7"/>
      <c r="B25" s="498" t="s">
        <v>138</v>
      </c>
      <c r="C25" s="468" t="s">
        <v>38</v>
      </c>
      <c r="D25" s="468" t="s">
        <v>139</v>
      </c>
      <c r="E25" s="468" t="s">
        <v>68</v>
      </c>
      <c r="F25" s="468" t="s">
        <v>134</v>
      </c>
      <c r="G25" s="468" t="s">
        <v>140</v>
      </c>
      <c r="H25" s="509" t="s">
        <v>39</v>
      </c>
      <c r="I25" s="49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0">
        <f t="shared" ref="B26:G26" si="1">B21</f>
        <v>288.64999999999998</v>
      </c>
      <c r="C26" s="504">
        <f t="shared" si="1"/>
        <v>138</v>
      </c>
      <c r="D26" s="504">
        <f t="shared" si="1"/>
        <v>2.9394999999999998</v>
      </c>
      <c r="E26" s="503">
        <f t="shared" si="1"/>
        <v>2.1299999999999999E-2</v>
      </c>
      <c r="F26" s="504">
        <f t="shared" si="1"/>
        <v>1440</v>
      </c>
      <c r="G26" s="504">
        <f t="shared" si="1"/>
        <v>540</v>
      </c>
      <c r="H26" s="502">
        <f>INT(G16/F16*10000)/10000</f>
        <v>0.375</v>
      </c>
      <c r="I26" s="512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2.9394999999999998</v>
      </c>
      <c r="D28" s="175">
        <f>(C28/C16)*(1/86400)</f>
        <v>2.4653616478797637E-7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2.4653616478797637E-7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246</v>
      </c>
      <c r="D30" s="7"/>
      <c r="E30" s="169">
        <f>(C13+C18)/2</f>
        <v>310</v>
      </c>
      <c r="F30" s="170">
        <f>MAX(C13,C18)</f>
        <v>341.3</v>
      </c>
      <c r="G30" s="171">
        <f>ROUND(C4/(G4*F30^2*I16),3)</f>
        <v>3.069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120.84</v>
      </c>
    </row>
    <row r="4" spans="1:2" ht="20.100000000000001" customHeight="1">
      <c r="A4" s="19" t="s">
        <v>147</v>
      </c>
      <c r="B4" s="99">
        <f>StepTest!G46</f>
        <v>256.89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206.66534994030187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93" t="s">
        <v>160</v>
      </c>
      <c r="B4" s="594"/>
      <c r="C4" s="420" t="str">
        <f>Input!I44</f>
        <v>예산군 마전 등 5지구 농업용관정 지하수영향조사 용역</v>
      </c>
      <c r="D4" s="421"/>
      <c r="E4" s="421"/>
      <c r="F4" s="421"/>
      <c r="G4" s="421"/>
      <c r="H4" s="422"/>
      <c r="I4" s="423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4.6533882570252949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14.596190814912582</v>
      </c>
      <c r="Z4" s="161">
        <f>Z22</f>
        <v>-96.021452167816392</v>
      </c>
      <c r="AA4" s="159">
        <f>$Z$4</f>
        <v>-96.021452167816392</v>
      </c>
      <c r="AB4" s="159">
        <f>X4</f>
        <v>1</v>
      </c>
      <c r="AC4" s="159">
        <f>Y4-AA4</f>
        <v>110.61764298272897</v>
      </c>
      <c r="AD4" s="361">
        <f>INT((AC4-AE4)*100)/100</f>
        <v>110.91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95" t="s">
        <v>161</v>
      </c>
      <c r="B5" s="596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25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4.6533882570252949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16.076213826102382</v>
      </c>
      <c r="Z5" s="149"/>
      <c r="AA5" s="159">
        <f t="shared" ref="AA5:AA23" si="5">$Z$4</f>
        <v>-96.021452167816392</v>
      </c>
      <c r="AB5" s="159">
        <f t="shared" ref="AB5:AB43" si="6">X5</f>
        <v>2</v>
      </c>
      <c r="AC5" s="159">
        <f t="shared" ref="AC5:AC43" si="7">Y5-AA5</f>
        <v>112.09766599391878</v>
      </c>
      <c r="AD5" s="361">
        <f t="shared" ref="AD5:AD16" si="8">INT((AC5-AE5)*100)/100</f>
        <v>112.09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95" t="s">
        <v>162</v>
      </c>
      <c r="B6" s="596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26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4.6533882570252949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16.941971787852818</v>
      </c>
      <c r="Z6" s="149"/>
      <c r="AA6" s="159">
        <f t="shared" si="5"/>
        <v>-96.021452167816392</v>
      </c>
      <c r="AB6" s="159">
        <f t="shared" si="6"/>
        <v>3</v>
      </c>
      <c r="AC6" s="159">
        <f t="shared" si="7"/>
        <v>112.96342395566921</v>
      </c>
      <c r="AD6" s="361">
        <f t="shared" si="8"/>
        <v>112.96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95" t="s">
        <v>163</v>
      </c>
      <c r="B7" s="596"/>
      <c r="C7" s="136" t="str">
        <f>Input!I47</f>
        <v>다다건설(주)</v>
      </c>
      <c r="D7" s="427"/>
      <c r="E7" s="130"/>
      <c r="F7" s="137"/>
      <c r="G7" s="138">
        <f>Input!I49</f>
        <v>45726.430555555555</v>
      </c>
      <c r="H7" s="139"/>
      <c r="I7" s="428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4.6533882570252949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17.556236837292179</v>
      </c>
      <c r="Z7" s="149"/>
      <c r="AA7" s="159">
        <f t="shared" si="5"/>
        <v>-96.021452167816392</v>
      </c>
      <c r="AB7" s="159">
        <f t="shared" si="6"/>
        <v>4</v>
      </c>
      <c r="AC7" s="159">
        <f t="shared" si="7"/>
        <v>113.57768900510857</v>
      </c>
      <c r="AD7" s="361">
        <f t="shared" si="8"/>
        <v>113.57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29" t="s">
        <v>164</v>
      </c>
      <c r="B8" s="140"/>
      <c r="C8" s="597">
        <f>Input!I48</f>
        <v>7.5</v>
      </c>
      <c r="D8" s="598"/>
      <c r="E8" s="599"/>
      <c r="F8" s="141" t="s">
        <v>165</v>
      </c>
      <c r="G8" s="138">
        <f>G7</f>
        <v>45726.430555555555</v>
      </c>
      <c r="H8" s="139"/>
      <c r="I8" s="430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4.6533882570252949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18.032697825673967</v>
      </c>
      <c r="Z8" s="149"/>
      <c r="AA8" s="159">
        <f t="shared" si="5"/>
        <v>-96.021452167816392</v>
      </c>
      <c r="AB8" s="159">
        <f t="shared" si="6"/>
        <v>5</v>
      </c>
      <c r="AC8" s="159">
        <f t="shared" si="7"/>
        <v>114.05414999349036</v>
      </c>
      <c r="AD8" s="361">
        <f t="shared" si="8"/>
        <v>114.05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29" t="s">
        <v>166</v>
      </c>
      <c r="B9" s="140"/>
      <c r="C9" s="142" t="s">
        <v>167</v>
      </c>
      <c r="D9" s="600">
        <f>Input!M44</f>
        <v>250</v>
      </c>
      <c r="E9" s="600"/>
      <c r="F9" s="129" t="s">
        <v>168</v>
      </c>
      <c r="G9" s="601">
        <f>Input!M45</f>
        <v>158</v>
      </c>
      <c r="H9" s="601"/>
      <c r="I9" s="431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4.6533882570252949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19.512720836863767</v>
      </c>
      <c r="Z9" s="149"/>
      <c r="AA9" s="159">
        <f t="shared" si="5"/>
        <v>-96.021452167816392</v>
      </c>
      <c r="AB9" s="159">
        <f t="shared" si="6"/>
        <v>10</v>
      </c>
      <c r="AC9" s="159">
        <f t="shared" si="7"/>
        <v>115.53417300468016</v>
      </c>
      <c r="AD9" s="361">
        <f t="shared" si="8"/>
        <v>115.53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29" t="s">
        <v>169</v>
      </c>
      <c r="B10" s="140"/>
      <c r="C10" s="142" t="s">
        <v>216</v>
      </c>
      <c r="D10" s="602">
        <f>Input!M48</f>
        <v>11.35</v>
      </c>
      <c r="E10" s="603"/>
      <c r="F10" s="143" t="s">
        <v>4</v>
      </c>
      <c r="G10" s="604" t="s">
        <v>4</v>
      </c>
      <c r="H10" s="604"/>
      <c r="I10" s="425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4.6533882570252949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20.378478798614207</v>
      </c>
      <c r="Z10" s="149"/>
      <c r="AA10" s="159">
        <f t="shared" si="5"/>
        <v>-96.021452167816392</v>
      </c>
      <c r="AB10" s="159">
        <f t="shared" si="6"/>
        <v>15</v>
      </c>
      <c r="AC10" s="159">
        <f t="shared" si="7"/>
        <v>116.3999309664306</v>
      </c>
      <c r="AD10" s="361">
        <f t="shared" si="8"/>
        <v>116.39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24" t="s">
        <v>170</v>
      </c>
      <c r="B11" s="144" t="s">
        <v>171</v>
      </c>
      <c r="C11" s="142" t="s">
        <v>172</v>
      </c>
      <c r="D11" s="605" t="s">
        <v>173</v>
      </c>
      <c r="E11" s="605"/>
      <c r="F11" s="144" t="s">
        <v>174</v>
      </c>
      <c r="G11" s="606" t="s">
        <v>175</v>
      </c>
      <c r="H11" s="606"/>
      <c r="I11" s="431" t="s">
        <v>176</v>
      </c>
      <c r="J11" s="33">
        <f>G12-J13</f>
        <v>109.72999999999999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4.6533882570252949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20.992743848053564</v>
      </c>
      <c r="Z11" s="149"/>
      <c r="AA11" s="159">
        <f t="shared" si="5"/>
        <v>-96.021452167816392</v>
      </c>
      <c r="AB11" s="159">
        <f t="shared" si="6"/>
        <v>20</v>
      </c>
      <c r="AC11" s="159">
        <f t="shared" si="7"/>
        <v>117.01419601586996</v>
      </c>
      <c r="AD11" s="361">
        <f t="shared" si="8"/>
        <v>117.01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2">
        <v>1</v>
      </c>
      <c r="B12" s="146">
        <f>Input!D20</f>
        <v>125</v>
      </c>
      <c r="C12" s="147">
        <v>45725.430555555555</v>
      </c>
      <c r="D12" s="589">
        <v>1</v>
      </c>
      <c r="E12" s="589"/>
      <c r="F12" s="148">
        <f>G12+$D$10</f>
        <v>122.25999999999999</v>
      </c>
      <c r="G12" s="590">
        <f>AD4</f>
        <v>110.91</v>
      </c>
      <c r="H12" s="590"/>
      <c r="I12" s="431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4.6533882570252949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21.469204836435352</v>
      </c>
      <c r="Z12" s="149"/>
      <c r="AA12" s="159">
        <f t="shared" si="5"/>
        <v>-96.021452167816392</v>
      </c>
      <c r="AB12" s="159">
        <f t="shared" si="6"/>
        <v>25</v>
      </c>
      <c r="AC12" s="159">
        <f t="shared" si="7"/>
        <v>117.49065700425174</v>
      </c>
      <c r="AD12" s="361">
        <f t="shared" si="8"/>
        <v>117.49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2"/>
      <c r="B13" s="145"/>
      <c r="C13" s="147"/>
      <c r="D13" s="589">
        <v>2</v>
      </c>
      <c r="E13" s="589"/>
      <c r="F13" s="148">
        <f t="shared" ref="F13:F51" si="13">G13+$D$10</f>
        <v>123.44</v>
      </c>
      <c r="G13" s="590">
        <f t="shared" ref="G13:G51" si="14">AD5</f>
        <v>112.09</v>
      </c>
      <c r="H13" s="590"/>
      <c r="I13" s="433"/>
      <c r="J13" s="376">
        <f>G13-G12</f>
        <v>1.1800000000000068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4.6533882570252949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21.858501809804007</v>
      </c>
      <c r="Z13" s="149"/>
      <c r="AA13" s="159">
        <f t="shared" si="5"/>
        <v>-96.021452167816392</v>
      </c>
      <c r="AB13" s="159">
        <f t="shared" si="6"/>
        <v>30</v>
      </c>
      <c r="AC13" s="159">
        <f t="shared" si="7"/>
        <v>117.8799539776204</v>
      </c>
      <c r="AD13" s="361">
        <f t="shared" si="8"/>
        <v>117.87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2"/>
      <c r="B14" s="145"/>
      <c r="C14" s="147"/>
      <c r="D14" s="589">
        <v>3</v>
      </c>
      <c r="E14" s="589"/>
      <c r="F14" s="148">
        <f t="shared" si="13"/>
        <v>124.30999999999999</v>
      </c>
      <c r="G14" s="590">
        <f t="shared" si="14"/>
        <v>112.96</v>
      </c>
      <c r="H14" s="590"/>
      <c r="I14" s="433"/>
      <c r="J14" s="376">
        <f t="shared" ref="J14:J51" si="15">G14-G13</f>
        <v>0.86999999999999034</v>
      </c>
      <c r="P14" s="38"/>
      <c r="Q14" s="168"/>
      <c r="R14" s="149"/>
      <c r="S14" s="149">
        <f t="shared" si="3"/>
        <v>125</v>
      </c>
      <c r="T14" s="149">
        <f t="shared" si="10"/>
        <v>4.6533882570252949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22.187647710896165</v>
      </c>
      <c r="Z14" s="149"/>
      <c r="AA14" s="159">
        <f t="shared" si="5"/>
        <v>-96.021452167816392</v>
      </c>
      <c r="AB14" s="159">
        <f t="shared" si="6"/>
        <v>35</v>
      </c>
      <c r="AC14" s="159">
        <f t="shared" si="7"/>
        <v>118.20909987871255</v>
      </c>
      <c r="AD14" s="361">
        <f t="shared" si="8"/>
        <v>118.2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2"/>
      <c r="B15" s="145"/>
      <c r="C15" s="147"/>
      <c r="D15" s="589">
        <v>4</v>
      </c>
      <c r="E15" s="589"/>
      <c r="F15" s="148">
        <f t="shared" si="13"/>
        <v>124.91999999999999</v>
      </c>
      <c r="G15" s="590">
        <f t="shared" si="14"/>
        <v>113.57</v>
      </c>
      <c r="H15" s="590"/>
      <c r="I15" s="433"/>
      <c r="J15" s="376">
        <f t="shared" si="15"/>
        <v>0.60999999999999943</v>
      </c>
      <c r="P15" s="38"/>
      <c r="Q15" s="168"/>
      <c r="R15" s="149"/>
      <c r="S15" s="149">
        <f t="shared" si="3"/>
        <v>125</v>
      </c>
      <c r="T15" s="149">
        <f t="shared" si="10"/>
        <v>4.6533882570252949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22.472766859243364</v>
      </c>
      <c r="Z15" s="149"/>
      <c r="AA15" s="159">
        <f t="shared" si="5"/>
        <v>-96.021452167816392</v>
      </c>
      <c r="AB15" s="159">
        <f t="shared" si="6"/>
        <v>40</v>
      </c>
      <c r="AC15" s="159">
        <f t="shared" si="7"/>
        <v>118.49421902705976</v>
      </c>
      <c r="AD15" s="361">
        <f t="shared" si="8"/>
        <v>118.49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2"/>
      <c r="B16" s="145"/>
      <c r="C16" s="147"/>
      <c r="D16" s="589">
        <v>5</v>
      </c>
      <c r="E16" s="589"/>
      <c r="F16" s="148">
        <f t="shared" si="13"/>
        <v>125.39999999999999</v>
      </c>
      <c r="G16" s="590">
        <f t="shared" si="14"/>
        <v>114.05</v>
      </c>
      <c r="H16" s="590"/>
      <c r="I16" s="433"/>
      <c r="J16" s="376">
        <f t="shared" si="15"/>
        <v>0.48000000000000398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4.6533882570252949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22.724259771554447</v>
      </c>
      <c r="Z16" s="149"/>
      <c r="AA16" s="159">
        <f t="shared" si="5"/>
        <v>-96.021452167816392</v>
      </c>
      <c r="AB16" s="159">
        <f t="shared" si="6"/>
        <v>45</v>
      </c>
      <c r="AC16" s="159">
        <f t="shared" si="7"/>
        <v>118.74571193937084</v>
      </c>
      <c r="AD16" s="361">
        <f t="shared" si="8"/>
        <v>118.74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2"/>
      <c r="B17" s="145"/>
      <c r="C17" s="147"/>
      <c r="D17" s="589">
        <v>10</v>
      </c>
      <c r="E17" s="589"/>
      <c r="F17" s="148">
        <f t="shared" si="13"/>
        <v>126.88</v>
      </c>
      <c r="G17" s="590">
        <f t="shared" si="14"/>
        <v>115.53</v>
      </c>
      <c r="H17" s="590"/>
      <c r="I17" s="433"/>
      <c r="J17" s="376">
        <f t="shared" si="15"/>
        <v>1.480000000000004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109.15</v>
      </c>
      <c r="R17" s="149"/>
      <c r="S17" s="149">
        <f t="shared" si="3"/>
        <v>125</v>
      </c>
      <c r="T17" s="149">
        <f t="shared" si="10"/>
        <v>4.6533882570252949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22.949227847625153</v>
      </c>
      <c r="Z17" s="149"/>
      <c r="AA17" s="159">
        <f t="shared" si="5"/>
        <v>-96.021452167816392</v>
      </c>
      <c r="AB17" s="159">
        <f t="shared" si="6"/>
        <v>50</v>
      </c>
      <c r="AC17" s="159">
        <f t="shared" si="7"/>
        <v>118.97068001544154</v>
      </c>
      <c r="AD17" s="361">
        <f t="shared" ref="AD17:AD22" si="16">INT(AC17*100)/100</f>
        <v>118.97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2"/>
      <c r="B18" s="145"/>
      <c r="C18" s="147"/>
      <c r="D18" s="589">
        <v>15</v>
      </c>
      <c r="E18" s="589"/>
      <c r="F18" s="148">
        <f t="shared" si="13"/>
        <v>127.74</v>
      </c>
      <c r="G18" s="590">
        <f t="shared" si="14"/>
        <v>116.39</v>
      </c>
      <c r="H18" s="590"/>
      <c r="I18" s="433"/>
      <c r="J18" s="376">
        <f t="shared" si="15"/>
        <v>0.85999999999999943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106.38</v>
      </c>
      <c r="R18" s="149"/>
      <c r="S18" s="149">
        <f t="shared" si="3"/>
        <v>125</v>
      </c>
      <c r="T18" s="149">
        <f t="shared" si="10"/>
        <v>4.6533882570252949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23.152736226894739</v>
      </c>
      <c r="Z18" s="149"/>
      <c r="AA18" s="159">
        <f t="shared" si="5"/>
        <v>-96.021452167816392</v>
      </c>
      <c r="AB18" s="159">
        <f t="shared" si="6"/>
        <v>55</v>
      </c>
      <c r="AC18" s="159">
        <f t="shared" si="7"/>
        <v>119.17418839471114</v>
      </c>
      <c r="AD18" s="361">
        <f t="shared" si="16"/>
        <v>119.17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2"/>
      <c r="B19" s="145"/>
      <c r="C19" s="147"/>
      <c r="D19" s="589">
        <v>20</v>
      </c>
      <c r="E19" s="589"/>
      <c r="F19" s="148">
        <f t="shared" si="13"/>
        <v>128.36000000000001</v>
      </c>
      <c r="G19" s="590">
        <f t="shared" si="14"/>
        <v>117.01</v>
      </c>
      <c r="H19" s="590"/>
      <c r="I19" s="433"/>
      <c r="J19" s="376">
        <f t="shared" si="15"/>
        <v>0.62000000000000455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102.27</v>
      </c>
      <c r="R19" s="149"/>
      <c r="S19" s="149">
        <f t="shared" si="3"/>
        <v>125</v>
      </c>
      <c r="T19" s="149">
        <f t="shared" si="10"/>
        <v>4.6533882570252949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23.338524820993804</v>
      </c>
      <c r="Z19" s="149"/>
      <c r="AA19" s="159">
        <f t="shared" si="5"/>
        <v>-96.021452167816392</v>
      </c>
      <c r="AB19" s="159">
        <f t="shared" si="6"/>
        <v>60</v>
      </c>
      <c r="AC19" s="159">
        <f t="shared" si="7"/>
        <v>119.35997698881019</v>
      </c>
      <c r="AD19" s="361">
        <f t="shared" si="16"/>
        <v>119.35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2"/>
      <c r="B20" s="145"/>
      <c r="C20" s="147"/>
      <c r="D20" s="589">
        <v>25</v>
      </c>
      <c r="E20" s="589"/>
      <c r="F20" s="148">
        <f t="shared" si="13"/>
        <v>128.84</v>
      </c>
      <c r="G20" s="590">
        <f t="shared" si="14"/>
        <v>117.49</v>
      </c>
      <c r="H20" s="590"/>
      <c r="I20" s="433"/>
      <c r="J20" s="376">
        <f t="shared" si="15"/>
        <v>0.47999999999998977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96.91</v>
      </c>
      <c r="R20" s="149"/>
      <c r="S20" s="149">
        <f t="shared" si="3"/>
        <v>125</v>
      </c>
      <c r="T20" s="149">
        <f t="shared" si="10"/>
        <v>4.6533882570252949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23.814985809375592</v>
      </c>
      <c r="Z20" s="149"/>
      <c r="AA20" s="159">
        <f t="shared" si="5"/>
        <v>-96.021452167816392</v>
      </c>
      <c r="AB20" s="159">
        <f t="shared" si="6"/>
        <v>75</v>
      </c>
      <c r="AC20" s="159">
        <f t="shared" si="7"/>
        <v>119.83643797719199</v>
      </c>
      <c r="AD20" s="361">
        <f t="shared" si="16"/>
        <v>119.83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2"/>
      <c r="B21" s="145"/>
      <c r="C21" s="147"/>
      <c r="D21" s="589">
        <v>30</v>
      </c>
      <c r="E21" s="589"/>
      <c r="F21" s="148">
        <f t="shared" si="13"/>
        <v>129.22</v>
      </c>
      <c r="G21" s="590">
        <f t="shared" si="14"/>
        <v>117.87</v>
      </c>
      <c r="H21" s="590"/>
      <c r="I21" s="433"/>
      <c r="J21" s="376">
        <f t="shared" si="15"/>
        <v>0.38000000000000966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90.48</v>
      </c>
      <c r="R21" s="149"/>
      <c r="S21" s="149">
        <f t="shared" si="3"/>
        <v>125</v>
      </c>
      <c r="T21" s="149">
        <f t="shared" si="10"/>
        <v>4.6533882570252949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24.204282782744244</v>
      </c>
      <c r="Z21" s="149"/>
      <c r="AA21" s="159">
        <f t="shared" si="5"/>
        <v>-96.021452167816392</v>
      </c>
      <c r="AB21" s="159">
        <f t="shared" si="6"/>
        <v>90</v>
      </c>
      <c r="AC21" s="159">
        <f t="shared" si="7"/>
        <v>120.22573495056064</v>
      </c>
      <c r="AD21" s="361">
        <f t="shared" si="16"/>
        <v>120.22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2"/>
      <c r="B22" s="145"/>
      <c r="C22" s="147"/>
      <c r="D22" s="589">
        <v>35</v>
      </c>
      <c r="E22" s="589"/>
      <c r="F22" s="148">
        <f t="shared" si="13"/>
        <v>129.55000000000001</v>
      </c>
      <c r="G22" s="590">
        <f t="shared" si="14"/>
        <v>118.2</v>
      </c>
      <c r="H22" s="590"/>
      <c r="I22" s="431"/>
      <c r="J22" s="376">
        <f t="shared" si="15"/>
        <v>0.32999999999999829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78.28</v>
      </c>
      <c r="R22" s="149"/>
      <c r="S22" s="149">
        <f t="shared" si="3"/>
        <v>125</v>
      </c>
      <c r="T22" s="149">
        <f t="shared" si="10"/>
        <v>4.6533882570252949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24.533428683836405</v>
      </c>
      <c r="Z22" s="159">
        <f>Y23-Z23</f>
        <v>-96.021452167816392</v>
      </c>
      <c r="AA22" s="159">
        <f t="shared" si="5"/>
        <v>-96.021452167816392</v>
      </c>
      <c r="AB22" s="159">
        <f t="shared" si="6"/>
        <v>105</v>
      </c>
      <c r="AC22" s="159">
        <f t="shared" si="7"/>
        <v>120.5548808516528</v>
      </c>
      <c r="AD22" s="361">
        <f t="shared" si="16"/>
        <v>120.55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2"/>
      <c r="B23" s="145"/>
      <c r="C23" s="147"/>
      <c r="D23" s="589">
        <v>40</v>
      </c>
      <c r="E23" s="589"/>
      <c r="F23" s="148">
        <f t="shared" si="13"/>
        <v>129.84</v>
      </c>
      <c r="G23" s="590">
        <f t="shared" si="14"/>
        <v>118.49</v>
      </c>
      <c r="H23" s="590"/>
      <c r="I23" s="431"/>
      <c r="J23" s="376">
        <f t="shared" si="15"/>
        <v>0.28999999999999204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89.87</v>
      </c>
      <c r="R23" s="149"/>
      <c r="S23" s="149">
        <f t="shared" si="3"/>
        <v>125</v>
      </c>
      <c r="T23" s="149">
        <f t="shared" si="10"/>
        <v>4.6533882570252949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24.818547832183604</v>
      </c>
      <c r="Z23" s="159">
        <f>Input!B20</f>
        <v>120.84</v>
      </c>
      <c r="AA23" s="159">
        <f t="shared" si="5"/>
        <v>-96.021452167816392</v>
      </c>
      <c r="AB23" s="159">
        <f t="shared" si="6"/>
        <v>120</v>
      </c>
      <c r="AC23" s="159">
        <f t="shared" si="7"/>
        <v>120.84</v>
      </c>
      <c r="AD23" s="361">
        <f>INT((AC$3+AE23)*100)/100</f>
        <v>120.84</v>
      </c>
      <c r="AE23" s="159">
        <f>AG$23*AF23</f>
        <v>120.84</v>
      </c>
      <c r="AF23" s="159">
        <v>1</v>
      </c>
      <c r="AG23" s="159">
        <f>AC23-AC3</f>
        <v>120.84</v>
      </c>
      <c r="AH23" s="29"/>
      <c r="AI23" s="29"/>
      <c r="EF23" s="27">
        <v>10.02</v>
      </c>
    </row>
    <row r="24" spans="1:136" s="27" customFormat="1" ht="23.1" customHeight="1">
      <c r="A24" s="432"/>
      <c r="B24" s="145"/>
      <c r="C24" s="147"/>
      <c r="D24" s="589">
        <v>45</v>
      </c>
      <c r="E24" s="589"/>
      <c r="F24" s="148">
        <f t="shared" si="13"/>
        <v>130.09</v>
      </c>
      <c r="G24" s="590">
        <f t="shared" si="14"/>
        <v>118.74</v>
      </c>
      <c r="H24" s="590"/>
      <c r="I24" s="431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81.64</v>
      </c>
      <c r="R24" s="330">
        <f>B32</f>
        <v>160</v>
      </c>
      <c r="S24" s="149">
        <f>$R$24</f>
        <v>160</v>
      </c>
      <c r="T24" s="149">
        <f t="shared" si="10"/>
        <v>4.6533882570252949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31.986504667178593</v>
      </c>
      <c r="Z24" s="159">
        <f>Z27</f>
        <v>-127.45782932048205</v>
      </c>
      <c r="AA24" s="159">
        <f>$Z$24</f>
        <v>-127.45782932048205</v>
      </c>
      <c r="AB24" s="159">
        <f t="shared" si="6"/>
        <v>130</v>
      </c>
      <c r="AC24" s="159">
        <f t="shared" si="7"/>
        <v>159.44433398766063</v>
      </c>
      <c r="AD24" s="361">
        <f>INT((AC$23+AE24)*100)/100</f>
        <v>145</v>
      </c>
      <c r="AE24" s="159">
        <f>AF24*AG$28</f>
        <v>24.167999999999999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2"/>
      <c r="B25" s="145"/>
      <c r="C25" s="147"/>
      <c r="D25" s="589">
        <v>50</v>
      </c>
      <c r="E25" s="589"/>
      <c r="F25" s="148">
        <f t="shared" si="13"/>
        <v>130.32</v>
      </c>
      <c r="G25" s="590">
        <f t="shared" si="14"/>
        <v>118.97</v>
      </c>
      <c r="H25" s="590"/>
      <c r="I25" s="431"/>
      <c r="J25" s="376">
        <f t="shared" si="15"/>
        <v>0.23000000000000398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73.28</v>
      </c>
      <c r="R25" s="149"/>
      <c r="S25" s="149">
        <f>$R$24</f>
        <v>160</v>
      </c>
      <c r="T25" s="149">
        <f t="shared" si="10"/>
        <v>4.6533882570252949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32.189047978592974</v>
      </c>
      <c r="Z25" s="149"/>
      <c r="AA25" s="159">
        <f>$Z$24</f>
        <v>-127.45782932048205</v>
      </c>
      <c r="AB25" s="159">
        <f t="shared" si="6"/>
        <v>140</v>
      </c>
      <c r="AC25" s="159">
        <f t="shared" si="7"/>
        <v>159.64687729907502</v>
      </c>
      <c r="AD25" s="361">
        <f>INT((AC$23+AE25)*100)/100</f>
        <v>149.03</v>
      </c>
      <c r="AE25" s="159">
        <f>AF25*AG$28</f>
        <v>28.195999999999998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2"/>
      <c r="B26" s="145"/>
      <c r="C26" s="147"/>
      <c r="D26" s="589">
        <v>55</v>
      </c>
      <c r="E26" s="589"/>
      <c r="F26" s="148">
        <f t="shared" si="13"/>
        <v>130.52000000000001</v>
      </c>
      <c r="G26" s="590">
        <f t="shared" si="14"/>
        <v>119.17</v>
      </c>
      <c r="H26" s="590"/>
      <c r="I26" s="431"/>
      <c r="J26" s="376">
        <f t="shared" si="15"/>
        <v>0.20000000000000284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64.819999999999993</v>
      </c>
      <c r="R26" s="149"/>
      <c r="S26" s="149">
        <f>$R$24</f>
        <v>160</v>
      </c>
      <c r="T26" s="149">
        <f t="shared" si="10"/>
        <v>4.6533882570252949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32.377611290323699</v>
      </c>
      <c r="Z26" s="149"/>
      <c r="AA26" s="159">
        <f>$Z$24</f>
        <v>-127.45782932048205</v>
      </c>
      <c r="AB26" s="159">
        <f t="shared" si="6"/>
        <v>150</v>
      </c>
      <c r="AC26" s="159">
        <f t="shared" si="7"/>
        <v>159.83544061080573</v>
      </c>
      <c r="AD26" s="361">
        <f>INT((AC$23+AE26)*100)/100</f>
        <v>153.06</v>
      </c>
      <c r="AE26" s="159">
        <f>AF26*AG$28</f>
        <v>32.224000000000004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2"/>
      <c r="B27" s="145"/>
      <c r="C27" s="147">
        <f>$C$12+D27/1440</f>
        <v>45725.472222222219</v>
      </c>
      <c r="D27" s="589">
        <v>60</v>
      </c>
      <c r="E27" s="589"/>
      <c r="F27" s="148">
        <f t="shared" si="13"/>
        <v>130.69999999999999</v>
      </c>
      <c r="G27" s="590">
        <f t="shared" si="14"/>
        <v>119.35</v>
      </c>
      <c r="H27" s="590"/>
      <c r="I27" s="431"/>
      <c r="J27" s="376">
        <f t="shared" si="15"/>
        <v>0.17999999999999261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56.31</v>
      </c>
      <c r="R27" s="149"/>
      <c r="S27" s="149">
        <f>$R$24</f>
        <v>160</v>
      </c>
      <c r="T27" s="149">
        <f t="shared" si="10"/>
        <v>4.6533882570252949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32.875911416235574</v>
      </c>
      <c r="Z27" s="159">
        <f>Y28-Z28</f>
        <v>-127.45782932048205</v>
      </c>
      <c r="AA27" s="159">
        <f>$Z$24</f>
        <v>-127.45782932048205</v>
      </c>
      <c r="AB27" s="159">
        <f t="shared" si="6"/>
        <v>180</v>
      </c>
      <c r="AC27" s="159">
        <f t="shared" si="7"/>
        <v>160.33374073671763</v>
      </c>
      <c r="AD27" s="361">
        <f>INT((AC$23+AE27)*100)/100</f>
        <v>157.09</v>
      </c>
      <c r="AE27" s="159">
        <f>AF27*AG$28</f>
        <v>36.252000000000002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2"/>
      <c r="B28" s="145"/>
      <c r="C28" s="147"/>
      <c r="D28" s="589">
        <v>75</v>
      </c>
      <c r="E28" s="589"/>
      <c r="F28" s="148">
        <f t="shared" si="13"/>
        <v>131.18</v>
      </c>
      <c r="G28" s="590">
        <f t="shared" si="14"/>
        <v>119.83</v>
      </c>
      <c r="H28" s="590"/>
      <c r="I28" s="431"/>
      <c r="J28" s="376">
        <f t="shared" si="15"/>
        <v>0.48000000000000398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47.75</v>
      </c>
      <c r="R28" s="149"/>
      <c r="S28" s="149">
        <f>$R$24</f>
        <v>160</v>
      </c>
      <c r="T28" s="149">
        <f t="shared" si="10"/>
        <v>4.6533882570252949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33.662170679517956</v>
      </c>
      <c r="Z28" s="159">
        <f>Input!B21</f>
        <v>161.12</v>
      </c>
      <c r="AA28" s="159">
        <f>$Z$24</f>
        <v>-127.45782932048205</v>
      </c>
      <c r="AB28" s="159">
        <f t="shared" si="6"/>
        <v>240</v>
      </c>
      <c r="AC28" s="159">
        <f t="shared" si="7"/>
        <v>161.12</v>
      </c>
      <c r="AD28" s="361">
        <f>INT((AC$23+AE28)*100)/100</f>
        <v>161.12</v>
      </c>
      <c r="AE28" s="159">
        <f>AF28*AG$28</f>
        <v>40.28</v>
      </c>
      <c r="AF28" s="159">
        <v>1</v>
      </c>
      <c r="AG28" s="159">
        <f>AC28-AC23</f>
        <v>40.28</v>
      </c>
      <c r="AH28" s="29"/>
      <c r="EF28" s="27">
        <v>10.15</v>
      </c>
    </row>
    <row r="29" spans="1:136" s="27" customFormat="1" ht="23.1" customHeight="1">
      <c r="A29" s="432"/>
      <c r="B29" s="145"/>
      <c r="C29" s="147"/>
      <c r="D29" s="589">
        <v>90</v>
      </c>
      <c r="E29" s="589"/>
      <c r="F29" s="148">
        <f t="shared" si="13"/>
        <v>131.57</v>
      </c>
      <c r="G29" s="590">
        <f t="shared" si="14"/>
        <v>120.22</v>
      </c>
      <c r="H29" s="590"/>
      <c r="I29" s="431"/>
      <c r="J29" s="376">
        <f t="shared" si="15"/>
        <v>0.39000000000000057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39.159999999999997</v>
      </c>
      <c r="R29" s="330">
        <f>B37</f>
        <v>194.65</v>
      </c>
      <c r="S29" s="149">
        <f>$R$29</f>
        <v>194.65</v>
      </c>
      <c r="T29" s="149">
        <f t="shared" si="10"/>
        <v>4.6533882570252949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41.087866321479517</v>
      </c>
      <c r="Z29" s="159">
        <f>Z32</f>
        <v>-164.12970718466119</v>
      </c>
      <c r="AA29" s="159">
        <f>$Z$29</f>
        <v>-164.12970718466119</v>
      </c>
      <c r="AB29" s="159">
        <f t="shared" si="6"/>
        <v>250</v>
      </c>
      <c r="AC29" s="159">
        <f t="shared" si="7"/>
        <v>205.2175735061407</v>
      </c>
      <c r="AD29" s="361">
        <f>INT((AC$28+AE29)*100)/100</f>
        <v>188.3</v>
      </c>
      <c r="AE29" s="159">
        <f>AF29*AG$33</f>
        <v>27.186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2"/>
      <c r="B30" s="145"/>
      <c r="C30" s="147"/>
      <c r="D30" s="589">
        <v>105</v>
      </c>
      <c r="E30" s="589"/>
      <c r="F30" s="148">
        <f t="shared" si="13"/>
        <v>131.9</v>
      </c>
      <c r="G30" s="590">
        <f t="shared" si="14"/>
        <v>120.55</v>
      </c>
      <c r="H30" s="590"/>
      <c r="I30" s="431"/>
      <c r="J30" s="376">
        <f t="shared" si="15"/>
        <v>0.32999999999999829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30.55</v>
      </c>
      <c r="R30" s="149" t="s">
        <v>21</v>
      </c>
      <c r="S30" s="149">
        <f>$R$29</f>
        <v>194.65</v>
      </c>
      <c r="T30" s="149">
        <f t="shared" si="10"/>
        <v>4.6533882570252949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41.218273917189208</v>
      </c>
      <c r="Z30" s="149"/>
      <c r="AA30" s="159">
        <f>$Z$29</f>
        <v>-164.12970718466119</v>
      </c>
      <c r="AB30" s="159">
        <f t="shared" si="6"/>
        <v>260</v>
      </c>
      <c r="AC30" s="159">
        <f t="shared" si="7"/>
        <v>205.34798110185039</v>
      </c>
      <c r="AD30" s="361">
        <f>INT((AC$28+AE30)*100)/100</f>
        <v>192.83</v>
      </c>
      <c r="AE30" s="159">
        <f>AF30*AG$33</f>
        <v>31.716999999999999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2"/>
      <c r="B31" s="145"/>
      <c r="C31" s="147"/>
      <c r="D31" s="589">
        <v>120</v>
      </c>
      <c r="E31" s="589"/>
      <c r="F31" s="148">
        <f t="shared" si="13"/>
        <v>132.19</v>
      </c>
      <c r="G31" s="590">
        <f t="shared" si="14"/>
        <v>120.84</v>
      </c>
      <c r="H31" s="590"/>
      <c r="I31" s="431"/>
      <c r="J31" s="376">
        <f t="shared" si="15"/>
        <v>0.29000000000000625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21.91</v>
      </c>
      <c r="R31" s="149"/>
      <c r="S31" s="149">
        <f>$R$29</f>
        <v>194.65</v>
      </c>
      <c r="T31" s="149">
        <f t="shared" si="10"/>
        <v>4.6533882570252949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41.343759280351868</v>
      </c>
      <c r="Z31" s="149"/>
      <c r="AA31" s="159">
        <f>$Z$29</f>
        <v>-164.12970718466119</v>
      </c>
      <c r="AB31" s="159">
        <f t="shared" si="6"/>
        <v>270</v>
      </c>
      <c r="AC31" s="159">
        <f t="shared" si="7"/>
        <v>205.47346646501305</v>
      </c>
      <c r="AD31" s="361">
        <f>INT((AC$28+AE31)*100)/100</f>
        <v>197.36</v>
      </c>
      <c r="AE31" s="159">
        <f>AF31*AG$33</f>
        <v>36.248000000000005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2">
        <v>2</v>
      </c>
      <c r="B32" s="146">
        <f>Input!D21</f>
        <v>160</v>
      </c>
      <c r="C32" s="147">
        <f>$C$12+D32/1440</f>
        <v>45725.520833333336</v>
      </c>
      <c r="D32" s="589">
        <v>130</v>
      </c>
      <c r="E32" s="589"/>
      <c r="F32" s="148">
        <f t="shared" si="13"/>
        <v>156.35</v>
      </c>
      <c r="G32" s="590">
        <f t="shared" si="14"/>
        <v>145</v>
      </c>
      <c r="H32" s="590"/>
      <c r="I32" s="431"/>
      <c r="J32" s="376">
        <f t="shared" si="15"/>
        <v>24.159999999999997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13.24</v>
      </c>
      <c r="R32" s="149"/>
      <c r="S32" s="149">
        <f>$R$29</f>
        <v>194.65</v>
      </c>
      <c r="T32" s="149">
        <f t="shared" si="10"/>
        <v>4.6533882570252949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41.69407956840918</v>
      </c>
      <c r="Z32" s="159">
        <f>Y33-Z33</f>
        <v>-164.12970718466119</v>
      </c>
      <c r="AA32" s="159">
        <f>$Z$29</f>
        <v>-164.12970718466119</v>
      </c>
      <c r="AB32" s="159">
        <f t="shared" si="6"/>
        <v>300</v>
      </c>
      <c r="AC32" s="159">
        <f t="shared" si="7"/>
        <v>205.82378675307035</v>
      </c>
      <c r="AD32" s="361">
        <f>INT((AC$28+AE32)*100)/100</f>
        <v>201.89</v>
      </c>
      <c r="AE32" s="159">
        <f>AF32*AG$33</f>
        <v>40.779000000000003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2"/>
      <c r="B33" s="145"/>
      <c r="C33" s="147"/>
      <c r="D33" s="589">
        <v>140</v>
      </c>
      <c r="E33" s="589"/>
      <c r="F33" s="148">
        <f t="shared" si="13"/>
        <v>160.38</v>
      </c>
      <c r="G33" s="590">
        <f t="shared" si="14"/>
        <v>149.03</v>
      </c>
      <c r="H33" s="590"/>
      <c r="I33" s="431"/>
      <c r="J33" s="376">
        <f t="shared" si="15"/>
        <v>4.0300000000000011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4.6533882570252949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42.300292815338835</v>
      </c>
      <c r="Z33" s="159">
        <f>Input!B22</f>
        <v>206.43</v>
      </c>
      <c r="AA33" s="159">
        <f>$Z$29</f>
        <v>-164.12970718466119</v>
      </c>
      <c r="AB33" s="159">
        <f t="shared" si="6"/>
        <v>360</v>
      </c>
      <c r="AC33" s="159">
        <f t="shared" si="7"/>
        <v>206.43</v>
      </c>
      <c r="AD33" s="361">
        <f>INT((AC$28+AE33)*100)/100</f>
        <v>206.43</v>
      </c>
      <c r="AE33" s="159">
        <f>AF33*AG$33</f>
        <v>45.31</v>
      </c>
      <c r="AF33" s="159">
        <v>1</v>
      </c>
      <c r="AG33" s="159">
        <f>AC33-AC28</f>
        <v>45.31</v>
      </c>
      <c r="AH33" s="29"/>
      <c r="EF33" s="27">
        <v>15.41</v>
      </c>
    </row>
    <row r="34" spans="1:136" s="27" customFormat="1" ht="23.1" customHeight="1">
      <c r="A34" s="432"/>
      <c r="B34" s="145"/>
      <c r="C34" s="147"/>
      <c r="D34" s="589">
        <v>150</v>
      </c>
      <c r="E34" s="589"/>
      <c r="F34" s="148">
        <f t="shared" si="13"/>
        <v>164.41</v>
      </c>
      <c r="G34" s="590">
        <f t="shared" si="14"/>
        <v>153.06</v>
      </c>
      <c r="H34" s="590"/>
      <c r="I34" s="431"/>
      <c r="J34" s="376">
        <f t="shared" si="15"/>
        <v>4.0300000000000011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4.6533882570252949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49.872227662885422</v>
      </c>
      <c r="Z34" s="159">
        <f>Z37</f>
        <v>-205.99961605844021</v>
      </c>
      <c r="AA34" s="159">
        <f>$Z$34</f>
        <v>-205.99961605844021</v>
      </c>
      <c r="AB34" s="159">
        <f t="shared" si="6"/>
        <v>370</v>
      </c>
      <c r="AC34" s="159">
        <f t="shared" si="7"/>
        <v>255.87184372132563</v>
      </c>
      <c r="AD34" s="361">
        <f>INT((AC$33+AE34)*100)/100</f>
        <v>236.7</v>
      </c>
      <c r="AE34" s="159">
        <f>AG$38*AF34</f>
        <v>30.275999999999986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2"/>
      <c r="B35" s="145"/>
      <c r="C35" s="147"/>
      <c r="D35" s="589">
        <v>180</v>
      </c>
      <c r="E35" s="589"/>
      <c r="F35" s="148">
        <f t="shared" si="13"/>
        <v>168.44</v>
      </c>
      <c r="G35" s="590">
        <f t="shared" si="14"/>
        <v>157.09</v>
      </c>
      <c r="H35" s="590"/>
      <c r="I35" s="431"/>
      <c r="J35" s="376">
        <f t="shared" si="15"/>
        <v>4.0300000000000011</v>
      </c>
      <c r="L35" s="35" t="s">
        <v>21</v>
      </c>
      <c r="R35" s="149"/>
      <c r="S35" s="149">
        <f>$R$34</f>
        <v>229</v>
      </c>
      <c r="T35" s="149">
        <f t="shared" si="10"/>
        <v>4.6533882570252949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49.976546550239512</v>
      </c>
      <c r="Z35" s="149"/>
      <c r="AA35" s="159">
        <f>$Z$34</f>
        <v>-205.99961605844021</v>
      </c>
      <c r="AB35" s="159">
        <f t="shared" si="6"/>
        <v>380</v>
      </c>
      <c r="AC35" s="159">
        <f t="shared" si="7"/>
        <v>255.97616260867972</v>
      </c>
      <c r="AD35" s="361">
        <f>INT((AC$33+AE35)*100)/100</f>
        <v>241.75</v>
      </c>
      <c r="AE35" s="159">
        <f>AG$38*AF35</f>
        <v>35.321999999999981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2"/>
      <c r="B36" s="145"/>
      <c r="C36" s="147"/>
      <c r="D36" s="589">
        <v>240</v>
      </c>
      <c r="E36" s="589"/>
      <c r="F36" s="148">
        <f t="shared" si="13"/>
        <v>172.47</v>
      </c>
      <c r="G36" s="590">
        <f t="shared" si="14"/>
        <v>161.12</v>
      </c>
      <c r="H36" s="590"/>
      <c r="I36" s="431"/>
      <c r="J36" s="376">
        <f t="shared" si="15"/>
        <v>4.0300000000000011</v>
      </c>
      <c r="L36" s="35" t="s">
        <v>21</v>
      </c>
      <c r="R36" s="149"/>
      <c r="S36" s="149">
        <f>$R$34</f>
        <v>229</v>
      </c>
      <c r="T36" s="149">
        <f t="shared" si="10"/>
        <v>4.6533882570252949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50.078155547325871</v>
      </c>
      <c r="Z36" s="149"/>
      <c r="AA36" s="159">
        <f>$Z$34</f>
        <v>-205.99961605844021</v>
      </c>
      <c r="AB36" s="159">
        <f t="shared" si="6"/>
        <v>390</v>
      </c>
      <c r="AC36" s="159">
        <f t="shared" si="7"/>
        <v>256.07777160576609</v>
      </c>
      <c r="AD36" s="361">
        <f>INT((AC$33+AE36)*100)/100</f>
        <v>246.79</v>
      </c>
      <c r="AE36" s="159">
        <f>AG$38*AF36</f>
        <v>40.367999999999988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2">
        <v>3</v>
      </c>
      <c r="B37" s="146">
        <f>Input!D22</f>
        <v>194.65</v>
      </c>
      <c r="C37" s="147">
        <f>$C$12+D37/1440</f>
        <v>45725.604166666664</v>
      </c>
      <c r="D37" s="589">
        <v>250</v>
      </c>
      <c r="E37" s="589"/>
      <c r="F37" s="148">
        <f t="shared" si="13"/>
        <v>199.65</v>
      </c>
      <c r="G37" s="590">
        <f t="shared" si="14"/>
        <v>188.3</v>
      </c>
      <c r="H37" s="590"/>
      <c r="I37" s="431"/>
      <c r="J37" s="376">
        <f t="shared" si="15"/>
        <v>27.180000000000007</v>
      </c>
      <c r="L37" s="35" t="s">
        <v>21</v>
      </c>
      <c r="R37" s="149"/>
      <c r="S37" s="149">
        <f>$R$34</f>
        <v>229</v>
      </c>
      <c r="T37" s="149">
        <f t="shared" si="10"/>
        <v>4.6533882570252949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50.368045661787711</v>
      </c>
      <c r="Z37" s="159">
        <f>Y38-Z38</f>
        <v>-205.99961605844021</v>
      </c>
      <c r="AA37" s="159">
        <f>$Z$34</f>
        <v>-205.99961605844021</v>
      </c>
      <c r="AB37" s="159">
        <f t="shared" si="6"/>
        <v>420</v>
      </c>
      <c r="AC37" s="159">
        <f t="shared" si="7"/>
        <v>256.36766172022794</v>
      </c>
      <c r="AD37" s="361">
        <f>INT((AC$33+AE37)*100)/100</f>
        <v>251.84</v>
      </c>
      <c r="AE37" s="159">
        <f>AG$38*AF37</f>
        <v>45.41399999999998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2"/>
      <c r="B38" s="145"/>
      <c r="C38" s="147"/>
      <c r="D38" s="589">
        <v>260</v>
      </c>
      <c r="E38" s="589"/>
      <c r="F38" s="148">
        <f t="shared" si="13"/>
        <v>204.18</v>
      </c>
      <c r="G38" s="590">
        <f t="shared" si="14"/>
        <v>192.83</v>
      </c>
      <c r="H38" s="590"/>
      <c r="I38" s="431"/>
      <c r="J38" s="376">
        <f t="shared" si="15"/>
        <v>4.5300000000000011</v>
      </c>
      <c r="L38" s="35" t="s">
        <v>21</v>
      </c>
      <c r="R38" s="149"/>
      <c r="S38" s="149">
        <f>$R$34</f>
        <v>229</v>
      </c>
      <c r="T38" s="149">
        <f t="shared" si="10"/>
        <v>4.6533882570252949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50.890383941559769</v>
      </c>
      <c r="Z38" s="159">
        <f>Input!B23</f>
        <v>256.89</v>
      </c>
      <c r="AA38" s="159">
        <f>$Z$34</f>
        <v>-205.99961605844021</v>
      </c>
      <c r="AB38" s="159">
        <f t="shared" si="6"/>
        <v>480</v>
      </c>
      <c r="AC38" s="159">
        <f t="shared" si="7"/>
        <v>256.89</v>
      </c>
      <c r="AD38" s="361">
        <f>INT((AC$33+AE38)*100)/100</f>
        <v>256.89</v>
      </c>
      <c r="AE38" s="159">
        <f>AG$38*AF38</f>
        <v>50.45999999999998</v>
      </c>
      <c r="AF38" s="159">
        <v>1</v>
      </c>
      <c r="AG38" s="159">
        <f>AC38-AC33</f>
        <v>50.45999999999998</v>
      </c>
      <c r="AH38" s="29"/>
      <c r="EF38" s="27">
        <v>20.059999999999999</v>
      </c>
    </row>
    <row r="39" spans="1:136" s="27" customFormat="1" ht="23.1" customHeight="1">
      <c r="A39" s="432"/>
      <c r="B39" s="145"/>
      <c r="C39" s="147"/>
      <c r="D39" s="589">
        <v>270</v>
      </c>
      <c r="E39" s="589"/>
      <c r="F39" s="148">
        <f t="shared" si="13"/>
        <v>208.71</v>
      </c>
      <c r="G39" s="590">
        <f t="shared" si="14"/>
        <v>197.36</v>
      </c>
      <c r="H39" s="590"/>
      <c r="I39" s="431"/>
      <c r="J39" s="376">
        <f t="shared" si="15"/>
        <v>4.5300000000000011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4.6533882570252949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58.616697095476823</v>
      </c>
      <c r="Z39" s="159">
        <f>Z42</f>
        <v>-274.42225045688349</v>
      </c>
      <c r="AA39" s="159">
        <f>$Z$39</f>
        <v>-274.42225045688349</v>
      </c>
      <c r="AB39" s="159">
        <f t="shared" si="6"/>
        <v>490</v>
      </c>
      <c r="AC39" s="159">
        <f t="shared" si="7"/>
        <v>333.0389475523603</v>
      </c>
      <c r="AD39" s="361">
        <f>INT((AC$38+AE39)*100)/100</f>
        <v>287.70999999999998</v>
      </c>
      <c r="AE39" s="159">
        <f>AG$43*AF39</f>
        <v>30.824000000000002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2"/>
      <c r="B40" s="145"/>
      <c r="C40" s="147"/>
      <c r="D40" s="589">
        <v>300</v>
      </c>
      <c r="E40" s="589"/>
      <c r="F40" s="148">
        <f t="shared" si="13"/>
        <v>213.23999999999998</v>
      </c>
      <c r="G40" s="590">
        <f t="shared" si="14"/>
        <v>201.89</v>
      </c>
      <c r="H40" s="590"/>
      <c r="I40" s="431"/>
      <c r="J40" s="376">
        <f t="shared" si="15"/>
        <v>4.5299999999999727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4.6533882570252949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58.707578679623417</v>
      </c>
      <c r="Z40" s="149"/>
      <c r="AA40" s="159">
        <f>$Z$39</f>
        <v>-274.42225045688349</v>
      </c>
      <c r="AB40" s="159">
        <f t="shared" si="6"/>
        <v>500</v>
      </c>
      <c r="AC40" s="159">
        <f t="shared" si="7"/>
        <v>333.12982913650688</v>
      </c>
      <c r="AD40" s="361">
        <f>INT((AC$38+AE40)*100)/100</f>
        <v>299.27</v>
      </c>
      <c r="AE40" s="159">
        <f>AG$43*AF40</f>
        <v>42.383000000000003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2"/>
      <c r="B41" s="145"/>
      <c r="C41" s="147"/>
      <c r="D41" s="589">
        <v>360</v>
      </c>
      <c r="E41" s="589"/>
      <c r="F41" s="148">
        <f t="shared" si="13"/>
        <v>217.78</v>
      </c>
      <c r="G41" s="590">
        <f t="shared" si="14"/>
        <v>206.43</v>
      </c>
      <c r="H41" s="590"/>
      <c r="I41" s="431"/>
      <c r="J41" s="376">
        <f t="shared" si="15"/>
        <v>4.5400000000000205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4.6533882570252949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58.796660509630463</v>
      </c>
      <c r="Z41" s="149"/>
      <c r="AA41" s="159">
        <f>$Z$39</f>
        <v>-274.42225045688349</v>
      </c>
      <c r="AB41" s="159">
        <f t="shared" si="6"/>
        <v>510</v>
      </c>
      <c r="AC41" s="159">
        <f t="shared" si="7"/>
        <v>333.21891096651393</v>
      </c>
      <c r="AD41" s="361">
        <f>INT((AC$38+AE41)*100)/100</f>
        <v>310.83</v>
      </c>
      <c r="AE41" s="159">
        <f>AG$43*AF41</f>
        <v>53.942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2">
        <v>4</v>
      </c>
      <c r="B42" s="146">
        <f>Input!D23</f>
        <v>229</v>
      </c>
      <c r="C42" s="147">
        <f>$C$12+D42/1440</f>
        <v>45725.6875</v>
      </c>
      <c r="D42" s="589">
        <v>370</v>
      </c>
      <c r="E42" s="589"/>
      <c r="F42" s="148">
        <f t="shared" si="13"/>
        <v>248.04999999999998</v>
      </c>
      <c r="G42" s="590">
        <f t="shared" si="14"/>
        <v>236.7</v>
      </c>
      <c r="H42" s="590"/>
      <c r="I42" s="431"/>
      <c r="J42" s="376">
        <f t="shared" si="15"/>
        <v>30.269999999999982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4.6533882570252949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59.053786800450716</v>
      </c>
      <c r="Z42" s="159">
        <f>Y43-Z43</f>
        <v>-274.42225045688349</v>
      </c>
      <c r="AA42" s="159">
        <f>$Z$39</f>
        <v>-274.42225045688349</v>
      </c>
      <c r="AB42" s="159">
        <f t="shared" si="6"/>
        <v>540</v>
      </c>
      <c r="AC42" s="159">
        <f t="shared" si="7"/>
        <v>333.47603725733421</v>
      </c>
      <c r="AD42" s="361">
        <f>INT((AC$38+AE42)*100)/100</f>
        <v>322.39</v>
      </c>
      <c r="AE42" s="159">
        <f>AG$43*AF42</f>
        <v>65.501000000000005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2"/>
      <c r="B43" s="145"/>
      <c r="C43" s="147"/>
      <c r="D43" s="589">
        <v>380</v>
      </c>
      <c r="E43" s="589"/>
      <c r="F43" s="148">
        <f t="shared" si="13"/>
        <v>253.1</v>
      </c>
      <c r="G43" s="590">
        <f t="shared" si="14"/>
        <v>241.75</v>
      </c>
      <c r="H43" s="590"/>
      <c r="I43" s="431"/>
      <c r="J43" s="376">
        <f t="shared" si="15"/>
        <v>5.0500000000000114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4.6533882570252949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59.527749543116492</v>
      </c>
      <c r="Z43" s="159">
        <f>Input!B24</f>
        <v>333.95</v>
      </c>
      <c r="AA43" s="159">
        <f>$Z$39</f>
        <v>-274.42225045688349</v>
      </c>
      <c r="AB43" s="159">
        <f t="shared" si="6"/>
        <v>600</v>
      </c>
      <c r="AC43" s="159">
        <f t="shared" si="7"/>
        <v>333.95</v>
      </c>
      <c r="AD43" s="361">
        <f>INT((AC$38+AE43)*100)/100</f>
        <v>333.95</v>
      </c>
      <c r="AE43" s="159">
        <f>AG$43*AF43</f>
        <v>77.06</v>
      </c>
      <c r="AF43" s="159">
        <v>1</v>
      </c>
      <c r="AG43" s="159">
        <f>AC43-AC38</f>
        <v>77.06</v>
      </c>
      <c r="AH43" s="29"/>
      <c r="EF43" s="27">
        <v>31.81</v>
      </c>
    </row>
    <row r="44" spans="1:136" s="27" customFormat="1" ht="23.1" customHeight="1">
      <c r="A44" s="432"/>
      <c r="B44" s="145"/>
      <c r="C44" s="147"/>
      <c r="D44" s="589">
        <v>390</v>
      </c>
      <c r="E44" s="589"/>
      <c r="F44" s="148">
        <f t="shared" si="13"/>
        <v>258.14</v>
      </c>
      <c r="G44" s="590">
        <f t="shared" si="14"/>
        <v>246.79</v>
      </c>
      <c r="H44" s="590"/>
      <c r="I44" s="431"/>
      <c r="J44" s="376">
        <f t="shared" si="15"/>
        <v>5.039999999999992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2"/>
      <c r="B45" s="145"/>
      <c r="C45" s="147"/>
      <c r="D45" s="589">
        <v>420</v>
      </c>
      <c r="E45" s="589"/>
      <c r="F45" s="148">
        <f t="shared" si="13"/>
        <v>263.19</v>
      </c>
      <c r="G45" s="590">
        <f t="shared" si="14"/>
        <v>251.84</v>
      </c>
      <c r="H45" s="590"/>
      <c r="I45" s="431"/>
      <c r="J45" s="376">
        <f t="shared" si="15"/>
        <v>5.0500000000000114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2"/>
      <c r="B46" s="145"/>
      <c r="C46" s="147"/>
      <c r="D46" s="589">
        <v>480</v>
      </c>
      <c r="E46" s="589"/>
      <c r="F46" s="148">
        <f t="shared" si="13"/>
        <v>268.24</v>
      </c>
      <c r="G46" s="590">
        <f t="shared" si="14"/>
        <v>256.89</v>
      </c>
      <c r="H46" s="590"/>
      <c r="I46" s="431"/>
      <c r="J46" s="376">
        <f t="shared" si="15"/>
        <v>5.0499999999999829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2">
        <v>5</v>
      </c>
      <c r="B47" s="146">
        <f>Input!D24</f>
        <v>263.34999999999997</v>
      </c>
      <c r="C47" s="147">
        <f>$C$12+D47/1440</f>
        <v>45725.770833333336</v>
      </c>
      <c r="D47" s="589">
        <v>490</v>
      </c>
      <c r="E47" s="589"/>
      <c r="F47" s="148">
        <f t="shared" si="13"/>
        <v>299.06</v>
      </c>
      <c r="G47" s="590">
        <f t="shared" si="14"/>
        <v>287.70999999999998</v>
      </c>
      <c r="H47" s="590"/>
      <c r="I47" s="431"/>
      <c r="J47" s="376">
        <f t="shared" si="15"/>
        <v>30.819999999999993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2"/>
      <c r="B48" s="145"/>
      <c r="C48" s="147"/>
      <c r="D48" s="589">
        <v>500</v>
      </c>
      <c r="E48" s="589"/>
      <c r="F48" s="148">
        <f t="shared" si="13"/>
        <v>310.62</v>
      </c>
      <c r="G48" s="590">
        <f t="shared" si="14"/>
        <v>299.27</v>
      </c>
      <c r="H48" s="590"/>
      <c r="I48" s="431"/>
      <c r="J48" s="376">
        <f t="shared" si="15"/>
        <v>11.560000000000002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2"/>
      <c r="B49" s="145"/>
      <c r="C49" s="147"/>
      <c r="D49" s="589">
        <v>510</v>
      </c>
      <c r="E49" s="589"/>
      <c r="F49" s="148">
        <f t="shared" si="13"/>
        <v>322.18</v>
      </c>
      <c r="G49" s="590">
        <f t="shared" si="14"/>
        <v>310.83</v>
      </c>
      <c r="H49" s="590"/>
      <c r="I49" s="431"/>
      <c r="J49" s="376">
        <f t="shared" si="15"/>
        <v>11.560000000000002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2"/>
      <c r="B50" s="145"/>
      <c r="C50" s="147"/>
      <c r="D50" s="589">
        <v>540</v>
      </c>
      <c r="E50" s="589"/>
      <c r="F50" s="148">
        <f t="shared" si="13"/>
        <v>333.74</v>
      </c>
      <c r="G50" s="590">
        <f t="shared" si="14"/>
        <v>322.39</v>
      </c>
      <c r="H50" s="590"/>
      <c r="I50" s="431"/>
      <c r="J50" s="376">
        <f t="shared" si="15"/>
        <v>11.560000000000002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34"/>
      <c r="B51" s="435"/>
      <c r="C51" s="436">
        <f>$C$12+D51/1440</f>
        <v>45725.847222222219</v>
      </c>
      <c r="D51" s="591">
        <v>600</v>
      </c>
      <c r="E51" s="591"/>
      <c r="F51" s="437">
        <f t="shared" si="13"/>
        <v>345.3</v>
      </c>
      <c r="G51" s="592">
        <f t="shared" si="14"/>
        <v>333.95</v>
      </c>
      <c r="H51" s="592"/>
      <c r="I51" s="438" t="s">
        <v>180</v>
      </c>
      <c r="J51" s="376">
        <f t="shared" si="15"/>
        <v>11.560000000000002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181.12838681790359</v>
      </c>
      <c r="N1" s="611" t="s">
        <v>183</v>
      </c>
      <c r="O1" s="611"/>
      <c r="P1" s="344">
        <f>StepTest!G41</f>
        <v>206.43</v>
      </c>
      <c r="Q1" s="345" t="s">
        <v>184</v>
      </c>
      <c r="R1" s="346">
        <f>G35</f>
        <v>25.301613182096425</v>
      </c>
      <c r="S1" s="347">
        <f>D7/2000</f>
        <v>0.125</v>
      </c>
      <c r="T1" s="348">
        <v>2.8959992673595401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39" t="str">
        <f>StepTest!A4</f>
        <v>조 사 명</v>
      </c>
      <c r="B2" s="440"/>
      <c r="C2" s="441" t="str">
        <f>StepTest!C4</f>
        <v>예산군 마전 등 5지구 농업용관정 지하수영향조사 용역</v>
      </c>
      <c r="D2" s="442"/>
      <c r="E2" s="442"/>
      <c r="F2" s="442"/>
      <c r="G2" s="442"/>
      <c r="H2" s="442"/>
      <c r="I2" s="442"/>
      <c r="J2" s="443"/>
      <c r="K2" s="126"/>
      <c r="N2" s="149"/>
      <c r="O2" s="149" t="s">
        <v>185</v>
      </c>
      <c r="P2" s="349">
        <f>G8</f>
        <v>38.200000000000003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17">
        <f>T1</f>
        <v>2.8959992673595401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24.293807453626034</v>
      </c>
      <c r="AC2" s="159">
        <f>1.6*V2/(4*PI()*W2)*LOG10((2.25*W2*Z2)/(X2*X2*Y2))</f>
        <v>24.293807453626034</v>
      </c>
      <c r="AD2" s="156">
        <v>0</v>
      </c>
      <c r="AE2" s="331">
        <f>AA2</f>
        <v>1</v>
      </c>
      <c r="AF2" s="159">
        <f t="shared" ref="AF2:AF14" si="1">AC2-$P$3-O3</f>
        <v>2.8238075488796248</v>
      </c>
      <c r="AG2" s="159">
        <f>AC2</f>
        <v>24.293807453626034</v>
      </c>
    </row>
    <row r="3" spans="1:38" s="27" customFormat="1" ht="21.6" customHeight="1">
      <c r="A3" s="444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45"/>
      <c r="K3" s="126"/>
      <c r="L3" s="516" t="s">
        <v>48</v>
      </c>
      <c r="M3" s="30">
        <f t="shared" ref="M3:M10" si="2">Q17</f>
        <v>0</v>
      </c>
      <c r="N3" s="40"/>
      <c r="O3" s="122"/>
      <c r="P3" s="124">
        <v>21.469999904746409</v>
      </c>
      <c r="V3" s="330">
        <f>V2</f>
        <v>200</v>
      </c>
      <c r="W3" s="149">
        <f>W$2</f>
        <v>2.8959992673595401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26.940792202211952</v>
      </c>
      <c r="AC3" s="159">
        <f t="shared" ref="AC3:AC30" si="5">1.6*V3/(4*PI()*W3)*LOG10((2.25*W3*Z3)/(X3*X3*Y3))</f>
        <v>26.940792202211952</v>
      </c>
      <c r="AD3" s="159">
        <f>AB69</f>
        <v>48.31999990474641</v>
      </c>
      <c r="AE3" s="331">
        <f t="shared" ref="AE3:AE66" si="6">AA3</f>
        <v>2</v>
      </c>
      <c r="AF3" s="159">
        <f t="shared" si="1"/>
        <v>5.4707922974655432</v>
      </c>
      <c r="AG3" s="159">
        <f t="shared" ref="AG3:AG16" si="7">AC3</f>
        <v>26.940792202211952</v>
      </c>
    </row>
    <row r="4" spans="1:38" s="27" customFormat="1" ht="21.6" customHeight="1">
      <c r="A4" s="444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46"/>
      <c r="K4" s="126"/>
      <c r="L4" s="516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2.8959992673595401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28.489179020115536</v>
      </c>
      <c r="AC4" s="159">
        <f>1.6*V4/(4*PI()*W4)*LOG10((2.25*W4*Z4)/(X4*X4*Y4))</f>
        <v>28.489179020115536</v>
      </c>
      <c r="AD4" s="159">
        <f>AC69</f>
        <v>48.31999990474641</v>
      </c>
      <c r="AE4" s="331">
        <f t="shared" si="6"/>
        <v>3</v>
      </c>
      <c r="AF4" s="159">
        <f t="shared" si="1"/>
        <v>7.019179115369127</v>
      </c>
      <c r="AG4" s="159">
        <f t="shared" si="7"/>
        <v>28.489179020115536</v>
      </c>
    </row>
    <row r="5" spans="1:38" s="27" customFormat="1" ht="21.6" customHeight="1">
      <c r="A5" s="444" t="str">
        <f>StepTest!A7</f>
        <v>조 사 자</v>
      </c>
      <c r="B5" s="65"/>
      <c r="C5" s="70" t="str">
        <f>StepTest!C7</f>
        <v>다다건설(주)</v>
      </c>
      <c r="D5" s="447"/>
      <c r="E5" s="67"/>
      <c r="F5" s="71" t="s">
        <v>169</v>
      </c>
      <c r="G5" s="72">
        <f>Input!I50</f>
        <v>48</v>
      </c>
      <c r="H5" s="73"/>
      <c r="I5" s="73"/>
      <c r="J5" s="448"/>
      <c r="K5" s="126"/>
      <c r="L5" s="516" t="s">
        <v>187</v>
      </c>
      <c r="M5" s="30">
        <f t="shared" si="2"/>
        <v>-1.47</v>
      </c>
      <c r="N5" s="40"/>
      <c r="O5" s="123"/>
      <c r="P5" s="123"/>
      <c r="V5" s="330">
        <f t="shared" si="8"/>
        <v>200</v>
      </c>
      <c r="W5" s="149">
        <f t="shared" si="9"/>
        <v>2.8959992673595401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29.587776950797878</v>
      </c>
      <c r="AC5" s="159">
        <f t="shared" si="5"/>
        <v>29.587776950797878</v>
      </c>
      <c r="AD5" s="159">
        <f>AF69</f>
        <v>26.85</v>
      </c>
      <c r="AE5" s="331">
        <f t="shared" si="6"/>
        <v>4</v>
      </c>
      <c r="AF5" s="159">
        <f t="shared" si="1"/>
        <v>8.1177770460514687</v>
      </c>
      <c r="AG5" s="159">
        <f t="shared" si="7"/>
        <v>29.587776950797878</v>
      </c>
    </row>
    <row r="6" spans="1:38" s="27" customFormat="1" ht="21.6" customHeight="1">
      <c r="A6" s="444" t="str">
        <f>StepTest!A8</f>
        <v>수중모타</v>
      </c>
      <c r="B6" s="65"/>
      <c r="C6" s="612">
        <f>StepTest!C8</f>
        <v>7.5</v>
      </c>
      <c r="D6" s="612"/>
      <c r="E6" s="613"/>
      <c r="F6" s="71" t="s">
        <v>165</v>
      </c>
      <c r="G6" s="72">
        <f>Input!I51</f>
        <v>483</v>
      </c>
      <c r="H6" s="73"/>
      <c r="I6" s="73"/>
      <c r="J6" s="448"/>
      <c r="K6" s="126">
        <v>0.2</v>
      </c>
      <c r="L6" s="125">
        <v>0.2</v>
      </c>
      <c r="M6" s="30">
        <f t="shared" si="2"/>
        <v>-3.2</v>
      </c>
      <c r="N6" s="40"/>
      <c r="O6" s="123"/>
      <c r="P6" s="123"/>
      <c r="V6" s="330">
        <f t="shared" si="8"/>
        <v>200</v>
      </c>
      <c r="W6" s="149">
        <f t="shared" si="9"/>
        <v>2.8959992673595401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30.439915708106049</v>
      </c>
      <c r="AC6" s="159">
        <f t="shared" si="5"/>
        <v>30.439915708106049</v>
      </c>
      <c r="AD6" s="149"/>
      <c r="AE6" s="331">
        <f t="shared" si="6"/>
        <v>5</v>
      </c>
      <c r="AF6" s="159">
        <f t="shared" si="1"/>
        <v>8.9699158033596404</v>
      </c>
      <c r="AG6" s="159">
        <f t="shared" si="7"/>
        <v>30.439915708106049</v>
      </c>
      <c r="AL6" s="27">
        <f>10*(2.54/2/100)</f>
        <v>0.127</v>
      </c>
    </row>
    <row r="7" spans="1:38" s="27" customFormat="1" ht="21.6" customHeight="1">
      <c r="A7" s="444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46"/>
      <c r="K7" s="126"/>
      <c r="M7" s="30">
        <f t="shared" si="2"/>
        <v>-5.18</v>
      </c>
      <c r="N7" s="40"/>
      <c r="O7" s="123"/>
      <c r="P7" s="123"/>
      <c r="V7" s="330">
        <f t="shared" si="8"/>
        <v>200</v>
      </c>
      <c r="W7" s="149">
        <f t="shared" si="9"/>
        <v>2.8959992673595401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33.086900456691971</v>
      </c>
      <c r="AC7" s="159">
        <f t="shared" si="5"/>
        <v>33.086900456691971</v>
      </c>
      <c r="AD7" s="149"/>
      <c r="AE7" s="331">
        <f t="shared" si="6"/>
        <v>10</v>
      </c>
      <c r="AF7" s="159">
        <f t="shared" si="1"/>
        <v>11.616900551945562</v>
      </c>
      <c r="AG7" s="159">
        <f t="shared" si="7"/>
        <v>33.086900456691971</v>
      </c>
      <c r="AL7" s="27">
        <f>AL6*2</f>
        <v>0.254</v>
      </c>
    </row>
    <row r="8" spans="1:38" s="27" customFormat="1" ht="21.6" customHeight="1">
      <c r="A8" s="444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38.200000000000003</v>
      </c>
      <c r="H8" s="73">
        <f>Input!C40</f>
        <v>200</v>
      </c>
      <c r="I8" s="73"/>
      <c r="J8" s="449"/>
      <c r="K8" s="350">
        <f>Input!M50</f>
        <v>288.64999999999998</v>
      </c>
      <c r="L8" s="167">
        <f>G10-K11</f>
        <v>0.17682280029370645</v>
      </c>
      <c r="M8" s="30">
        <f t="shared" si="2"/>
        <v>-16.670000000000002</v>
      </c>
      <c r="N8" s="40"/>
      <c r="O8" s="123"/>
      <c r="P8" s="123"/>
      <c r="V8" s="330">
        <f t="shared" si="8"/>
        <v>200</v>
      </c>
      <c r="W8" s="149">
        <f t="shared" si="9"/>
        <v>2.8959992673595401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34.635287274595555</v>
      </c>
      <c r="AC8" s="159">
        <f t="shared" si="5"/>
        <v>34.635287274595555</v>
      </c>
      <c r="AD8" s="149"/>
      <c r="AE8" s="331">
        <f t="shared" si="6"/>
        <v>15</v>
      </c>
      <c r="AF8" s="159">
        <f t="shared" si="1"/>
        <v>13.165287369849146</v>
      </c>
      <c r="AG8" s="159">
        <f t="shared" si="7"/>
        <v>34.635287274595555</v>
      </c>
    </row>
    <row r="9" spans="1:38" s="27" customFormat="1" ht="21.6" customHeight="1">
      <c r="A9" s="450" t="s">
        <v>170</v>
      </c>
      <c r="B9" s="82" t="s">
        <v>171</v>
      </c>
      <c r="C9" s="79" t="s">
        <v>190</v>
      </c>
      <c r="D9" s="614" t="s">
        <v>173</v>
      </c>
      <c r="E9" s="614"/>
      <c r="F9" s="82" t="s">
        <v>174</v>
      </c>
      <c r="G9" s="82" t="s">
        <v>175</v>
      </c>
      <c r="H9" s="83"/>
      <c r="I9" s="83"/>
      <c r="J9" s="451"/>
      <c r="K9" s="351">
        <f>G8-D8</f>
        <v>26.85</v>
      </c>
      <c r="M9" s="30">
        <f t="shared" si="2"/>
        <v>-29.26</v>
      </c>
      <c r="N9" s="40"/>
      <c r="O9" s="123"/>
      <c r="P9" s="123"/>
      <c r="V9" s="330">
        <f t="shared" si="8"/>
        <v>200</v>
      </c>
      <c r="W9" s="149">
        <f t="shared" si="9"/>
        <v>2.8959992673595401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35.733885205277893</v>
      </c>
      <c r="AC9" s="159">
        <f t="shared" si="5"/>
        <v>35.733885205277893</v>
      </c>
      <c r="AD9" s="149"/>
      <c r="AE9" s="331">
        <f t="shared" si="6"/>
        <v>20</v>
      </c>
      <c r="AF9" s="159">
        <f t="shared" si="1"/>
        <v>14.263885300531484</v>
      </c>
      <c r="AG9" s="159">
        <f t="shared" si="7"/>
        <v>35.733885205277893</v>
      </c>
    </row>
    <row r="10" spans="1:38" s="27" customFormat="1" ht="21" customHeight="1">
      <c r="A10" s="452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14.173807548879624</v>
      </c>
      <c r="G10" s="88">
        <f>AF2</f>
        <v>2.8238075488796248</v>
      </c>
      <c r="H10" s="89"/>
      <c r="I10" s="89"/>
      <c r="J10" s="453"/>
      <c r="K10" s="352">
        <f>K8-K9</f>
        <v>261.79999999999995</v>
      </c>
      <c r="L10" s="39">
        <f>K10+Q17</f>
        <v>261.79999999999995</v>
      </c>
      <c r="M10" s="30">
        <f t="shared" si="2"/>
        <v>-42.3</v>
      </c>
      <c r="N10" s="40"/>
      <c r="O10" s="123"/>
      <c r="P10" s="123"/>
      <c r="V10" s="330">
        <f t="shared" si="8"/>
        <v>200</v>
      </c>
      <c r="W10" s="149">
        <f t="shared" si="9"/>
        <v>2.8959992673595401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36.586023962586061</v>
      </c>
      <c r="AC10" s="159">
        <f t="shared" si="5"/>
        <v>36.586023962586061</v>
      </c>
      <c r="AD10" s="149"/>
      <c r="AE10" s="331">
        <f t="shared" si="6"/>
        <v>25</v>
      </c>
      <c r="AF10" s="159">
        <f t="shared" si="1"/>
        <v>15.116024057839653</v>
      </c>
      <c r="AG10" s="159">
        <f t="shared" si="7"/>
        <v>36.586023962586061</v>
      </c>
    </row>
    <row r="11" spans="1:38" s="27" customFormat="1" ht="21" customHeight="1">
      <c r="A11" s="452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16.820792297465545</v>
      </c>
      <c r="G11" s="87">
        <f>AF3</f>
        <v>5.4707922974655432</v>
      </c>
      <c r="H11" s="89"/>
      <c r="I11" s="89"/>
      <c r="J11" s="453"/>
      <c r="K11" s="155">
        <f>G11-G10</f>
        <v>2.6469847485859184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2.8959992673595401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37.282272023181477</v>
      </c>
      <c r="AC11" s="159">
        <f t="shared" si="5"/>
        <v>37.282272023181477</v>
      </c>
      <c r="AD11" s="149"/>
      <c r="AE11" s="331">
        <f t="shared" si="6"/>
        <v>30</v>
      </c>
      <c r="AF11" s="159">
        <f t="shared" si="1"/>
        <v>15.812272118435068</v>
      </c>
      <c r="AG11" s="159">
        <f t="shared" si="7"/>
        <v>37.282272023181477</v>
      </c>
    </row>
    <row r="12" spans="1:38" s="27" customFormat="1" ht="21" customHeight="1">
      <c r="A12" s="452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18.369179115369128</v>
      </c>
      <c r="G12" s="87">
        <f t="shared" ref="G12:G74" si="14">AF4</f>
        <v>7.019179115369127</v>
      </c>
      <c r="H12" s="89"/>
      <c r="I12" s="89"/>
      <c r="J12" s="453"/>
      <c r="K12" s="155">
        <f t="shared" ref="K12:K47" si="15">G12-G11</f>
        <v>1.5483868179035838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2.8959992673595401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37.870941370660148</v>
      </c>
      <c r="AC12" s="159">
        <f t="shared" si="5"/>
        <v>37.870941370660148</v>
      </c>
      <c r="AD12" s="149"/>
      <c r="AE12" s="331">
        <f t="shared" si="6"/>
        <v>35</v>
      </c>
      <c r="AF12" s="159">
        <f t="shared" si="1"/>
        <v>16.400941465913739</v>
      </c>
      <c r="AG12" s="159">
        <f t="shared" si="7"/>
        <v>37.870941370660148</v>
      </c>
    </row>
    <row r="13" spans="1:38" s="27" customFormat="1" ht="21" customHeight="1">
      <c r="A13" s="452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19.467777046051467</v>
      </c>
      <c r="G13" s="87">
        <f t="shared" si="14"/>
        <v>8.1177770460514687</v>
      </c>
      <c r="H13" s="89"/>
      <c r="I13" s="89"/>
      <c r="J13" s="453"/>
      <c r="K13" s="155">
        <f t="shared" si="15"/>
        <v>1.0985979306823417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2.8959992673595401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38.380869953863815</v>
      </c>
      <c r="AC13" s="159">
        <f t="shared" si="5"/>
        <v>38.380869953863815</v>
      </c>
      <c r="AD13" s="149"/>
      <c r="AE13" s="331">
        <f t="shared" si="6"/>
        <v>40</v>
      </c>
      <c r="AF13" s="159">
        <f t="shared" si="1"/>
        <v>16.910870049117406</v>
      </c>
      <c r="AG13" s="159">
        <f t="shared" si="7"/>
        <v>38.380869953863815</v>
      </c>
    </row>
    <row r="14" spans="1:38" s="27" customFormat="1" ht="21" customHeight="1">
      <c r="A14" s="452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20.319915803359642</v>
      </c>
      <c r="G14" s="87">
        <f t="shared" si="14"/>
        <v>8.9699158033596404</v>
      </c>
      <c r="H14" s="89"/>
      <c r="I14" s="89"/>
      <c r="J14" s="453"/>
      <c r="K14" s="155">
        <f t="shared" si="15"/>
        <v>0.85213875730817179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2.8959992673595401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38.830658841085061</v>
      </c>
      <c r="AC14" s="159">
        <f t="shared" si="5"/>
        <v>38.830658841085061</v>
      </c>
      <c r="AD14" s="149"/>
      <c r="AE14" s="331">
        <f t="shared" si="6"/>
        <v>45</v>
      </c>
      <c r="AF14" s="159">
        <f t="shared" si="1"/>
        <v>17.360658936338652</v>
      </c>
      <c r="AG14" s="159">
        <f t="shared" si="7"/>
        <v>38.830658841085061</v>
      </c>
    </row>
    <row r="15" spans="1:38" s="27" customFormat="1" ht="21" customHeight="1" thickBot="1">
      <c r="A15" s="452"/>
      <c r="B15" s="447"/>
      <c r="C15" s="85"/>
      <c r="D15" s="86">
        <v>10</v>
      </c>
      <c r="E15" s="76">
        <f t="shared" si="12"/>
        <v>6.9444444444444441E-3</v>
      </c>
      <c r="F15" s="87">
        <f t="shared" si="13"/>
        <v>22.966900551945564</v>
      </c>
      <c r="G15" s="87">
        <f t="shared" si="14"/>
        <v>11.616900551945562</v>
      </c>
      <c r="H15" s="89"/>
      <c r="I15" s="89"/>
      <c r="J15" s="453"/>
      <c r="K15" s="155">
        <f t="shared" si="15"/>
        <v>2.6469847485859219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2.8959992673595401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39.233008711171983</v>
      </c>
      <c r="AC15" s="159">
        <f t="shared" si="5"/>
        <v>39.233008711171983</v>
      </c>
      <c r="AD15" s="149"/>
      <c r="AE15" s="331">
        <f t="shared" si="6"/>
        <v>50</v>
      </c>
      <c r="AF15" s="159">
        <f>AC15-$P$3</f>
        <v>17.763008806425574</v>
      </c>
      <c r="AG15" s="159">
        <f t="shared" si="7"/>
        <v>39.233008711171983</v>
      </c>
    </row>
    <row r="16" spans="1:38" s="27" customFormat="1" ht="21" customHeight="1">
      <c r="A16" s="452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24.515287369849148</v>
      </c>
      <c r="G16" s="87">
        <f t="shared" si="14"/>
        <v>13.165287369849146</v>
      </c>
      <c r="H16" s="89"/>
      <c r="I16" s="89"/>
      <c r="J16" s="453"/>
      <c r="K16" s="155">
        <f t="shared" si="15"/>
        <v>1.5483868179035838</v>
      </c>
      <c r="L16" s="513" t="s">
        <v>244</v>
      </c>
      <c r="M16" s="514" t="s">
        <v>178</v>
      </c>
      <c r="N16" s="514" t="s">
        <v>179</v>
      </c>
      <c r="O16" s="514" t="s">
        <v>242</v>
      </c>
      <c r="P16" s="514" t="s">
        <v>243</v>
      </c>
      <c r="Q16" s="515" t="s">
        <v>245</v>
      </c>
      <c r="V16" s="330">
        <f t="shared" si="8"/>
        <v>200</v>
      </c>
      <c r="W16" s="149">
        <f t="shared" si="9"/>
        <v>2.8959992673595401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39.59697844141489</v>
      </c>
      <c r="AC16" s="159">
        <f t="shared" si="5"/>
        <v>39.59697844141489</v>
      </c>
      <c r="AD16" s="149"/>
      <c r="AE16" s="331">
        <f t="shared" si="6"/>
        <v>55</v>
      </c>
      <c r="AF16" s="159">
        <f>AC16-$P$3</f>
        <v>18.126978536668481</v>
      </c>
      <c r="AG16" s="159">
        <f t="shared" si="7"/>
        <v>39.59697844141489</v>
      </c>
    </row>
    <row r="17" spans="1:33" s="27" customFormat="1" ht="21" customHeight="1">
      <c r="A17" s="452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25.613885300531486</v>
      </c>
      <c r="G17" s="87">
        <f t="shared" si="14"/>
        <v>14.263885300531484</v>
      </c>
      <c r="H17" s="89"/>
      <c r="I17" s="89"/>
      <c r="J17" s="453"/>
      <c r="K17" s="155">
        <f t="shared" si="15"/>
        <v>1.0985979306823381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2.8959992673595401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39.929256771767399</v>
      </c>
      <c r="AC17" s="159">
        <f t="shared" si="5"/>
        <v>39.929256771767399</v>
      </c>
      <c r="AD17" s="149"/>
      <c r="AE17" s="331">
        <f t="shared" si="6"/>
        <v>60</v>
      </c>
      <c r="AF17" s="159">
        <f>AC17-$P$3</f>
        <v>18.45925686702099</v>
      </c>
      <c r="AG17" s="149"/>
    </row>
    <row r="18" spans="1:33" s="27" customFormat="1" ht="21" customHeight="1">
      <c r="A18" s="452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26.466024057839654</v>
      </c>
      <c r="G18" s="87">
        <f t="shared" si="14"/>
        <v>15.116024057839653</v>
      </c>
      <c r="H18" s="89"/>
      <c r="I18" s="89"/>
      <c r="J18" s="453"/>
      <c r="K18" s="155">
        <f t="shared" si="15"/>
        <v>0.85213875730816824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2.8959992673595401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40.781395529075567</v>
      </c>
      <c r="AC18" s="159">
        <f t="shared" si="5"/>
        <v>40.781395529075567</v>
      </c>
      <c r="AD18" s="149"/>
      <c r="AE18" s="331">
        <f t="shared" si="6"/>
        <v>75</v>
      </c>
      <c r="AF18" s="159">
        <f>AC18-$P$3</f>
        <v>19.311395624329158</v>
      </c>
      <c r="AG18" s="149"/>
    </row>
    <row r="19" spans="1:33" s="27" customFormat="1" ht="21" customHeight="1">
      <c r="A19" s="452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27.16227211843507</v>
      </c>
      <c r="G19" s="87">
        <f t="shared" si="14"/>
        <v>15.812272118435068</v>
      </c>
      <c r="H19" s="89"/>
      <c r="I19" s="89"/>
      <c r="J19" s="453"/>
      <c r="K19" s="155">
        <f t="shared" si="15"/>
        <v>0.69624806059541555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-1.47</v>
      </c>
      <c r="V19" s="330">
        <f t="shared" si="8"/>
        <v>200</v>
      </c>
      <c r="W19" s="149">
        <f t="shared" si="9"/>
        <v>2.8959992673595401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41.477643589670983</v>
      </c>
      <c r="AC19" s="159">
        <f t="shared" si="5"/>
        <v>41.477643589670983</v>
      </c>
      <c r="AD19" s="149"/>
      <c r="AE19" s="331">
        <f t="shared" si="6"/>
        <v>90</v>
      </c>
      <c r="AF19" s="159">
        <f>AC19-$P$3</f>
        <v>20.007643684924574</v>
      </c>
      <c r="AG19" s="149"/>
    </row>
    <row r="20" spans="1:33" s="27" customFormat="1" ht="21" customHeight="1">
      <c r="A20" s="452"/>
      <c r="B20" s="83"/>
      <c r="C20" s="85"/>
      <c r="D20" s="86">
        <v>35</v>
      </c>
      <c r="E20" s="76">
        <f t="shared" si="12"/>
        <v>2.4305555555555556E-2</v>
      </c>
      <c r="F20" s="87">
        <f>G20+D$8</f>
        <v>27.750941465913741</v>
      </c>
      <c r="G20" s="87">
        <f t="shared" si="14"/>
        <v>16.400941465913739</v>
      </c>
      <c r="H20" s="89"/>
      <c r="I20" s="89"/>
      <c r="J20" s="453"/>
      <c r="K20" s="155">
        <f t="shared" si="15"/>
        <v>0.58866934747867106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-3.2</v>
      </c>
      <c r="V20" s="330">
        <f t="shared" si="8"/>
        <v>200</v>
      </c>
      <c r="W20" s="149">
        <f t="shared" si="9"/>
        <v>2.8959992673595401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42.066312937149654</v>
      </c>
      <c r="AC20" s="159">
        <f t="shared" si="5"/>
        <v>42.066312937149654</v>
      </c>
      <c r="AD20" s="149"/>
      <c r="AE20" s="331">
        <f t="shared" si="6"/>
        <v>105</v>
      </c>
      <c r="AF20" s="159">
        <f t="shared" ref="AF20:AF69" si="20">AC20-$P$3</f>
        <v>20.596313032403245</v>
      </c>
      <c r="AG20" s="149"/>
    </row>
    <row r="21" spans="1:33" s="27" customFormat="1" ht="21" customHeight="1">
      <c r="A21" s="452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28.260870049117408</v>
      </c>
      <c r="G21" s="87">
        <f t="shared" si="14"/>
        <v>16.910870049117406</v>
      </c>
      <c r="H21" s="89"/>
      <c r="I21" s="89"/>
      <c r="J21" s="453"/>
      <c r="K21" s="155">
        <f t="shared" si="15"/>
        <v>0.50992858320366707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-5.18</v>
      </c>
      <c r="V21" s="330">
        <f t="shared" si="8"/>
        <v>200</v>
      </c>
      <c r="W21" s="149">
        <f t="shared" si="9"/>
        <v>2.8959992673595401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42.576241520353321</v>
      </c>
      <c r="AC21" s="159">
        <f t="shared" si="5"/>
        <v>42.576241520353321</v>
      </c>
      <c r="AD21" s="149"/>
      <c r="AE21" s="331">
        <f t="shared" si="6"/>
        <v>120</v>
      </c>
      <c r="AF21" s="159">
        <f t="shared" si="20"/>
        <v>21.106241615606912</v>
      </c>
      <c r="AG21" s="149"/>
    </row>
    <row r="22" spans="1:33" s="27" customFormat="1" ht="21" customHeight="1">
      <c r="A22" s="452"/>
      <c r="B22" s="83"/>
      <c r="C22" s="85"/>
      <c r="D22" s="86">
        <v>45</v>
      </c>
      <c r="E22" s="76">
        <f t="shared" si="12"/>
        <v>3.125E-2</v>
      </c>
      <c r="F22" s="87">
        <f t="shared" si="13"/>
        <v>28.710658936338653</v>
      </c>
      <c r="G22" s="87">
        <f t="shared" si="14"/>
        <v>17.360658936338652</v>
      </c>
      <c r="H22" s="89"/>
      <c r="I22" s="89"/>
      <c r="J22" s="453"/>
      <c r="K22" s="155">
        <f t="shared" si="15"/>
        <v>0.44978888722124566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-16.670000000000002</v>
      </c>
      <c r="V22" s="330">
        <f t="shared" si="8"/>
        <v>200</v>
      </c>
      <c r="W22" s="149">
        <f t="shared" si="9"/>
        <v>2.8959992673595401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43.164910867831992</v>
      </c>
      <c r="AC22" s="159">
        <f t="shared" si="5"/>
        <v>43.164910867831992</v>
      </c>
      <c r="AD22" s="149"/>
      <c r="AE22" s="331">
        <f t="shared" si="6"/>
        <v>140</v>
      </c>
      <c r="AF22" s="159">
        <f t="shared" si="20"/>
        <v>21.694910963085583</v>
      </c>
      <c r="AG22" s="149"/>
    </row>
    <row r="23" spans="1:33" s="27" customFormat="1" ht="21" customHeight="1">
      <c r="A23" s="452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29.113008806425576</v>
      </c>
      <c r="G23" s="87">
        <f t="shared" si="14"/>
        <v>17.763008806425574</v>
      </c>
      <c r="H23" s="89"/>
      <c r="I23" s="89"/>
      <c r="J23" s="453"/>
      <c r="K23" s="155">
        <f t="shared" si="15"/>
        <v>0.40234987008692258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-29.26</v>
      </c>
      <c r="V23" s="330">
        <f t="shared" si="8"/>
        <v>200</v>
      </c>
      <c r="W23" s="149">
        <f t="shared" si="9"/>
        <v>2.8959992673595401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43.674839451035666</v>
      </c>
      <c r="AC23" s="159">
        <f t="shared" si="5"/>
        <v>43.674839451035666</v>
      </c>
      <c r="AD23" s="149"/>
      <c r="AE23" s="331">
        <f t="shared" si="6"/>
        <v>160</v>
      </c>
      <c r="AF23" s="159">
        <f t="shared" si="20"/>
        <v>22.204839546289257</v>
      </c>
      <c r="AG23" s="149"/>
    </row>
    <row r="24" spans="1:33" s="27" customFormat="1" ht="21" customHeight="1">
      <c r="A24" s="452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29.476978536668483</v>
      </c>
      <c r="G24" s="87">
        <f t="shared" si="14"/>
        <v>18.126978536668481</v>
      </c>
      <c r="H24" s="89"/>
      <c r="I24" s="89"/>
      <c r="J24" s="453"/>
      <c r="K24" s="155">
        <f t="shared" si="15"/>
        <v>0.36396973024290702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-42.3</v>
      </c>
      <c r="V24" s="330">
        <f t="shared" si="8"/>
        <v>200</v>
      </c>
      <c r="W24" s="149">
        <f t="shared" si="9"/>
        <v>2.8959992673595401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44.124628338256905</v>
      </c>
      <c r="AC24" s="159">
        <f t="shared" si="5"/>
        <v>44.124628338256905</v>
      </c>
      <c r="AD24" s="149"/>
      <c r="AE24" s="331">
        <f t="shared" si="6"/>
        <v>180</v>
      </c>
      <c r="AF24" s="159">
        <f t="shared" si="20"/>
        <v>22.654628433510496</v>
      </c>
      <c r="AG24" s="149"/>
    </row>
    <row r="25" spans="1:33" s="27" customFormat="1" ht="21" customHeight="1">
      <c r="A25" s="452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29.809256867020991</v>
      </c>
      <c r="G25" s="87">
        <f t="shared" si="14"/>
        <v>18.45925686702099</v>
      </c>
      <c r="H25" s="89"/>
      <c r="I25" s="89"/>
      <c r="J25" s="453"/>
      <c r="K25" s="155">
        <f t="shared" si="15"/>
        <v>0.33227833035250853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-55.59</v>
      </c>
      <c r="V25" s="330">
        <f t="shared" si="8"/>
        <v>200</v>
      </c>
      <c r="W25" s="149">
        <f t="shared" si="9"/>
        <v>2.8959992673595401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45.22322626893925</v>
      </c>
      <c r="AC25" s="159">
        <f t="shared" si="5"/>
        <v>45.22322626893925</v>
      </c>
      <c r="AD25" s="149"/>
      <c r="AE25" s="331">
        <f t="shared" si="6"/>
        <v>240</v>
      </c>
      <c r="AF25" s="159">
        <f t="shared" si="20"/>
        <v>23.753226364192841</v>
      </c>
      <c r="AG25" s="149"/>
    </row>
    <row r="26" spans="1:33" s="27" customFormat="1" ht="21" customHeight="1">
      <c r="A26" s="452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30.66139562432916</v>
      </c>
      <c r="G26" s="87">
        <f t="shared" si="14"/>
        <v>19.311395624329158</v>
      </c>
      <c r="H26" s="89"/>
      <c r="I26" s="89"/>
      <c r="J26" s="453"/>
      <c r="K26" s="155">
        <f t="shared" si="15"/>
        <v>0.85213875730816824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-69.03</v>
      </c>
      <c r="V26" s="330">
        <f t="shared" si="8"/>
        <v>200</v>
      </c>
      <c r="W26" s="149">
        <f t="shared" si="9"/>
        <v>2.8959992673595401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46.075365026247418</v>
      </c>
      <c r="AC26" s="159">
        <f t="shared" si="5"/>
        <v>46.075365026247418</v>
      </c>
      <c r="AD26" s="149"/>
      <c r="AE26" s="331">
        <f t="shared" si="6"/>
        <v>300</v>
      </c>
      <c r="AF26" s="159">
        <f t="shared" si="20"/>
        <v>24.605365121501009</v>
      </c>
      <c r="AG26" s="149"/>
    </row>
    <row r="27" spans="1:33" s="27" customFormat="1" ht="21" customHeight="1">
      <c r="A27" s="452"/>
      <c r="B27" s="83"/>
      <c r="C27" s="85"/>
      <c r="D27" s="86">
        <v>90</v>
      </c>
      <c r="E27" s="76">
        <f t="shared" si="12"/>
        <v>6.25E-2</v>
      </c>
      <c r="F27" s="87">
        <f t="shared" si="13"/>
        <v>31.357643684924575</v>
      </c>
      <c r="G27" s="87">
        <f t="shared" si="14"/>
        <v>20.007643684924574</v>
      </c>
      <c r="H27" s="89"/>
      <c r="I27" s="89"/>
      <c r="J27" s="453"/>
      <c r="K27" s="155">
        <f t="shared" si="15"/>
        <v>0.69624806059541555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-82.58</v>
      </c>
      <c r="V27" s="330">
        <f t="shared" si="8"/>
        <v>200</v>
      </c>
      <c r="W27" s="149">
        <f t="shared" si="9"/>
        <v>2.8959992673595401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46.771613086842834</v>
      </c>
      <c r="AC27" s="159">
        <f t="shared" si="5"/>
        <v>46.771613086842834</v>
      </c>
      <c r="AD27" s="149"/>
      <c r="AE27" s="331">
        <f t="shared" si="6"/>
        <v>360</v>
      </c>
      <c r="AF27" s="159">
        <f t="shared" si="20"/>
        <v>25.301613182096425</v>
      </c>
      <c r="AG27" s="149"/>
    </row>
    <row r="28" spans="1:33" s="27" customFormat="1" ht="21" customHeight="1">
      <c r="A28" s="452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31.946313032403246</v>
      </c>
      <c r="G28" s="87">
        <f t="shared" si="14"/>
        <v>20.596313032403245</v>
      </c>
      <c r="H28" s="89"/>
      <c r="I28" s="89"/>
      <c r="J28" s="453"/>
      <c r="K28" s="155">
        <f t="shared" si="15"/>
        <v>0.58866934747867106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-96.21</v>
      </c>
      <c r="S28"/>
      <c r="V28" s="330">
        <f t="shared" si="8"/>
        <v>200</v>
      </c>
      <c r="W28" s="149">
        <f t="shared" si="9"/>
        <v>2.8959992673595401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47.360282434321505</v>
      </c>
      <c r="AC28" s="159">
        <f t="shared" si="5"/>
        <v>47.360282434321505</v>
      </c>
      <c r="AD28" s="149"/>
      <c r="AE28" s="331">
        <f t="shared" si="6"/>
        <v>420</v>
      </c>
      <c r="AF28" s="159">
        <f t="shared" si="20"/>
        <v>25.890282529575096</v>
      </c>
      <c r="AG28" s="149"/>
    </row>
    <row r="29" spans="1:33" s="27" customFormat="1" ht="21" customHeight="1">
      <c r="A29" s="452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32.456241615606913</v>
      </c>
      <c r="G29" s="87">
        <f t="shared" si="14"/>
        <v>21.106241615606912</v>
      </c>
      <c r="H29" s="89"/>
      <c r="I29" s="89"/>
      <c r="J29" s="453"/>
      <c r="K29" s="155">
        <f t="shared" si="15"/>
        <v>0.50992858320366707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-109.9</v>
      </c>
      <c r="V29" s="330">
        <f t="shared" si="8"/>
        <v>200</v>
      </c>
      <c r="W29" s="149">
        <f t="shared" si="9"/>
        <v>2.8959992673595401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47.870211017525172</v>
      </c>
      <c r="AC29" s="159">
        <f t="shared" si="5"/>
        <v>47.870211017525172</v>
      </c>
      <c r="AD29" s="149"/>
      <c r="AE29" s="331">
        <f t="shared" si="6"/>
        <v>480</v>
      </c>
      <c r="AF29" s="159">
        <f t="shared" si="20"/>
        <v>26.400211112778763</v>
      </c>
      <c r="AG29" s="149"/>
    </row>
    <row r="30" spans="1:33" s="27" customFormat="1" ht="21" customHeight="1">
      <c r="A30" s="452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33.044910963085584</v>
      </c>
      <c r="G30" s="87">
        <f t="shared" si="14"/>
        <v>21.694910963085583</v>
      </c>
      <c r="H30" s="89"/>
      <c r="I30" s="89"/>
      <c r="J30" s="453"/>
      <c r="K30" s="155">
        <f t="shared" si="15"/>
        <v>0.58866934747867106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-123.64</v>
      </c>
      <c r="V30" s="330">
        <f t="shared" si="8"/>
        <v>200</v>
      </c>
      <c r="W30" s="149">
        <f t="shared" si="9"/>
        <v>2.8959992673595401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48.31999990474641</v>
      </c>
      <c r="AC30" s="159">
        <f t="shared" si="5"/>
        <v>48.31999990474641</v>
      </c>
      <c r="AD30" s="149"/>
      <c r="AE30" s="331">
        <f t="shared" si="6"/>
        <v>540</v>
      </c>
      <c r="AF30" s="159">
        <f t="shared" si="20"/>
        <v>26.85</v>
      </c>
      <c r="AG30" s="149"/>
    </row>
    <row r="31" spans="1:33" s="27" customFormat="1" ht="21" customHeight="1" thickBot="1">
      <c r="A31" s="452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33.554839546289259</v>
      </c>
      <c r="G31" s="87">
        <f t="shared" si="14"/>
        <v>22.204839546289257</v>
      </c>
      <c r="H31" s="89"/>
      <c r="I31" s="89"/>
      <c r="J31" s="453"/>
      <c r="K31" s="155">
        <f t="shared" si="15"/>
        <v>0.50992858320367418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-137.41999999999999</v>
      </c>
      <c r="V31" s="330">
        <f t="shared" si="8"/>
        <v>200</v>
      </c>
      <c r="W31" s="149">
        <f t="shared" si="9"/>
        <v>2.8959992673595401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48.31999990474641</v>
      </c>
      <c r="AC31" s="159">
        <f t="shared" ref="AC31:AC34" si="23">AC30</f>
        <v>48.31999990474641</v>
      </c>
      <c r="AD31" s="149"/>
      <c r="AE31" s="331">
        <f t="shared" si="6"/>
        <v>600</v>
      </c>
      <c r="AF31" s="159">
        <f t="shared" si="20"/>
        <v>26.85</v>
      </c>
      <c r="AG31" s="149"/>
    </row>
    <row r="32" spans="1:33" s="27" customFormat="1" ht="21" customHeight="1">
      <c r="A32" s="452"/>
      <c r="B32" s="83"/>
      <c r="C32" s="85"/>
      <c r="D32" s="86">
        <v>180</v>
      </c>
      <c r="E32" s="76">
        <f t="shared" si="12"/>
        <v>0.125</v>
      </c>
      <c r="F32" s="87">
        <f t="shared" si="13"/>
        <v>34.004628433510497</v>
      </c>
      <c r="G32" s="87">
        <f t="shared" si="14"/>
        <v>22.654628433510496</v>
      </c>
      <c r="H32" s="89"/>
      <c r="I32" s="89"/>
      <c r="J32" s="453"/>
      <c r="K32" s="155">
        <f t="shared" si="15"/>
        <v>0.44978888722123855</v>
      </c>
      <c r="L32" s="42" t="s">
        <v>21</v>
      </c>
      <c r="O32" s="43"/>
      <c r="V32" s="330">
        <f t="shared" si="8"/>
        <v>200</v>
      </c>
      <c r="W32" s="149">
        <f t="shared" si="9"/>
        <v>2.8959992673595401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48.31999990474641</v>
      </c>
      <c r="AC32" s="159">
        <f t="shared" si="23"/>
        <v>48.31999990474641</v>
      </c>
      <c r="AD32" s="149"/>
      <c r="AE32" s="331">
        <f t="shared" si="6"/>
        <v>660</v>
      </c>
      <c r="AF32" s="159">
        <f t="shared" si="20"/>
        <v>26.85</v>
      </c>
      <c r="AG32" s="149"/>
    </row>
    <row r="33" spans="1:33" s="27" customFormat="1" ht="21" customHeight="1">
      <c r="A33" s="452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35.103226364192842</v>
      </c>
      <c r="G33" s="87">
        <f t="shared" si="14"/>
        <v>23.753226364192841</v>
      </c>
      <c r="H33" s="89"/>
      <c r="I33" s="89"/>
      <c r="J33" s="453"/>
      <c r="K33" s="155">
        <f t="shared" si="15"/>
        <v>1.0985979306823452</v>
      </c>
      <c r="L33" s="39" t="s">
        <v>21</v>
      </c>
      <c r="O33" s="43"/>
      <c r="V33" s="330">
        <f t="shared" si="8"/>
        <v>200</v>
      </c>
      <c r="W33" s="149">
        <f t="shared" si="9"/>
        <v>2.8959992673595401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48.31999990474641</v>
      </c>
      <c r="AC33" s="159">
        <f t="shared" si="23"/>
        <v>48.31999990474641</v>
      </c>
      <c r="AD33" s="149"/>
      <c r="AE33" s="331">
        <f t="shared" si="6"/>
        <v>720</v>
      </c>
      <c r="AF33" s="159">
        <f t="shared" si="20"/>
        <v>26.85</v>
      </c>
      <c r="AG33" s="149"/>
    </row>
    <row r="34" spans="1:33" s="27" customFormat="1" ht="21" customHeight="1">
      <c r="A34" s="452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35.955365121501011</v>
      </c>
      <c r="G34" s="87">
        <f t="shared" si="14"/>
        <v>24.605365121501009</v>
      </c>
      <c r="H34" s="89"/>
      <c r="I34" s="89"/>
      <c r="J34" s="453"/>
      <c r="K34" s="155">
        <f t="shared" si="15"/>
        <v>0.85213875730816824</v>
      </c>
      <c r="L34" s="39" t="s">
        <v>21</v>
      </c>
      <c r="P34" s="43"/>
      <c r="V34" s="330">
        <f t="shared" si="8"/>
        <v>200</v>
      </c>
      <c r="W34" s="149">
        <f t="shared" si="9"/>
        <v>2.8959992673595401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48.31999990474641</v>
      </c>
      <c r="AC34" s="159">
        <f t="shared" si="23"/>
        <v>48.31999990474641</v>
      </c>
      <c r="AD34" s="149"/>
      <c r="AE34" s="331">
        <f t="shared" si="6"/>
        <v>780</v>
      </c>
      <c r="AF34" s="159">
        <f t="shared" si="20"/>
        <v>26.85</v>
      </c>
      <c r="AG34" s="149"/>
    </row>
    <row r="35" spans="1:33" s="27" customFormat="1" ht="21" customHeight="1">
      <c r="A35" s="452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36.651613182096426</v>
      </c>
      <c r="G35" s="87">
        <f t="shared" si="14"/>
        <v>25.301613182096425</v>
      </c>
      <c r="H35" s="89"/>
      <c r="I35" s="89"/>
      <c r="J35" s="453"/>
      <c r="K35" s="155">
        <f t="shared" si="15"/>
        <v>0.69624806059541555</v>
      </c>
      <c r="L35" s="39" t="s">
        <v>21</v>
      </c>
      <c r="O35" s="43"/>
      <c r="V35" s="330">
        <f t="shared" si="8"/>
        <v>200</v>
      </c>
      <c r="W35" s="149">
        <f t="shared" si="9"/>
        <v>2.8959992673595401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48.31999990474641</v>
      </c>
      <c r="AC35" s="159">
        <f t="shared" ref="AC35:AC38" si="25">AC34</f>
        <v>48.31999990474641</v>
      </c>
      <c r="AD35" s="149"/>
      <c r="AE35" s="331">
        <f t="shared" si="6"/>
        <v>840</v>
      </c>
      <c r="AF35" s="159">
        <f t="shared" si="20"/>
        <v>26.85</v>
      </c>
      <c r="AG35" s="149"/>
    </row>
    <row r="36" spans="1:33" s="27" customFormat="1" ht="21" customHeight="1">
      <c r="A36" s="452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37.240282529575097</v>
      </c>
      <c r="G36" s="87">
        <f t="shared" si="14"/>
        <v>25.890282529575096</v>
      </c>
      <c r="H36" s="89"/>
      <c r="I36" s="89"/>
      <c r="J36" s="453"/>
      <c r="K36" s="155">
        <f t="shared" si="15"/>
        <v>0.58866934747867106</v>
      </c>
      <c r="L36" s="39" t="s">
        <v>21</v>
      </c>
      <c r="V36" s="330">
        <f t="shared" si="8"/>
        <v>200</v>
      </c>
      <c r="W36" s="149">
        <f t="shared" si="9"/>
        <v>2.8959992673595401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48.31999990474641</v>
      </c>
      <c r="AC36" s="159">
        <f t="shared" si="25"/>
        <v>48.31999990474641</v>
      </c>
      <c r="AD36" s="149"/>
      <c r="AE36" s="331">
        <f t="shared" si="6"/>
        <v>900</v>
      </c>
      <c r="AF36" s="159">
        <f t="shared" si="20"/>
        <v>26.85</v>
      </c>
      <c r="AG36" s="149"/>
    </row>
    <row r="37" spans="1:33" s="27" customFormat="1" ht="21" customHeight="1">
      <c r="A37" s="452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37.750211112778764</v>
      </c>
      <c r="G37" s="87">
        <f t="shared" si="14"/>
        <v>26.400211112778763</v>
      </c>
      <c r="H37" s="89"/>
      <c r="I37" s="89"/>
      <c r="J37" s="453"/>
      <c r="K37" s="155">
        <f t="shared" si="15"/>
        <v>0.50992858320366707</v>
      </c>
      <c r="L37" s="39" t="s">
        <v>21</v>
      </c>
      <c r="V37" s="330">
        <f t="shared" si="8"/>
        <v>200</v>
      </c>
      <c r="W37" s="149">
        <f t="shared" si="9"/>
        <v>2.8959992673595401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48.31999990474641</v>
      </c>
      <c r="AC37" s="159">
        <f t="shared" si="25"/>
        <v>48.31999990474641</v>
      </c>
      <c r="AD37" s="149">
        <v>37</v>
      </c>
      <c r="AE37" s="331">
        <f t="shared" si="6"/>
        <v>960</v>
      </c>
      <c r="AF37" s="159">
        <f t="shared" si="20"/>
        <v>26.85</v>
      </c>
      <c r="AG37" s="149"/>
    </row>
    <row r="38" spans="1:33" s="27" customFormat="1" ht="21" customHeight="1">
      <c r="A38" s="452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38.200000000000003</v>
      </c>
      <c r="G38" s="87">
        <f t="shared" si="14"/>
        <v>26.85</v>
      </c>
      <c r="H38" s="89"/>
      <c r="I38" s="89"/>
      <c r="J38" s="453"/>
      <c r="K38" s="155">
        <f t="shared" si="15"/>
        <v>0.44978888722123855</v>
      </c>
      <c r="L38" s="39" t="s">
        <v>21</v>
      </c>
      <c r="V38" s="330">
        <f t="shared" si="8"/>
        <v>200</v>
      </c>
      <c r="W38" s="149">
        <f t="shared" si="9"/>
        <v>2.8959992673595401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48.31999990474641</v>
      </c>
      <c r="AC38" s="159">
        <f t="shared" si="25"/>
        <v>48.31999990474641</v>
      </c>
      <c r="AD38" s="150" t="s">
        <v>40</v>
      </c>
      <c r="AE38" s="331">
        <f t="shared" si="6"/>
        <v>1020</v>
      </c>
      <c r="AF38" s="159">
        <f t="shared" si="20"/>
        <v>26.85</v>
      </c>
      <c r="AG38" s="149"/>
    </row>
    <row r="39" spans="1:33" s="27" customFormat="1" ht="21" customHeight="1">
      <c r="A39" s="452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38.200000000000003</v>
      </c>
      <c r="G39" s="87">
        <f t="shared" si="14"/>
        <v>26.85</v>
      </c>
      <c r="H39" s="89"/>
      <c r="I39" s="89"/>
      <c r="J39" s="453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2.8959992673595401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48.31999990474641</v>
      </c>
      <c r="AC39" s="159">
        <f t="shared" ref="AC39:AC40" si="26">AC38</f>
        <v>48.31999990474641</v>
      </c>
      <c r="AD39" s="44">
        <v>39</v>
      </c>
      <c r="AE39" s="331">
        <f t="shared" si="6"/>
        <v>1080</v>
      </c>
      <c r="AF39" s="159">
        <f t="shared" si="20"/>
        <v>26.85</v>
      </c>
      <c r="AG39" s="149"/>
    </row>
    <row r="40" spans="1:33" s="27" customFormat="1" ht="21" customHeight="1">
      <c r="A40" s="452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38.200000000000003</v>
      </c>
      <c r="G40" s="87">
        <f t="shared" si="14"/>
        <v>26.85</v>
      </c>
      <c r="H40" s="89"/>
      <c r="I40" s="89"/>
      <c r="J40" s="453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2.8959992673595401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48.31999990474641</v>
      </c>
      <c r="AC40" s="159">
        <f t="shared" si="26"/>
        <v>48.31999990474641</v>
      </c>
      <c r="AD40" s="44">
        <v>40</v>
      </c>
      <c r="AE40" s="331">
        <f t="shared" si="6"/>
        <v>1140</v>
      </c>
      <c r="AF40" s="159">
        <f t="shared" si="20"/>
        <v>26.85</v>
      </c>
      <c r="AG40" s="149"/>
    </row>
    <row r="41" spans="1:33" s="27" customFormat="1" ht="21" customHeight="1">
      <c r="A41" s="452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38.200000000000003</v>
      </c>
      <c r="G41" s="87">
        <f t="shared" si="14"/>
        <v>26.85</v>
      </c>
      <c r="H41" s="89"/>
      <c r="I41" s="89"/>
      <c r="J41" s="453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2.8959992673595401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48.31999990474641</v>
      </c>
      <c r="AC41" s="159">
        <f t="shared" ref="AC41:AC46" si="27">AC40</f>
        <v>48.31999990474641</v>
      </c>
      <c r="AD41" s="45">
        <v>41</v>
      </c>
      <c r="AE41" s="331">
        <f t="shared" si="6"/>
        <v>1200</v>
      </c>
      <c r="AF41" s="159">
        <f t="shared" si="20"/>
        <v>26.85</v>
      </c>
      <c r="AG41" s="149"/>
    </row>
    <row r="42" spans="1:33" s="27" customFormat="1" ht="21" customHeight="1">
      <c r="A42" s="452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38.200000000000003</v>
      </c>
      <c r="G42" s="87">
        <f t="shared" si="14"/>
        <v>26.85</v>
      </c>
      <c r="H42" s="89"/>
      <c r="I42" s="89"/>
      <c r="J42" s="453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2.8959992673595401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48.31999990474641</v>
      </c>
      <c r="AC42" s="159">
        <f t="shared" si="27"/>
        <v>48.31999990474641</v>
      </c>
      <c r="AD42" s="44">
        <v>42</v>
      </c>
      <c r="AE42" s="331">
        <f t="shared" si="6"/>
        <v>1260</v>
      </c>
      <c r="AF42" s="159">
        <f t="shared" si="20"/>
        <v>26.85</v>
      </c>
      <c r="AG42" s="149"/>
    </row>
    <row r="43" spans="1:33" s="27" customFormat="1" ht="21" customHeight="1">
      <c r="A43" s="452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38.200000000000003</v>
      </c>
      <c r="G43" s="87">
        <f t="shared" si="14"/>
        <v>26.85</v>
      </c>
      <c r="H43" s="89"/>
      <c r="I43" s="89"/>
      <c r="J43" s="453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2.8959992673595401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48.31999990474641</v>
      </c>
      <c r="AC43" s="159">
        <f t="shared" si="27"/>
        <v>48.31999990474641</v>
      </c>
      <c r="AD43" s="45">
        <v>43</v>
      </c>
      <c r="AE43" s="331">
        <f t="shared" si="6"/>
        <v>1320</v>
      </c>
      <c r="AF43" s="159">
        <f t="shared" si="20"/>
        <v>26.85</v>
      </c>
      <c r="AG43" s="149"/>
    </row>
    <row r="44" spans="1:33" s="27" customFormat="1" ht="21" customHeight="1">
      <c r="A44" s="452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38.200000000000003</v>
      </c>
      <c r="G44" s="87">
        <f t="shared" si="14"/>
        <v>26.85</v>
      </c>
      <c r="H44" s="89"/>
      <c r="I44" s="89"/>
      <c r="J44" s="453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2.8959992673595401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48.31999990474641</v>
      </c>
      <c r="AC44" s="159">
        <f t="shared" si="27"/>
        <v>48.31999990474641</v>
      </c>
      <c r="AD44" s="44">
        <v>44</v>
      </c>
      <c r="AE44" s="331">
        <f t="shared" si="6"/>
        <v>1380</v>
      </c>
      <c r="AF44" s="159">
        <f t="shared" si="20"/>
        <v>26.85</v>
      </c>
      <c r="AG44" s="149"/>
    </row>
    <row r="45" spans="1:33" s="27" customFormat="1" ht="21" customHeight="1">
      <c r="A45" s="452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38.200000000000003</v>
      </c>
      <c r="G45" s="87">
        <f t="shared" si="14"/>
        <v>26.85</v>
      </c>
      <c r="H45" s="89"/>
      <c r="I45" s="89"/>
      <c r="J45" s="453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2.8959992673595401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48.31999990474641</v>
      </c>
      <c r="AC45" s="159">
        <f t="shared" si="27"/>
        <v>48.31999990474641</v>
      </c>
      <c r="AD45" s="45">
        <v>45</v>
      </c>
      <c r="AE45" s="331">
        <f t="shared" si="6"/>
        <v>1440</v>
      </c>
      <c r="AF45" s="159">
        <f t="shared" si="20"/>
        <v>26.85</v>
      </c>
      <c r="AG45" s="149"/>
    </row>
    <row r="46" spans="1:33" s="27" customFormat="1" ht="21" customHeight="1">
      <c r="A46" s="452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38.200000000000003</v>
      </c>
      <c r="G46" s="87">
        <f t="shared" si="14"/>
        <v>26.85</v>
      </c>
      <c r="H46" s="89"/>
      <c r="I46" s="89"/>
      <c r="J46" s="453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2.8959992673595401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48.31999990474641</v>
      </c>
      <c r="AC46" s="159">
        <f t="shared" si="27"/>
        <v>48.31999990474641</v>
      </c>
      <c r="AD46" s="44">
        <v>46</v>
      </c>
      <c r="AE46" s="338">
        <f t="shared" si="6"/>
        <v>1500</v>
      </c>
      <c r="AF46" s="340">
        <f t="shared" si="20"/>
        <v>26.85</v>
      </c>
      <c r="AG46" s="149"/>
    </row>
    <row r="47" spans="1:33" s="27" customFormat="1" ht="21" customHeight="1">
      <c r="A47" s="452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38.200000000000003</v>
      </c>
      <c r="G47" s="87">
        <f t="shared" si="14"/>
        <v>26.85</v>
      </c>
      <c r="H47" s="89"/>
      <c r="I47" s="89"/>
      <c r="J47" s="453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2.8959992673595401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48.31999990474641</v>
      </c>
      <c r="AC47" s="159">
        <f t="shared" ref="AC47:AC69" si="28">AC46</f>
        <v>48.31999990474641</v>
      </c>
      <c r="AD47" s="149"/>
      <c r="AE47" s="331">
        <f t="shared" si="6"/>
        <v>1560</v>
      </c>
      <c r="AF47" s="159">
        <f t="shared" si="20"/>
        <v>26.85</v>
      </c>
      <c r="AG47" s="149"/>
    </row>
    <row r="48" spans="1:33" s="27" customFormat="1" ht="21" customHeight="1">
      <c r="A48" s="452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38.200000000000003</v>
      </c>
      <c r="G48" s="87">
        <f t="shared" si="14"/>
        <v>26.85</v>
      </c>
      <c r="H48" s="89"/>
      <c r="I48" s="89"/>
      <c r="J48" s="453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2.8959992673595401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48.31999990474641</v>
      </c>
      <c r="AC48" s="159">
        <f t="shared" si="28"/>
        <v>48.31999990474641</v>
      </c>
      <c r="AD48" s="149"/>
      <c r="AE48" s="331">
        <f t="shared" si="6"/>
        <v>1620</v>
      </c>
      <c r="AF48" s="159">
        <f t="shared" si="20"/>
        <v>26.85</v>
      </c>
      <c r="AG48" s="149"/>
    </row>
    <row r="49" spans="1:33" s="27" customFormat="1" ht="21" customHeight="1">
      <c r="A49" s="452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38.200000000000003</v>
      </c>
      <c r="G49" s="87">
        <f t="shared" si="14"/>
        <v>26.85</v>
      </c>
      <c r="H49" s="89"/>
      <c r="I49" s="89"/>
      <c r="J49" s="453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2.8959992673595401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48.31999990474641</v>
      </c>
      <c r="AC49" s="159">
        <f t="shared" si="28"/>
        <v>48.31999990474641</v>
      </c>
      <c r="AD49" s="149"/>
      <c r="AE49" s="331">
        <f t="shared" si="6"/>
        <v>1680</v>
      </c>
      <c r="AF49" s="159">
        <f t="shared" si="20"/>
        <v>26.85</v>
      </c>
      <c r="AG49" s="149"/>
    </row>
    <row r="50" spans="1:33" s="27" customFormat="1" ht="21" customHeight="1">
      <c r="A50" s="452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38.200000000000003</v>
      </c>
      <c r="G50" s="87">
        <f t="shared" si="14"/>
        <v>26.85</v>
      </c>
      <c r="H50" s="89"/>
      <c r="I50" s="89"/>
      <c r="J50" s="453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2.8959992673595401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48.31999990474641</v>
      </c>
      <c r="AC50" s="159">
        <f t="shared" si="28"/>
        <v>48.31999990474641</v>
      </c>
      <c r="AD50" s="149"/>
      <c r="AE50" s="331">
        <f t="shared" si="6"/>
        <v>1740</v>
      </c>
      <c r="AF50" s="159">
        <f t="shared" si="20"/>
        <v>26.85</v>
      </c>
      <c r="AG50" s="149"/>
    </row>
    <row r="51" spans="1:33" s="27" customFormat="1" ht="21" customHeight="1">
      <c r="A51" s="452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38.200000000000003</v>
      </c>
      <c r="G51" s="87">
        <f t="shared" si="14"/>
        <v>26.85</v>
      </c>
      <c r="H51" s="89"/>
      <c r="I51" s="89"/>
      <c r="J51" s="453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2.8959992673595401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48.31999990474641</v>
      </c>
      <c r="AC51" s="159">
        <f t="shared" si="28"/>
        <v>48.31999990474641</v>
      </c>
      <c r="AD51" s="149"/>
      <c r="AE51" s="331">
        <f t="shared" si="6"/>
        <v>1800</v>
      </c>
      <c r="AF51" s="159">
        <f t="shared" si="20"/>
        <v>26.85</v>
      </c>
      <c r="AG51" s="149"/>
    </row>
    <row r="52" spans="1:33" s="27" customFormat="1" ht="21" customHeight="1">
      <c r="A52" s="452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38.200000000000003</v>
      </c>
      <c r="G52" s="87">
        <f t="shared" si="14"/>
        <v>26.85</v>
      </c>
      <c r="H52" s="89"/>
      <c r="I52" s="89"/>
      <c r="J52" s="453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2.8959992673595401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48.31999990474641</v>
      </c>
      <c r="AC52" s="159">
        <f t="shared" si="28"/>
        <v>48.31999990474641</v>
      </c>
      <c r="AD52" s="149"/>
      <c r="AE52" s="331">
        <f t="shared" si="6"/>
        <v>1860</v>
      </c>
      <c r="AF52" s="159">
        <f t="shared" si="20"/>
        <v>26.85</v>
      </c>
      <c r="AG52" s="149"/>
    </row>
    <row r="53" spans="1:33" s="27" customFormat="1" ht="21" customHeight="1">
      <c r="A53" s="452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38.200000000000003</v>
      </c>
      <c r="G53" s="87">
        <f t="shared" si="14"/>
        <v>26.85</v>
      </c>
      <c r="H53" s="89"/>
      <c r="I53" s="89"/>
      <c r="J53" s="453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2.8959992673595401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48.31999990474641</v>
      </c>
      <c r="AC53" s="159">
        <f t="shared" si="28"/>
        <v>48.31999990474641</v>
      </c>
      <c r="AD53" s="149"/>
      <c r="AE53" s="331">
        <f t="shared" si="6"/>
        <v>1920</v>
      </c>
      <c r="AF53" s="159">
        <f t="shared" si="20"/>
        <v>26.85</v>
      </c>
      <c r="AG53" s="149"/>
    </row>
    <row r="54" spans="1:33" s="27" customFormat="1" ht="21" customHeight="1">
      <c r="A54" s="452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38.200000000000003</v>
      </c>
      <c r="G54" s="87">
        <f t="shared" si="14"/>
        <v>26.85</v>
      </c>
      <c r="H54" s="89"/>
      <c r="I54" s="89"/>
      <c r="J54" s="453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2.8959992673595401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48.31999990474641</v>
      </c>
      <c r="AC54" s="159">
        <f t="shared" si="28"/>
        <v>48.31999990474641</v>
      </c>
      <c r="AD54" s="149"/>
      <c r="AE54" s="331">
        <f t="shared" si="6"/>
        <v>1980</v>
      </c>
      <c r="AF54" s="159">
        <f t="shared" si="20"/>
        <v>26.85</v>
      </c>
      <c r="AG54" s="149"/>
    </row>
    <row r="55" spans="1:33" s="27" customFormat="1" ht="21" customHeight="1">
      <c r="A55" s="452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38.200000000000003</v>
      </c>
      <c r="G55" s="87">
        <f t="shared" si="14"/>
        <v>26.85</v>
      </c>
      <c r="H55" s="89"/>
      <c r="I55" s="89"/>
      <c r="J55" s="453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2.8959992673595401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48.31999990474641</v>
      </c>
      <c r="AC55" s="159">
        <f t="shared" si="28"/>
        <v>48.31999990474641</v>
      </c>
      <c r="AD55" s="149"/>
      <c r="AE55" s="331">
        <f t="shared" si="6"/>
        <v>2040</v>
      </c>
      <c r="AF55" s="159">
        <f t="shared" si="20"/>
        <v>26.85</v>
      </c>
      <c r="AG55" s="149"/>
    </row>
    <row r="56" spans="1:33" s="27" customFormat="1" ht="21.6" customHeight="1">
      <c r="A56" s="452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38.200000000000003</v>
      </c>
      <c r="G56" s="87">
        <f t="shared" si="14"/>
        <v>26.85</v>
      </c>
      <c r="H56" s="89"/>
      <c r="I56" s="89"/>
      <c r="J56" s="453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2.8959992673595401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48.31999990474641</v>
      </c>
      <c r="AC56" s="159">
        <f t="shared" si="28"/>
        <v>48.31999990474641</v>
      </c>
      <c r="AD56" s="149"/>
      <c r="AE56" s="331">
        <f t="shared" si="6"/>
        <v>2100</v>
      </c>
      <c r="AF56" s="159">
        <f t="shared" si="20"/>
        <v>26.85</v>
      </c>
      <c r="AG56" s="149"/>
    </row>
    <row r="57" spans="1:33" s="27" customFormat="1" ht="21.6" customHeight="1">
      <c r="A57" s="452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38.200000000000003</v>
      </c>
      <c r="G57" s="87">
        <f t="shared" si="14"/>
        <v>26.85</v>
      </c>
      <c r="H57" s="89"/>
      <c r="I57" s="89"/>
      <c r="J57" s="453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2.8959992673595401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48.31999990474641</v>
      </c>
      <c r="AC57" s="159">
        <f t="shared" si="28"/>
        <v>48.31999990474641</v>
      </c>
      <c r="AD57" s="149"/>
      <c r="AE57" s="331">
        <f t="shared" si="6"/>
        <v>2160</v>
      </c>
      <c r="AF57" s="159">
        <f t="shared" si="20"/>
        <v>26.85</v>
      </c>
      <c r="AG57" s="149"/>
    </row>
    <row r="58" spans="1:33" s="27" customFormat="1" ht="21.6" customHeight="1">
      <c r="A58" s="452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38.200000000000003</v>
      </c>
      <c r="G58" s="87">
        <f t="shared" si="14"/>
        <v>26.85</v>
      </c>
      <c r="H58" s="89"/>
      <c r="I58" s="89"/>
      <c r="J58" s="453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2.8959992673595401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48.31999990474641</v>
      </c>
      <c r="AC58" s="159">
        <f t="shared" si="28"/>
        <v>48.31999990474641</v>
      </c>
      <c r="AD58" s="149"/>
      <c r="AE58" s="331">
        <f t="shared" si="6"/>
        <v>2220</v>
      </c>
      <c r="AF58" s="159">
        <f t="shared" si="20"/>
        <v>26.85</v>
      </c>
      <c r="AG58" s="149"/>
    </row>
    <row r="59" spans="1:33" s="27" customFormat="1" ht="21.6" customHeight="1">
      <c r="A59" s="452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38.200000000000003</v>
      </c>
      <c r="G59" s="87">
        <f t="shared" si="14"/>
        <v>26.85</v>
      </c>
      <c r="H59" s="89"/>
      <c r="I59" s="89"/>
      <c r="J59" s="453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2.8959992673595401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48.31999990474641</v>
      </c>
      <c r="AC59" s="159">
        <f t="shared" si="28"/>
        <v>48.31999990474641</v>
      </c>
      <c r="AD59" s="149"/>
      <c r="AE59" s="331">
        <f t="shared" si="6"/>
        <v>2280</v>
      </c>
      <c r="AF59" s="159">
        <f t="shared" si="20"/>
        <v>26.85</v>
      </c>
      <c r="AG59" s="149"/>
    </row>
    <row r="60" spans="1:33" s="27" customFormat="1" ht="21.6" customHeight="1">
      <c r="A60" s="452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38.200000000000003</v>
      </c>
      <c r="G60" s="87">
        <f t="shared" si="14"/>
        <v>26.85</v>
      </c>
      <c r="H60" s="89"/>
      <c r="I60" s="89"/>
      <c r="J60" s="453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2.8959992673595401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48.31999990474641</v>
      </c>
      <c r="AC60" s="159">
        <f t="shared" si="28"/>
        <v>48.31999990474641</v>
      </c>
      <c r="AD60" s="149"/>
      <c r="AE60" s="331">
        <f t="shared" si="6"/>
        <v>2340</v>
      </c>
      <c r="AF60" s="159">
        <f t="shared" si="20"/>
        <v>26.85</v>
      </c>
      <c r="AG60" s="149"/>
    </row>
    <row r="61" spans="1:33" s="27" customFormat="1" ht="21.6" customHeight="1">
      <c r="A61" s="452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38.200000000000003</v>
      </c>
      <c r="G61" s="87">
        <f t="shared" si="14"/>
        <v>26.85</v>
      </c>
      <c r="H61" s="89"/>
      <c r="I61" s="89"/>
      <c r="J61" s="453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2.8959992673595401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48.31999990474641</v>
      </c>
      <c r="AC61" s="159">
        <f t="shared" si="28"/>
        <v>48.31999990474641</v>
      </c>
      <c r="AD61" s="149"/>
      <c r="AE61" s="331">
        <f t="shared" si="6"/>
        <v>2400</v>
      </c>
      <c r="AF61" s="159">
        <f t="shared" si="20"/>
        <v>26.85</v>
      </c>
      <c r="AG61" s="149"/>
    </row>
    <row r="62" spans="1:33" s="27" customFormat="1" ht="21.6" customHeight="1">
      <c r="A62" s="452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38.200000000000003</v>
      </c>
      <c r="G62" s="87">
        <f t="shared" si="14"/>
        <v>26.85</v>
      </c>
      <c r="H62" s="89"/>
      <c r="I62" s="89"/>
      <c r="J62" s="453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2.8959992673595401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48.31999990474641</v>
      </c>
      <c r="AC62" s="159">
        <f t="shared" si="28"/>
        <v>48.31999990474641</v>
      </c>
      <c r="AD62" s="149"/>
      <c r="AE62" s="331">
        <f t="shared" si="6"/>
        <v>2460</v>
      </c>
      <c r="AF62" s="159">
        <f t="shared" si="20"/>
        <v>26.85</v>
      </c>
      <c r="AG62" s="149"/>
    </row>
    <row r="63" spans="1:33" s="27" customFormat="1" ht="21.6" customHeight="1">
      <c r="A63" s="452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38.200000000000003</v>
      </c>
      <c r="G63" s="87">
        <f t="shared" si="14"/>
        <v>26.85</v>
      </c>
      <c r="H63" s="89"/>
      <c r="I63" s="89"/>
      <c r="J63" s="453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2.8959992673595401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48.31999990474641</v>
      </c>
      <c r="AC63" s="159">
        <f t="shared" si="28"/>
        <v>48.31999990474641</v>
      </c>
      <c r="AD63" s="149"/>
      <c r="AE63" s="331">
        <f t="shared" si="6"/>
        <v>2520</v>
      </c>
      <c r="AF63" s="159">
        <f t="shared" si="20"/>
        <v>26.85</v>
      </c>
      <c r="AG63" s="149"/>
    </row>
    <row r="64" spans="1:33" s="27" customFormat="1" ht="21.6" customHeight="1">
      <c r="A64" s="452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38.200000000000003</v>
      </c>
      <c r="G64" s="87">
        <f t="shared" si="14"/>
        <v>26.85</v>
      </c>
      <c r="H64" s="89"/>
      <c r="I64" s="89"/>
      <c r="J64" s="453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2.8959992673595401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48.31999990474641</v>
      </c>
      <c r="AC64" s="159">
        <f t="shared" si="28"/>
        <v>48.31999990474641</v>
      </c>
      <c r="AD64" s="149"/>
      <c r="AE64" s="331">
        <f t="shared" si="6"/>
        <v>2580</v>
      </c>
      <c r="AF64" s="159">
        <f t="shared" si="20"/>
        <v>26.85</v>
      </c>
      <c r="AG64" s="149"/>
    </row>
    <row r="65" spans="1:33" s="27" customFormat="1" ht="21.6" customHeight="1">
      <c r="A65" s="452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38.200000000000003</v>
      </c>
      <c r="G65" s="87">
        <f t="shared" si="14"/>
        <v>26.85</v>
      </c>
      <c r="H65" s="89"/>
      <c r="I65" s="89"/>
      <c r="J65" s="453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2.8959992673595401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48.31999990474641</v>
      </c>
      <c r="AC65" s="159">
        <f t="shared" si="28"/>
        <v>48.31999990474641</v>
      </c>
      <c r="AD65" s="149"/>
      <c r="AE65" s="331">
        <f t="shared" si="6"/>
        <v>2640</v>
      </c>
      <c r="AF65" s="159">
        <f t="shared" si="20"/>
        <v>26.85</v>
      </c>
      <c r="AG65" s="149"/>
    </row>
    <row r="66" spans="1:33" s="27" customFormat="1" ht="21.6" customHeight="1">
      <c r="A66" s="452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38.200000000000003</v>
      </c>
      <c r="G66" s="87">
        <f t="shared" si="14"/>
        <v>26.85</v>
      </c>
      <c r="H66" s="89"/>
      <c r="I66" s="89"/>
      <c r="J66" s="453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2.8959992673595401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48.31999990474641</v>
      </c>
      <c r="AC66" s="159">
        <f t="shared" si="28"/>
        <v>48.31999990474641</v>
      </c>
      <c r="AD66" s="149"/>
      <c r="AE66" s="331">
        <f t="shared" si="6"/>
        <v>2700</v>
      </c>
      <c r="AF66" s="159">
        <f t="shared" si="20"/>
        <v>26.85</v>
      </c>
      <c r="AG66" s="149"/>
    </row>
    <row r="67" spans="1:33" s="27" customFormat="1" ht="21.6" customHeight="1">
      <c r="A67" s="452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38.200000000000003</v>
      </c>
      <c r="G67" s="87">
        <f t="shared" si="14"/>
        <v>26.85</v>
      </c>
      <c r="H67" s="89"/>
      <c r="I67" s="89"/>
      <c r="J67" s="453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2.8959992673595401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48.31999990474641</v>
      </c>
      <c r="AC67" s="159">
        <f t="shared" si="28"/>
        <v>48.31999990474641</v>
      </c>
      <c r="AD67" s="149"/>
      <c r="AE67" s="331">
        <f>AA67</f>
        <v>2760</v>
      </c>
      <c r="AF67" s="159">
        <f t="shared" si="20"/>
        <v>26.85</v>
      </c>
      <c r="AG67" s="149"/>
    </row>
    <row r="68" spans="1:33" s="27" customFormat="1" ht="21.6" customHeight="1">
      <c r="A68" s="452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38.200000000000003</v>
      </c>
      <c r="G68" s="87">
        <f t="shared" si="14"/>
        <v>26.85</v>
      </c>
      <c r="H68" s="89"/>
      <c r="I68" s="89"/>
      <c r="J68" s="453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2.8959992673595401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48.31999990474641</v>
      </c>
      <c r="AC68" s="159">
        <f t="shared" si="28"/>
        <v>48.31999990474641</v>
      </c>
      <c r="AD68" s="149"/>
      <c r="AE68" s="331">
        <f>AA68</f>
        <v>2820</v>
      </c>
      <c r="AF68" s="159">
        <f t="shared" si="20"/>
        <v>26.85</v>
      </c>
      <c r="AG68" s="149"/>
    </row>
    <row r="69" spans="1:33" s="27" customFormat="1" ht="21.6" customHeight="1">
      <c r="A69" s="452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38.200000000000003</v>
      </c>
      <c r="G69" s="87">
        <f t="shared" si="14"/>
        <v>26.85</v>
      </c>
      <c r="H69" s="89"/>
      <c r="I69" s="89"/>
      <c r="J69" s="453"/>
      <c r="K69" s="126" t="s">
        <v>21</v>
      </c>
      <c r="L69" s="39" t="s">
        <v>21</v>
      </c>
      <c r="V69" s="330">
        <f>V68</f>
        <v>200</v>
      </c>
      <c r="W69" s="149">
        <f t="shared" si="32"/>
        <v>2.8959992673595401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48.31999990474641</v>
      </c>
      <c r="AC69" s="159">
        <f t="shared" si="28"/>
        <v>48.31999990474641</v>
      </c>
      <c r="AD69" s="149"/>
      <c r="AE69" s="331">
        <f>AA69</f>
        <v>2880</v>
      </c>
      <c r="AF69" s="159">
        <f t="shared" si="20"/>
        <v>26.85</v>
      </c>
      <c r="AG69" s="149"/>
    </row>
    <row r="70" spans="1:33" s="27" customFormat="1" ht="21.6" customHeight="1">
      <c r="A70" s="452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38.200000000000003</v>
      </c>
      <c r="G70" s="87">
        <f t="shared" si="14"/>
        <v>26.85</v>
      </c>
      <c r="H70" s="89"/>
      <c r="I70" s="89"/>
      <c r="J70" s="453"/>
      <c r="K70" s="126" t="s">
        <v>21</v>
      </c>
      <c r="L70" s="39" t="s">
        <v>21</v>
      </c>
      <c r="V70" s="330"/>
      <c r="W70" s="149">
        <f t="shared" si="32"/>
        <v>2.8959992673595401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2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38.200000000000003</v>
      </c>
      <c r="G71" s="87">
        <f t="shared" si="14"/>
        <v>26.85</v>
      </c>
      <c r="H71" s="89"/>
      <c r="I71" s="89"/>
      <c r="J71" s="453"/>
      <c r="K71" s="126" t="s">
        <v>21</v>
      </c>
      <c r="L71" s="39" t="s">
        <v>21</v>
      </c>
      <c r="V71" s="330"/>
      <c r="W71" s="149">
        <f t="shared" si="32"/>
        <v>2.8959992673595401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2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38.200000000000003</v>
      </c>
      <c r="G72" s="87">
        <f t="shared" si="14"/>
        <v>26.85</v>
      </c>
      <c r="H72" s="89"/>
      <c r="I72" s="89"/>
      <c r="J72" s="453"/>
      <c r="K72" s="126" t="s">
        <v>21</v>
      </c>
      <c r="L72" s="39" t="s">
        <v>21</v>
      </c>
      <c r="V72" s="330"/>
      <c r="W72" s="149">
        <f t="shared" si="32"/>
        <v>2.8959992673595401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2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38.200000000000003</v>
      </c>
      <c r="G73" s="87">
        <f t="shared" si="14"/>
        <v>26.85</v>
      </c>
      <c r="H73" s="89"/>
      <c r="I73" s="89"/>
      <c r="J73" s="453"/>
      <c r="K73" s="126" t="s">
        <v>21</v>
      </c>
      <c r="L73" s="39" t="s">
        <v>21</v>
      </c>
      <c r="V73" s="330"/>
      <c r="W73" s="149">
        <f t="shared" si="32"/>
        <v>2.8959992673595401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2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38.200000000000003</v>
      </c>
      <c r="G74" s="87">
        <f t="shared" si="14"/>
        <v>26.85</v>
      </c>
      <c r="H74" s="89"/>
      <c r="I74" s="89"/>
      <c r="J74" s="453"/>
      <c r="K74" s="126" t="s">
        <v>21</v>
      </c>
      <c r="L74" s="39" t="s">
        <v>21</v>
      </c>
      <c r="V74" s="330"/>
      <c r="W74" s="149">
        <f t="shared" si="32"/>
        <v>2.8959992673595401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2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38.200000000000003</v>
      </c>
      <c r="G75" s="87">
        <f>AF67</f>
        <v>26.85</v>
      </c>
      <c r="H75" s="89"/>
      <c r="I75" s="89"/>
      <c r="J75" s="453"/>
      <c r="K75" s="126" t="s">
        <v>21</v>
      </c>
      <c r="L75" s="39" t="s">
        <v>21</v>
      </c>
      <c r="V75" s="330"/>
      <c r="W75" s="149">
        <f t="shared" si="32"/>
        <v>2.8959992673595401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2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38.200000000000003</v>
      </c>
      <c r="G76" s="87">
        <f>AF68</f>
        <v>26.85</v>
      </c>
      <c r="H76" s="89"/>
      <c r="I76" s="89"/>
      <c r="J76" s="453"/>
      <c r="K76" s="126" t="s">
        <v>21</v>
      </c>
      <c r="L76" s="39" t="s">
        <v>21</v>
      </c>
      <c r="V76" s="330"/>
      <c r="W76" s="149">
        <f t="shared" si="32"/>
        <v>2.8959992673595401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2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38.200000000000003</v>
      </c>
      <c r="G77" s="87">
        <f>AF69</f>
        <v>26.85</v>
      </c>
      <c r="H77" s="89" t="s">
        <v>180</v>
      </c>
      <c r="I77" s="89"/>
      <c r="J77" s="453"/>
      <c r="K77" s="126" t="s">
        <v>21</v>
      </c>
      <c r="L77" s="39" t="s">
        <v>21</v>
      </c>
      <c r="V77" s="330"/>
      <c r="W77" s="149">
        <f t="shared" si="32"/>
        <v>2.8959992673595401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2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28.289168550951231</v>
      </c>
      <c r="G78" s="87">
        <f>H114</f>
        <v>16.939168550951234</v>
      </c>
      <c r="H78" s="607" t="s">
        <v>191</v>
      </c>
      <c r="I78" s="607"/>
      <c r="J78" s="608"/>
      <c r="K78" s="126" t="s">
        <v>21</v>
      </c>
      <c r="L78" s="39"/>
      <c r="V78" s="330"/>
      <c r="W78" s="149">
        <f t="shared" si="32"/>
        <v>2.8959992673595401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2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26.69700945681798</v>
      </c>
      <c r="G79" s="87">
        <f>H115</f>
        <v>15.347009456817981</v>
      </c>
      <c r="H79" s="607"/>
      <c r="I79" s="607"/>
      <c r="J79" s="608"/>
      <c r="K79" s="126" t="s">
        <v>21</v>
      </c>
      <c r="L79" s="39" t="s">
        <v>21</v>
      </c>
      <c r="V79" s="330"/>
      <c r="W79" s="149">
        <f t="shared" si="32"/>
        <v>2.8959992673595401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2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25.254501779955085</v>
      </c>
      <c r="G80" s="87">
        <f>H116</f>
        <v>13.904501779955083</v>
      </c>
      <c r="H80" s="607"/>
      <c r="I80" s="607"/>
      <c r="J80" s="608"/>
      <c r="K80" s="126" t="s">
        <v>21</v>
      </c>
      <c r="L80" s="39" t="s">
        <v>21</v>
      </c>
      <c r="V80" s="330"/>
      <c r="W80" s="149">
        <f t="shared" si="32"/>
        <v>2.8959992673595401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2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23.94757937158786</v>
      </c>
      <c r="G81" s="87">
        <f>H117</f>
        <v>12.597579371587861</v>
      </c>
      <c r="H81" s="607"/>
      <c r="I81" s="607"/>
      <c r="J81" s="608"/>
      <c r="K81" s="126" t="s">
        <v>21</v>
      </c>
      <c r="L81" s="39" t="s">
        <v>21</v>
      </c>
      <c r="V81" s="330"/>
      <c r="W81" s="149">
        <f t="shared" si="32"/>
        <v>2.8959992673595401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2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22.763498198996139</v>
      </c>
      <c r="G82" s="87">
        <f>H118</f>
        <v>11.413498198996141</v>
      </c>
      <c r="H82" s="607"/>
      <c r="I82" s="607"/>
      <c r="J82" s="608"/>
      <c r="K82" s="126" t="s">
        <v>21</v>
      </c>
      <c r="L82" s="39" t="s">
        <v>21</v>
      </c>
      <c r="V82" s="330"/>
      <c r="W82" s="149">
        <f t="shared" si="32"/>
        <v>2.8959992673595401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2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19.838164518633043</v>
      </c>
      <c r="G83" s="87">
        <f>H121</f>
        <v>8.4881645186330434</v>
      </c>
      <c r="H83" s="607"/>
      <c r="I83" s="607"/>
      <c r="J83" s="608"/>
      <c r="K83" s="126" t="s">
        <v>21</v>
      </c>
      <c r="L83" s="39" t="s">
        <v>21</v>
      </c>
      <c r="V83" s="330"/>
      <c r="W83" s="149">
        <f t="shared" si="32"/>
        <v>2.8959992673595401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2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19.297579899788193</v>
      </c>
      <c r="G84" s="87">
        <f>H124</f>
        <v>7.9475798997881943</v>
      </c>
      <c r="H84" s="607"/>
      <c r="I84" s="607"/>
      <c r="J84" s="608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2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17.87376405196904</v>
      </c>
      <c r="G85" s="87">
        <f>H126</f>
        <v>6.5237640519690405</v>
      </c>
      <c r="H85" s="607"/>
      <c r="I85" s="607"/>
      <c r="J85" s="608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2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17.260577505529085</v>
      </c>
      <c r="G86" s="87">
        <f t="shared" ref="G86:G92" si="37">H127</f>
        <v>5.9105775055290843</v>
      </c>
      <c r="H86" s="607"/>
      <c r="I86" s="607"/>
      <c r="J86" s="608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2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16.705026050999216</v>
      </c>
      <c r="G87" s="87">
        <f t="shared" si="37"/>
        <v>5.355026050999216</v>
      </c>
      <c r="H87" s="607"/>
      <c r="I87" s="607"/>
      <c r="J87" s="608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2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16.531698563212647</v>
      </c>
      <c r="G88" s="87">
        <f t="shared" si="37"/>
        <v>5.1816985632126462</v>
      </c>
      <c r="H88" s="607"/>
      <c r="I88" s="607"/>
      <c r="J88" s="608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2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16.363981210229582</v>
      </c>
      <c r="G89" s="87">
        <f t="shared" si="37"/>
        <v>5.0139812102295833</v>
      </c>
      <c r="H89" s="607"/>
      <c r="I89" s="607"/>
      <c r="J89" s="608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2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16.201692407392482</v>
      </c>
      <c r="G90" s="87">
        <f t="shared" si="37"/>
        <v>4.8516924073924814</v>
      </c>
      <c r="H90" s="607"/>
      <c r="I90" s="607"/>
      <c r="J90" s="608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2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16.044656447440502</v>
      </c>
      <c r="G91" s="87">
        <f t="shared" si="37"/>
        <v>4.6946564474405026</v>
      </c>
      <c r="H91" s="607"/>
      <c r="I91" s="607"/>
      <c r="J91" s="608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2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15.892703310274335</v>
      </c>
      <c r="G92" s="87">
        <f t="shared" si="37"/>
        <v>4.5427033102743355</v>
      </c>
      <c r="H92" s="607"/>
      <c r="I92" s="607"/>
      <c r="J92" s="608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2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15.745668478878386</v>
      </c>
      <c r="G93" s="87">
        <f>H134</f>
        <v>4.3956684788783873</v>
      </c>
      <c r="H93" s="607"/>
      <c r="I93" s="607"/>
      <c r="J93" s="608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2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15.603392761201077</v>
      </c>
      <c r="G94" s="87">
        <f>H135</f>
        <v>4.2533927612010771</v>
      </c>
      <c r="H94" s="607"/>
      <c r="I94" s="607"/>
      <c r="J94" s="608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2"/>
      <c r="B95" s="83"/>
      <c r="C95" s="85"/>
      <c r="D95" s="86">
        <v>90</v>
      </c>
      <c r="E95" s="76">
        <f t="shared" si="35"/>
        <v>6.25E-2</v>
      </c>
      <c r="F95" s="87">
        <f t="shared" si="36"/>
        <v>15.465722117800379</v>
      </c>
      <c r="G95" s="87">
        <f>H136</f>
        <v>4.1157221178003791</v>
      </c>
      <c r="H95" s="607"/>
      <c r="I95" s="607"/>
      <c r="J95" s="608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2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15.332507495067992</v>
      </c>
      <c r="G96" s="87">
        <f>H137</f>
        <v>3.982507495067992</v>
      </c>
      <c r="H96" s="607"/>
      <c r="I96" s="607"/>
      <c r="J96" s="608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2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14.958180649765406</v>
      </c>
      <c r="G97" s="87">
        <f>H138</f>
        <v>3.6081806497654068</v>
      </c>
      <c r="H97" s="607"/>
      <c r="I97" s="607"/>
      <c r="J97" s="608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2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14.841393750589209</v>
      </c>
      <c r="G98" s="87">
        <f>H140</f>
        <v>3.4913937505892099</v>
      </c>
      <c r="H98" s="607"/>
      <c r="I98" s="607"/>
      <c r="J98" s="608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2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14.215907525128532</v>
      </c>
      <c r="G99" s="87">
        <f>H142</f>
        <v>2.8659075251285322</v>
      </c>
      <c r="H99" s="607"/>
      <c r="I99" s="607"/>
      <c r="J99" s="608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2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13.702477700689659</v>
      </c>
      <c r="G100" s="87">
        <f>H144</f>
        <v>2.3524777006896587</v>
      </c>
      <c r="H100" s="607"/>
      <c r="I100" s="607"/>
      <c r="J100" s="608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54"/>
      <c r="B101" s="455"/>
      <c r="C101" s="456">
        <f>$C$10+(D101+2880)/1440</f>
        <v>45728.680555555555</v>
      </c>
      <c r="D101" s="457">
        <v>360</v>
      </c>
      <c r="E101" s="458">
        <f t="shared" si="35"/>
        <v>0.25</v>
      </c>
      <c r="F101" s="459">
        <f t="shared" si="36"/>
        <v>13.281029275619737</v>
      </c>
      <c r="G101" s="460">
        <f>H146</f>
        <v>1.9310292756197371</v>
      </c>
      <c r="H101" s="609"/>
      <c r="I101" s="609"/>
      <c r="J101" s="610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26.85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26.85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22.777029041363246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26.85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20.636153365177407</v>
      </c>
      <c r="I112" s="159"/>
      <c r="J112" s="161">
        <f>H111-H112</f>
        <v>2.1408756761858392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26.85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18.696504488701077</v>
      </c>
      <c r="I113" s="159"/>
      <c r="J113" s="161">
        <f t="shared" ref="J113:J146" si="43">H112-H113</f>
        <v>1.9396488764763298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26.85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16.939168550951234</v>
      </c>
      <c r="I114" s="164"/>
      <c r="J114" s="161">
        <f t="shared" si="43"/>
        <v>1.7573359377498434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26.85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15.347009456817981</v>
      </c>
      <c r="I115" s="164"/>
      <c r="J115" s="161">
        <f t="shared" si="43"/>
        <v>1.5921590941332529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26.85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13.904501779955083</v>
      </c>
      <c r="I116" s="164"/>
      <c r="J116" s="161">
        <f t="shared" si="43"/>
        <v>1.4425076768628973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26.85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12.597579371587861</v>
      </c>
      <c r="I117" s="164"/>
      <c r="J117" s="161">
        <f t="shared" si="43"/>
        <v>1.3069224083672228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26.85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11.413498198996141</v>
      </c>
      <c r="I118" s="164"/>
      <c r="J118" s="161">
        <f t="shared" si="43"/>
        <v>1.1840811725917195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26.85</v>
      </c>
      <c r="E119" s="156">
        <f t="shared" si="41"/>
        <v>0.71</v>
      </c>
      <c r="F119" s="157"/>
      <c r="G119" s="149">
        <v>9</v>
      </c>
      <c r="H119" s="165">
        <f t="shared" si="39"/>
        <v>10.340712076185836</v>
      </c>
      <c r="I119" s="166"/>
      <c r="J119" s="161">
        <f t="shared" si="43"/>
        <v>1.0727861228103048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26.85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9.3687600749768851</v>
      </c>
      <c r="I120" s="159"/>
      <c r="J120" s="161">
        <f t="shared" si="43"/>
        <v>0.97195200120895109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26.85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8.4881645186330434</v>
      </c>
      <c r="I121" s="164"/>
      <c r="J121" s="161">
        <f t="shared" si="43"/>
        <v>0.88059555634384168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26.85</v>
      </c>
      <c r="E122" s="156">
        <f t="shared" si="41"/>
        <v>0.62</v>
      </c>
      <c r="F122" s="157"/>
      <c r="G122" s="149">
        <v>14</v>
      </c>
      <c r="H122" s="158">
        <f t="shared" si="39"/>
        <v>7.690338563351319</v>
      </c>
      <c r="I122" s="159"/>
      <c r="J122" s="161">
        <f t="shared" si="43"/>
        <v>0.7978259552817244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26.85</v>
      </c>
      <c r="E123" s="156">
        <f t="shared" si="41"/>
        <v>0.37</v>
      </c>
      <c r="F123" s="157"/>
      <c r="G123" s="149">
        <v>15</v>
      </c>
      <c r="H123" s="158">
        <f t="shared" si="39"/>
        <v>3.3783869226298133</v>
      </c>
      <c r="I123" s="159"/>
      <c r="J123" s="161">
        <f t="shared" si="43"/>
        <v>4.3119516407215057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26.85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7.9475798997881943</v>
      </c>
      <c r="I124" s="164"/>
      <c r="J124" s="161">
        <f t="shared" si="43"/>
        <v>-4.569192977158381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26.85</v>
      </c>
      <c r="E125" s="156">
        <f t="shared" si="41"/>
        <v>0.6</v>
      </c>
      <c r="F125" s="157"/>
      <c r="G125" s="149">
        <v>18</v>
      </c>
      <c r="H125" s="158">
        <f t="shared" si="39"/>
        <v>7.200564981332362</v>
      </c>
      <c r="I125" s="159"/>
      <c r="J125" s="161">
        <f t="shared" si="43"/>
        <v>0.74701491845583234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26.85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6.5237640519690405</v>
      </c>
      <c r="I126" s="164"/>
      <c r="J126" s="161">
        <f t="shared" si="43"/>
        <v>0.67680092936332148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26.85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5.9105775055290843</v>
      </c>
      <c r="I127" s="164"/>
      <c r="J127" s="161">
        <f t="shared" si="43"/>
        <v>0.61318654643995618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26.85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5.355026050999216</v>
      </c>
      <c r="I128" s="164"/>
      <c r="J128" s="161">
        <f t="shared" si="43"/>
        <v>0.55555145452986832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26.85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5.1816985632126462</v>
      </c>
      <c r="I129" s="164"/>
      <c r="J129" s="161">
        <f t="shared" si="43"/>
        <v>0.17332748778656981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26.85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5.0139812102295833</v>
      </c>
      <c r="I130" s="164"/>
      <c r="J130" s="161">
        <f t="shared" si="43"/>
        <v>0.1677173529830629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26.85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4.8516924073924814</v>
      </c>
      <c r="I131" s="164"/>
      <c r="J131" s="161">
        <f t="shared" si="43"/>
        <v>0.1622888028371019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26.85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4.6946564474405026</v>
      </c>
      <c r="I132" s="164"/>
      <c r="J132" s="161">
        <f t="shared" si="43"/>
        <v>0.15703595995197883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26.85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4.5427033102743355</v>
      </c>
      <c r="I133" s="164"/>
      <c r="J133" s="161">
        <f t="shared" si="43"/>
        <v>0.1519531371661671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26.85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4.3956684788783873</v>
      </c>
      <c r="I134" s="164"/>
      <c r="J134" s="161">
        <f t="shared" si="43"/>
        <v>0.1470348313959482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26.85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4.2533927612010771</v>
      </c>
      <c r="I135" s="164"/>
      <c r="J135" s="161">
        <f t="shared" si="43"/>
        <v>0.14227571767731018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26.85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4.1157221178003791</v>
      </c>
      <c r="I136" s="164"/>
      <c r="J136" s="161">
        <f t="shared" si="43"/>
        <v>0.13767064340069801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26.85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3.982507495067992</v>
      </c>
      <c r="I137" s="164"/>
      <c r="J137" s="161">
        <f t="shared" si="43"/>
        <v>0.13321462273238716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26.85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3.6081806497654068</v>
      </c>
      <c r="I138" s="164"/>
      <c r="J138" s="161">
        <f t="shared" si="43"/>
        <v>0.3743268453025852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26.85</v>
      </c>
      <c r="E139" s="156">
        <f t="shared" si="41"/>
        <v>0.36</v>
      </c>
      <c r="F139" s="157"/>
      <c r="G139" s="149">
        <v>150</v>
      </c>
      <c r="H139" s="158">
        <f t="shared" si="39"/>
        <v>3.2690378153624149</v>
      </c>
      <c r="I139" s="159"/>
      <c r="J139" s="161">
        <f t="shared" si="43"/>
        <v>0.33914283440299187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26.85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3.4913937505892099</v>
      </c>
      <c r="I140" s="164"/>
      <c r="J140" s="161">
        <f t="shared" si="43"/>
        <v>-0.22235593522679498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26.85</v>
      </c>
      <c r="E141" s="156">
        <f t="shared" si="41"/>
        <v>0.35</v>
      </c>
      <c r="F141" s="157"/>
      <c r="G141" s="149">
        <v>210</v>
      </c>
      <c r="H141" s="158">
        <f t="shared" si="39"/>
        <v>3.1632280384127136</v>
      </c>
      <c r="I141" s="159"/>
      <c r="J141" s="161">
        <f t="shared" si="43"/>
        <v>0.32816571217649626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26.85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2.8659075251285322</v>
      </c>
      <c r="I142" s="164"/>
      <c r="J142" s="161">
        <f t="shared" si="43"/>
        <v>0.29732051328418141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26.85</v>
      </c>
      <c r="E143" s="156">
        <f>C143/100</f>
        <v>0.28999999999999998</v>
      </c>
      <c r="F143" s="157"/>
      <c r="G143" s="149">
        <v>270</v>
      </c>
      <c r="H143" s="158">
        <f t="shared" si="39"/>
        <v>2.5965329855604682</v>
      </c>
      <c r="I143" s="159"/>
      <c r="J143" s="161">
        <f t="shared" si="43"/>
        <v>0.26937453956806401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26.85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2.3524777006896587</v>
      </c>
      <c r="I144" s="164"/>
      <c r="J144" s="161">
        <f t="shared" si="43"/>
        <v>0.24405528487080952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26.85</v>
      </c>
      <c r="E145" s="156">
        <f>C145/100</f>
        <v>0.23</v>
      </c>
      <c r="F145" s="157"/>
      <c r="G145" s="149">
        <v>330</v>
      </c>
      <c r="H145" s="158">
        <f t="shared" si="39"/>
        <v>2.1313618440504971</v>
      </c>
      <c r="I145" s="159"/>
      <c r="J145" s="161">
        <f t="shared" si="43"/>
        <v>0.22111585663916156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26.85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1.9310292756197371</v>
      </c>
      <c r="I146" s="164"/>
      <c r="J146" s="161">
        <f t="shared" si="43"/>
        <v>0.20033256843075997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110.91</v>
      </c>
      <c r="C35" s="60">
        <v>1</v>
      </c>
    </row>
    <row r="36" spans="1:3">
      <c r="A36" s="58">
        <f>Sheet1!A2</f>
        <v>2</v>
      </c>
      <c r="B36" s="59">
        <f>Sheet1!B2</f>
        <v>112.09</v>
      </c>
      <c r="C36" s="60">
        <v>1</v>
      </c>
    </row>
    <row r="37" spans="1:3">
      <c r="A37" s="58">
        <f>Sheet1!A3</f>
        <v>3</v>
      </c>
      <c r="B37" s="59">
        <f>Sheet1!B3</f>
        <v>112.96</v>
      </c>
      <c r="C37" s="60">
        <v>1</v>
      </c>
    </row>
    <row r="38" spans="1:3">
      <c r="A38" s="58">
        <f>Sheet1!A4</f>
        <v>4</v>
      </c>
      <c r="B38" s="59">
        <f>Sheet1!B4</f>
        <v>113.57</v>
      </c>
      <c r="C38" s="60">
        <v>1</v>
      </c>
    </row>
    <row r="39" spans="1:3">
      <c r="A39" s="58">
        <f>Sheet1!A5</f>
        <v>5</v>
      </c>
      <c r="B39" s="59">
        <f>Sheet1!B5</f>
        <v>114.05</v>
      </c>
      <c r="C39" s="60">
        <v>1</v>
      </c>
    </row>
    <row r="40" spans="1:3">
      <c r="A40" s="58">
        <f>Sheet1!A6</f>
        <v>10</v>
      </c>
      <c r="B40" s="59">
        <f>Sheet1!B6</f>
        <v>115.53</v>
      </c>
      <c r="C40" s="60">
        <v>1</v>
      </c>
    </row>
    <row r="41" spans="1:3">
      <c r="A41" s="58">
        <f>Sheet1!A7</f>
        <v>15</v>
      </c>
      <c r="B41" s="59">
        <f>Sheet1!B7</f>
        <v>116.39</v>
      </c>
      <c r="C41" s="60">
        <v>1</v>
      </c>
    </row>
    <row r="42" spans="1:3">
      <c r="A42" s="58">
        <f>Sheet1!A8</f>
        <v>20</v>
      </c>
      <c r="B42" s="59">
        <f>Sheet1!B8</f>
        <v>117.01</v>
      </c>
      <c r="C42" s="60">
        <v>1</v>
      </c>
    </row>
    <row r="43" spans="1:3">
      <c r="A43" s="58">
        <f>Sheet1!A9</f>
        <v>25</v>
      </c>
      <c r="B43" s="59">
        <f>Sheet1!B9</f>
        <v>117.49</v>
      </c>
      <c r="C43" s="60">
        <v>1</v>
      </c>
    </row>
    <row r="44" spans="1:3">
      <c r="A44" s="58">
        <f>Sheet1!A10</f>
        <v>30</v>
      </c>
      <c r="B44" s="59">
        <f>Sheet1!B10</f>
        <v>117.87</v>
      </c>
      <c r="C44" s="60">
        <v>1</v>
      </c>
    </row>
    <row r="45" spans="1:3">
      <c r="A45" s="58">
        <f>Sheet1!A11</f>
        <v>35</v>
      </c>
      <c r="B45" s="59">
        <f>Sheet1!B11</f>
        <v>118.2</v>
      </c>
      <c r="C45" s="60">
        <v>1</v>
      </c>
    </row>
    <row r="46" spans="1:3">
      <c r="A46" s="58">
        <f>Sheet1!A12</f>
        <v>40</v>
      </c>
      <c r="B46" s="59">
        <f>Sheet1!B12</f>
        <v>118.49</v>
      </c>
      <c r="C46" s="60">
        <v>1</v>
      </c>
    </row>
    <row r="47" spans="1:3">
      <c r="A47" s="58">
        <f>Sheet1!A13</f>
        <v>45</v>
      </c>
      <c r="B47" s="59">
        <f>Sheet1!B13</f>
        <v>118.74</v>
      </c>
      <c r="C47" s="60">
        <v>1</v>
      </c>
    </row>
    <row r="48" spans="1:3">
      <c r="A48" s="58">
        <f>Sheet1!A14</f>
        <v>50</v>
      </c>
      <c r="B48" s="59">
        <f>Sheet1!B14</f>
        <v>118.97</v>
      </c>
      <c r="C48" s="60">
        <v>1</v>
      </c>
    </row>
    <row r="49" spans="1:3">
      <c r="A49" s="58">
        <f>Sheet1!A15</f>
        <v>55</v>
      </c>
      <c r="B49" s="59">
        <f>Sheet1!B15</f>
        <v>119.17</v>
      </c>
      <c r="C49" s="60">
        <v>1</v>
      </c>
    </row>
    <row r="50" spans="1:3">
      <c r="A50" s="58">
        <f>Sheet1!A16</f>
        <v>60</v>
      </c>
      <c r="B50" s="59">
        <f>Sheet1!B16</f>
        <v>119.35</v>
      </c>
      <c r="C50" s="60">
        <v>1</v>
      </c>
    </row>
    <row r="51" spans="1:3">
      <c r="A51" s="58">
        <f>Sheet1!A17</f>
        <v>75</v>
      </c>
      <c r="B51" s="59">
        <f>Sheet1!B17</f>
        <v>119.83</v>
      </c>
      <c r="C51" s="60">
        <v>1</v>
      </c>
    </row>
    <row r="52" spans="1:3">
      <c r="A52" s="58">
        <f>Sheet1!A18</f>
        <v>90</v>
      </c>
      <c r="B52" s="59">
        <f>Sheet1!B18</f>
        <v>120.22</v>
      </c>
      <c r="C52" s="60">
        <v>1</v>
      </c>
    </row>
    <row r="53" spans="1:3">
      <c r="A53" s="58">
        <f>Sheet1!A19</f>
        <v>105</v>
      </c>
      <c r="B53" s="59">
        <f>Sheet1!B19</f>
        <v>120.55</v>
      </c>
      <c r="C53" s="60">
        <v>1</v>
      </c>
    </row>
    <row r="54" spans="1:3">
      <c r="A54" s="58">
        <f>Sheet1!A20</f>
        <v>120</v>
      </c>
      <c r="B54" s="59">
        <f>Sheet1!B20</f>
        <v>120.84</v>
      </c>
      <c r="C54" s="60">
        <v>1</v>
      </c>
    </row>
    <row r="55" spans="1:3">
      <c r="A55" s="58">
        <f>Sheet1!A21</f>
        <v>121</v>
      </c>
      <c r="B55" s="59">
        <f>Sheet1!B21</f>
        <v>121</v>
      </c>
      <c r="C55" s="60">
        <v>1</v>
      </c>
    </row>
    <row r="56" spans="1:3">
      <c r="A56" s="58">
        <f>Sheet1!A22</f>
        <v>122</v>
      </c>
      <c r="B56" s="59">
        <f>Sheet1!B22</f>
        <v>121.15</v>
      </c>
      <c r="C56" s="60">
        <v>1</v>
      </c>
    </row>
    <row r="57" spans="1:3">
      <c r="A57" s="58">
        <f>Sheet1!A23</f>
        <v>123</v>
      </c>
      <c r="B57" s="59">
        <f>Sheet1!B23</f>
        <v>121.29</v>
      </c>
      <c r="C57" s="60">
        <v>1</v>
      </c>
    </row>
    <row r="58" spans="1:3">
      <c r="A58" s="58">
        <f>Sheet1!A24</f>
        <v>124</v>
      </c>
      <c r="B58" s="59">
        <f>Sheet1!B24</f>
        <v>121.42</v>
      </c>
      <c r="C58" s="60">
        <v>1</v>
      </c>
    </row>
    <row r="59" spans="1:3">
      <c r="A59" s="58">
        <f>Sheet1!A25</f>
        <v>125</v>
      </c>
      <c r="B59" s="59">
        <f>Sheet1!B25</f>
        <v>121.55</v>
      </c>
      <c r="C59" s="60">
        <v>1</v>
      </c>
    </row>
    <row r="60" spans="1:3">
      <c r="A60" s="58">
        <f>Sheet1!A26</f>
        <v>130</v>
      </c>
      <c r="B60" s="59">
        <f>Sheet1!B26</f>
        <v>145</v>
      </c>
      <c r="C60" s="60">
        <v>1</v>
      </c>
    </row>
    <row r="61" spans="1:3">
      <c r="A61" s="58">
        <f>Sheet1!A27</f>
        <v>135</v>
      </c>
      <c r="B61" s="59">
        <f>Sheet1!B27</f>
        <v>145.11000000000001</v>
      </c>
      <c r="C61" s="60">
        <v>1</v>
      </c>
    </row>
    <row r="62" spans="1:3">
      <c r="A62" s="58">
        <f>Sheet1!A28</f>
        <v>140</v>
      </c>
      <c r="B62" s="59">
        <f>Sheet1!B28</f>
        <v>149.03</v>
      </c>
      <c r="C62" s="60">
        <v>1</v>
      </c>
    </row>
    <row r="63" spans="1:3">
      <c r="A63" s="58">
        <f>Sheet1!A29</f>
        <v>145</v>
      </c>
      <c r="B63" s="59">
        <f>Sheet1!B29</f>
        <v>149.13</v>
      </c>
      <c r="C63" s="60">
        <v>1</v>
      </c>
    </row>
    <row r="64" spans="1:3">
      <c r="A64" s="58">
        <f>Sheet1!A30</f>
        <v>150</v>
      </c>
      <c r="B64" s="59">
        <f>Sheet1!B30</f>
        <v>153.06</v>
      </c>
      <c r="C64" s="60">
        <v>1</v>
      </c>
    </row>
    <row r="65" spans="1:3">
      <c r="A65" s="58">
        <f>Sheet1!A31</f>
        <v>155</v>
      </c>
      <c r="B65" s="59">
        <f>Sheet1!B31</f>
        <v>153.12</v>
      </c>
      <c r="C65" s="60">
        <v>1</v>
      </c>
    </row>
    <row r="66" spans="1:3">
      <c r="A66" s="58">
        <f>Sheet1!A32</f>
        <v>160</v>
      </c>
      <c r="B66" s="59">
        <f>Sheet1!B32</f>
        <v>153.17000000000002</v>
      </c>
      <c r="C66" s="60">
        <v>1</v>
      </c>
    </row>
    <row r="67" spans="1:3">
      <c r="A67" s="58">
        <f>Sheet1!A33</f>
        <v>165</v>
      </c>
      <c r="B67" s="59">
        <f>Sheet1!B33</f>
        <v>153.21</v>
      </c>
      <c r="C67" s="60">
        <v>1</v>
      </c>
    </row>
    <row r="68" spans="1:3">
      <c r="A68" s="58">
        <f>Sheet1!A34</f>
        <v>170</v>
      </c>
      <c r="B68" s="59">
        <f>Sheet1!B34</f>
        <v>153.24</v>
      </c>
      <c r="C68" s="60">
        <v>1</v>
      </c>
    </row>
    <row r="69" spans="1:3">
      <c r="A69" s="58">
        <f>Sheet1!A35</f>
        <v>175</v>
      </c>
      <c r="B69" s="59">
        <f>Sheet1!B35</f>
        <v>153.26000000000002</v>
      </c>
      <c r="C69" s="60">
        <v>1</v>
      </c>
    </row>
    <row r="70" spans="1:3">
      <c r="A70" s="58">
        <f>Sheet1!A36</f>
        <v>180</v>
      </c>
      <c r="B70" s="59">
        <f>Sheet1!B36</f>
        <v>157.09</v>
      </c>
      <c r="C70" s="60">
        <v>1</v>
      </c>
    </row>
    <row r="71" spans="1:3">
      <c r="A71" s="58">
        <f>Sheet1!A37</f>
        <v>195</v>
      </c>
      <c r="B71" s="59">
        <f>Sheet1!B37</f>
        <v>157.16</v>
      </c>
      <c r="C71" s="60">
        <v>1</v>
      </c>
    </row>
    <row r="72" spans="1:3">
      <c r="A72" s="58">
        <f>Sheet1!A38</f>
        <v>210</v>
      </c>
      <c r="B72" s="59">
        <f>Sheet1!B38</f>
        <v>157.22</v>
      </c>
      <c r="C72" s="60">
        <v>1</v>
      </c>
    </row>
    <row r="73" spans="1:3">
      <c r="A73" s="58">
        <f>Sheet1!A39</f>
        <v>225</v>
      </c>
      <c r="B73" s="59">
        <f>Sheet1!B39</f>
        <v>157.27000000000001</v>
      </c>
      <c r="C73" s="60">
        <v>1</v>
      </c>
    </row>
    <row r="74" spans="1:3">
      <c r="A74" s="58">
        <f>Sheet1!A40</f>
        <v>240</v>
      </c>
      <c r="B74" s="59">
        <f>Sheet1!B40</f>
        <v>161.12</v>
      </c>
      <c r="C74" s="60">
        <v>1</v>
      </c>
    </row>
    <row r="75" spans="1:3">
      <c r="A75" s="58">
        <f>Sheet1!A41</f>
        <v>241</v>
      </c>
      <c r="B75" s="59">
        <f>Sheet1!B41</f>
        <v>161.30000000000001</v>
      </c>
      <c r="C75" s="60">
        <v>1</v>
      </c>
    </row>
    <row r="76" spans="1:3">
      <c r="A76" s="58">
        <f>Sheet1!A42</f>
        <v>242</v>
      </c>
      <c r="B76" s="59">
        <f>Sheet1!B42</f>
        <v>161.46</v>
      </c>
      <c r="C76" s="60">
        <v>1</v>
      </c>
    </row>
    <row r="77" spans="1:3">
      <c r="A77" s="58">
        <f>Sheet1!A43</f>
        <v>243</v>
      </c>
      <c r="B77" s="59">
        <f>Sheet1!B43</f>
        <v>161.61000000000001</v>
      </c>
      <c r="C77" s="60">
        <v>1</v>
      </c>
    </row>
    <row r="78" spans="1:3">
      <c r="A78" s="58">
        <f>Sheet1!A44</f>
        <v>244</v>
      </c>
      <c r="B78" s="59">
        <f>Sheet1!B44</f>
        <v>161.75</v>
      </c>
      <c r="C78" s="60">
        <v>1</v>
      </c>
    </row>
    <row r="79" spans="1:3">
      <c r="A79" s="58">
        <f>Sheet1!A45</f>
        <v>245</v>
      </c>
      <c r="B79" s="59">
        <f>Sheet1!B45</f>
        <v>161.88</v>
      </c>
      <c r="C79" s="60">
        <v>1</v>
      </c>
    </row>
    <row r="80" spans="1:3">
      <c r="A80" s="58">
        <f>Sheet1!A46</f>
        <v>250</v>
      </c>
      <c r="B80" s="59">
        <f>Sheet1!B46</f>
        <v>188.3</v>
      </c>
      <c r="C80" s="60">
        <v>1</v>
      </c>
    </row>
    <row r="81" spans="1:3">
      <c r="A81" s="58">
        <f>Sheet1!A47</f>
        <v>255</v>
      </c>
      <c r="B81" s="59">
        <f>Sheet1!B47</f>
        <v>188.41000000000003</v>
      </c>
      <c r="C81" s="60">
        <v>1</v>
      </c>
    </row>
    <row r="82" spans="1:3">
      <c r="A82" s="58">
        <f>Sheet1!A48</f>
        <v>260</v>
      </c>
      <c r="B82" s="59">
        <f>Sheet1!B48</f>
        <v>192.83</v>
      </c>
      <c r="C82" s="60">
        <v>1</v>
      </c>
    </row>
    <row r="83" spans="1:3">
      <c r="A83" s="58">
        <f>Sheet1!A49</f>
        <v>265</v>
      </c>
      <c r="B83" s="59">
        <f>Sheet1!B49</f>
        <v>192.94000000000003</v>
      </c>
      <c r="C83" s="60">
        <v>1</v>
      </c>
    </row>
    <row r="84" spans="1:3">
      <c r="A84" s="58">
        <f>Sheet1!A50</f>
        <v>270</v>
      </c>
      <c r="B84" s="59">
        <f>Sheet1!B50</f>
        <v>197.36</v>
      </c>
      <c r="C84" s="60">
        <v>1</v>
      </c>
    </row>
    <row r="85" spans="1:3">
      <c r="A85" s="58">
        <f>Sheet1!A51</f>
        <v>275</v>
      </c>
      <c r="B85" s="59">
        <f>Sheet1!B51</f>
        <v>197.43</v>
      </c>
      <c r="C85" s="60">
        <v>1</v>
      </c>
    </row>
    <row r="86" spans="1:3">
      <c r="A86" s="58">
        <f>Sheet1!A52</f>
        <v>280</v>
      </c>
      <c r="B86" s="59">
        <f>Sheet1!B52</f>
        <v>197.48000000000002</v>
      </c>
      <c r="C86" s="60">
        <v>1</v>
      </c>
    </row>
    <row r="87" spans="1:3">
      <c r="A87" s="58">
        <f>Sheet1!A53</f>
        <v>285</v>
      </c>
      <c r="B87" s="59">
        <f>Sheet1!B53</f>
        <v>197.52</v>
      </c>
      <c r="C87" s="60">
        <v>1</v>
      </c>
    </row>
    <row r="88" spans="1:3">
      <c r="A88" s="58">
        <f>Sheet1!A54</f>
        <v>290</v>
      </c>
      <c r="B88" s="59">
        <f>Sheet1!B54</f>
        <v>197.55</v>
      </c>
      <c r="C88" s="60">
        <v>1</v>
      </c>
    </row>
    <row r="89" spans="1:3">
      <c r="A89" s="58">
        <f>Sheet1!A55</f>
        <v>295</v>
      </c>
      <c r="B89" s="59">
        <f>Sheet1!B55</f>
        <v>197.57000000000002</v>
      </c>
      <c r="C89" s="60">
        <v>1</v>
      </c>
    </row>
    <row r="90" spans="1:3">
      <c r="A90" s="58">
        <f>Sheet1!A56</f>
        <v>300</v>
      </c>
      <c r="B90" s="59">
        <f>Sheet1!B56</f>
        <v>201.89</v>
      </c>
      <c r="C90" s="60">
        <v>1</v>
      </c>
    </row>
    <row r="91" spans="1:3">
      <c r="A91" s="58">
        <f>Sheet1!A57</f>
        <v>315</v>
      </c>
      <c r="B91" s="59">
        <f>Sheet1!B57</f>
        <v>201.97</v>
      </c>
      <c r="C91" s="60">
        <v>1</v>
      </c>
    </row>
    <row r="92" spans="1:3">
      <c r="A92" s="58">
        <f>Sheet1!A58</f>
        <v>330</v>
      </c>
      <c r="B92" s="59">
        <f>Sheet1!B58</f>
        <v>202.03</v>
      </c>
      <c r="C92" s="60">
        <v>1</v>
      </c>
    </row>
    <row r="93" spans="1:3">
      <c r="A93" s="58">
        <f>Sheet1!A59</f>
        <v>345</v>
      </c>
      <c r="B93" s="59">
        <f>Sheet1!B59</f>
        <v>202.08</v>
      </c>
      <c r="C93" s="60">
        <v>1</v>
      </c>
    </row>
    <row r="94" spans="1:3">
      <c r="A94" s="58">
        <f>Sheet1!A60</f>
        <v>360</v>
      </c>
      <c r="B94" s="59">
        <f>Sheet1!B60</f>
        <v>206.43</v>
      </c>
      <c r="C94" s="60">
        <v>1</v>
      </c>
    </row>
    <row r="95" spans="1:3">
      <c r="A95" s="58">
        <f>Sheet1!A61</f>
        <v>361</v>
      </c>
      <c r="B95" s="59">
        <f>Sheet1!B61</f>
        <v>206.62</v>
      </c>
      <c r="C95" s="60">
        <v>1</v>
      </c>
    </row>
    <row r="96" spans="1:3">
      <c r="A96" s="58">
        <f>Sheet1!A62</f>
        <v>362</v>
      </c>
      <c r="B96" s="59">
        <f>Sheet1!B62</f>
        <v>206.79</v>
      </c>
      <c r="C96" s="60">
        <v>1</v>
      </c>
    </row>
    <row r="97" spans="1:3">
      <c r="A97" s="58">
        <f>Sheet1!A63</f>
        <v>363</v>
      </c>
      <c r="B97" s="59">
        <f>Sheet1!B63</f>
        <v>206.95</v>
      </c>
      <c r="C97" s="60">
        <v>1</v>
      </c>
    </row>
    <row r="98" spans="1:3">
      <c r="A98" s="58">
        <f>Sheet1!A64</f>
        <v>364</v>
      </c>
      <c r="B98" s="59">
        <f>Sheet1!B64</f>
        <v>207.1</v>
      </c>
      <c r="C98" s="60">
        <v>1</v>
      </c>
    </row>
    <row r="99" spans="1:3">
      <c r="A99" s="58">
        <f>Sheet1!A65</f>
        <v>365</v>
      </c>
      <c r="B99" s="59">
        <f>Sheet1!B65</f>
        <v>207.23999999999998</v>
      </c>
      <c r="C99" s="60">
        <v>1</v>
      </c>
    </row>
    <row r="100" spans="1:3">
      <c r="A100" s="58">
        <f>Sheet1!A66</f>
        <v>370</v>
      </c>
      <c r="B100" s="59">
        <f>Sheet1!B66</f>
        <v>236.7</v>
      </c>
      <c r="C100" s="60">
        <v>1</v>
      </c>
    </row>
    <row r="101" spans="1:3">
      <c r="A101" s="58">
        <f>Sheet1!A67</f>
        <v>375</v>
      </c>
      <c r="B101" s="59">
        <f>Sheet1!B67</f>
        <v>236.82</v>
      </c>
      <c r="C101" s="60">
        <v>1</v>
      </c>
    </row>
    <row r="102" spans="1:3">
      <c r="A102" s="58">
        <f>Sheet1!A68</f>
        <v>380</v>
      </c>
      <c r="B102" s="59">
        <f>Sheet1!B68</f>
        <v>241.75</v>
      </c>
      <c r="C102" s="60">
        <v>1</v>
      </c>
    </row>
    <row r="103" spans="1:3">
      <c r="A103" s="58">
        <f>Sheet1!A69</f>
        <v>385</v>
      </c>
      <c r="B103" s="59">
        <f>Sheet1!B69</f>
        <v>241.87</v>
      </c>
      <c r="C103" s="60">
        <v>1</v>
      </c>
    </row>
    <row r="104" spans="1:3">
      <c r="A104" s="58">
        <f>Sheet1!A70</f>
        <v>390</v>
      </c>
      <c r="B104" s="59">
        <f>Sheet1!B70</f>
        <v>246.79</v>
      </c>
      <c r="C104" s="60">
        <v>1</v>
      </c>
    </row>
    <row r="105" spans="1:3">
      <c r="A105" s="58">
        <f>Sheet1!A71</f>
        <v>395</v>
      </c>
      <c r="B105" s="59">
        <f>Sheet1!B71</f>
        <v>246.85999999999999</v>
      </c>
      <c r="C105" s="60">
        <v>1</v>
      </c>
    </row>
    <row r="106" spans="1:3">
      <c r="A106" s="58">
        <f>Sheet1!A72</f>
        <v>400</v>
      </c>
      <c r="B106" s="59">
        <f>Sheet1!B72</f>
        <v>246.91</v>
      </c>
      <c r="C106" s="60">
        <v>1</v>
      </c>
    </row>
    <row r="107" spans="1:3">
      <c r="A107" s="58">
        <f>Sheet1!A73</f>
        <v>405</v>
      </c>
      <c r="B107" s="59">
        <f>Sheet1!B73</f>
        <v>246.95</v>
      </c>
      <c r="C107" s="60">
        <v>1</v>
      </c>
    </row>
    <row r="108" spans="1:3">
      <c r="A108" s="58">
        <f>Sheet1!A74</f>
        <v>410</v>
      </c>
      <c r="B108" s="59">
        <f>Sheet1!B74</f>
        <v>246.98</v>
      </c>
      <c r="C108" s="60">
        <v>1</v>
      </c>
    </row>
    <row r="109" spans="1:3">
      <c r="A109" s="58">
        <f>Sheet1!A75</f>
        <v>415</v>
      </c>
      <c r="B109" s="59">
        <f>Sheet1!B75</f>
        <v>247.01</v>
      </c>
      <c r="C109" s="60">
        <v>1</v>
      </c>
    </row>
    <row r="110" spans="1:3">
      <c r="A110" s="58">
        <f>Sheet1!A76</f>
        <v>420</v>
      </c>
      <c r="B110" s="59">
        <f>Sheet1!B76</f>
        <v>251.84</v>
      </c>
      <c r="C110" s="60">
        <v>1</v>
      </c>
    </row>
    <row r="111" spans="1:3">
      <c r="A111" s="58">
        <f>Sheet1!A77</f>
        <v>435</v>
      </c>
      <c r="B111" s="59">
        <f>Sheet1!B77</f>
        <v>251.93</v>
      </c>
      <c r="C111" s="60">
        <v>1</v>
      </c>
    </row>
    <row r="112" spans="1:3">
      <c r="A112" s="58">
        <f>Sheet1!A78</f>
        <v>450</v>
      </c>
      <c r="B112" s="59">
        <f>Sheet1!B78</f>
        <v>252</v>
      </c>
      <c r="C112" s="60">
        <v>1</v>
      </c>
    </row>
    <row r="113" spans="1:3">
      <c r="A113" s="58">
        <f>Sheet1!A79</f>
        <v>465</v>
      </c>
      <c r="B113" s="59">
        <f>Sheet1!B79</f>
        <v>252.05</v>
      </c>
      <c r="C113" s="60">
        <v>1</v>
      </c>
    </row>
    <row r="114" spans="1:3">
      <c r="A114" s="58">
        <f>Sheet1!A80</f>
        <v>480</v>
      </c>
      <c r="B114" s="59">
        <f>Sheet1!B80</f>
        <v>256.89</v>
      </c>
      <c r="C114" s="60">
        <v>1</v>
      </c>
    </row>
    <row r="115" spans="1:3">
      <c r="A115" s="58">
        <f>Sheet1!A81</f>
        <v>481</v>
      </c>
      <c r="B115" s="59">
        <f>Sheet1!B81</f>
        <v>257.09999999999997</v>
      </c>
      <c r="C115" s="60">
        <v>1</v>
      </c>
    </row>
    <row r="116" spans="1:3">
      <c r="A116" s="58">
        <f>Sheet1!A82</f>
        <v>482</v>
      </c>
      <c r="B116" s="59">
        <f>Sheet1!B82</f>
        <v>257.28999999999996</v>
      </c>
      <c r="C116" s="60">
        <v>1</v>
      </c>
    </row>
    <row r="117" spans="1:3">
      <c r="A117" s="58">
        <f>Sheet1!A83</f>
        <v>483</v>
      </c>
      <c r="B117" s="59">
        <f>Sheet1!B83</f>
        <v>257.45999999999998</v>
      </c>
      <c r="C117" s="60">
        <v>1</v>
      </c>
    </row>
    <row r="118" spans="1:3">
      <c r="A118" s="58">
        <f>Sheet1!A84</f>
        <v>484</v>
      </c>
      <c r="B118" s="59">
        <f>Sheet1!B84</f>
        <v>257.62</v>
      </c>
      <c r="C118" s="60">
        <v>1</v>
      </c>
    </row>
    <row r="119" spans="1:3">
      <c r="A119" s="58">
        <f>Sheet1!A85</f>
        <v>485</v>
      </c>
      <c r="B119" s="59">
        <f>Sheet1!B85</f>
        <v>257.76</v>
      </c>
      <c r="C119" s="60">
        <v>1</v>
      </c>
    </row>
    <row r="120" spans="1:3">
      <c r="A120" s="58">
        <f>Sheet1!A86</f>
        <v>490</v>
      </c>
      <c r="B120" s="59">
        <f>Sheet1!B86</f>
        <v>287.70999999999998</v>
      </c>
      <c r="C120" s="60">
        <v>1</v>
      </c>
    </row>
    <row r="121" spans="1:3">
      <c r="A121" s="58">
        <f>Sheet1!A87</f>
        <v>495</v>
      </c>
      <c r="B121" s="59">
        <f>Sheet1!B87</f>
        <v>288.02</v>
      </c>
      <c r="C121" s="60">
        <v>1</v>
      </c>
    </row>
    <row r="122" spans="1:3">
      <c r="A122" s="58">
        <f>Sheet1!A88</f>
        <v>500</v>
      </c>
      <c r="B122" s="59">
        <f>Sheet1!B88</f>
        <v>299.27</v>
      </c>
      <c r="C122" s="60">
        <v>1</v>
      </c>
    </row>
    <row r="123" spans="1:3">
      <c r="A123" s="58">
        <f>Sheet1!A89</f>
        <v>505</v>
      </c>
      <c r="B123" s="59">
        <f>Sheet1!B89</f>
        <v>299.57</v>
      </c>
      <c r="C123" s="60">
        <v>1</v>
      </c>
    </row>
    <row r="124" spans="1:3">
      <c r="A124" s="58">
        <f>Sheet1!A90</f>
        <v>510</v>
      </c>
      <c r="B124" s="59">
        <f>Sheet1!B90</f>
        <v>310.83</v>
      </c>
      <c r="C124" s="60">
        <v>1</v>
      </c>
    </row>
    <row r="125" spans="1:3">
      <c r="A125" s="58">
        <f>Sheet1!A91</f>
        <v>515</v>
      </c>
      <c r="B125" s="59">
        <f>Sheet1!B91</f>
        <v>310.97999999999996</v>
      </c>
      <c r="C125" s="60">
        <v>1</v>
      </c>
    </row>
    <row r="126" spans="1:3">
      <c r="A126" s="58">
        <f>Sheet1!A92</f>
        <v>520</v>
      </c>
      <c r="B126" s="59">
        <f>Sheet1!B92</f>
        <v>311.10999999999996</v>
      </c>
      <c r="C126" s="60">
        <v>1</v>
      </c>
    </row>
    <row r="127" spans="1:3">
      <c r="A127" s="58">
        <f>Sheet1!A93</f>
        <v>525</v>
      </c>
      <c r="B127" s="59">
        <f>Sheet1!B93</f>
        <v>311.21999999999997</v>
      </c>
      <c r="C127" s="60">
        <v>1</v>
      </c>
    </row>
    <row r="128" spans="1:3">
      <c r="A128" s="58">
        <f>Sheet1!A94</f>
        <v>530</v>
      </c>
      <c r="B128" s="59">
        <f>Sheet1!B94</f>
        <v>311.29999999999995</v>
      </c>
      <c r="C128" s="60">
        <v>1</v>
      </c>
    </row>
    <row r="129" spans="1:3">
      <c r="A129" s="58">
        <f>Sheet1!A95</f>
        <v>535</v>
      </c>
      <c r="B129" s="59">
        <f>Sheet1!B95</f>
        <v>311.36999999999995</v>
      </c>
      <c r="C129" s="60">
        <v>1</v>
      </c>
    </row>
    <row r="130" spans="1:3">
      <c r="A130" s="58">
        <f>Sheet1!A96</f>
        <v>540</v>
      </c>
      <c r="B130" s="59">
        <f>Sheet1!B96</f>
        <v>322.39</v>
      </c>
      <c r="C130" s="60">
        <v>1</v>
      </c>
    </row>
    <row r="131" spans="1:3">
      <c r="A131" s="58">
        <f>Sheet1!A97</f>
        <v>555</v>
      </c>
      <c r="B131" s="59">
        <f>Sheet1!B97</f>
        <v>322.58</v>
      </c>
      <c r="C131" s="60">
        <v>1</v>
      </c>
    </row>
    <row r="132" spans="1:3">
      <c r="A132" s="58">
        <f>Sheet1!A98</f>
        <v>570</v>
      </c>
      <c r="B132" s="59">
        <f>Sheet1!B98</f>
        <v>322.74</v>
      </c>
      <c r="C132" s="60">
        <v>1</v>
      </c>
    </row>
    <row r="133" spans="1:3">
      <c r="A133" s="58">
        <f>Sheet1!A99</f>
        <v>585</v>
      </c>
      <c r="B133" s="59">
        <f>Sheet1!B99</f>
        <v>322.88</v>
      </c>
      <c r="C133" s="60">
        <v>1</v>
      </c>
    </row>
    <row r="134" spans="1:3">
      <c r="A134" s="58">
        <f>Sheet1!A100</f>
        <v>600</v>
      </c>
      <c r="B134" s="59">
        <f>Sheet1!B100</f>
        <v>333.95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rgb="FF0070C0"/>
  </sheetPr>
  <dimension ref="A1:C99"/>
  <sheetViews>
    <sheetView zoomScaleNormal="100" workbookViewId="0">
      <selection activeCell="G27" sqref="G2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>
        <f>LongTest!D54</f>
        <v>1500</v>
      </c>
      <c r="B75" s="62">
        <f>LongTest!G54</f>
        <v>26.85</v>
      </c>
      <c r="C75" s="60">
        <v>1</v>
      </c>
    </row>
    <row r="76" spans="1:3">
      <c r="A76" s="58">
        <f>LongTest!D55</f>
        <v>1560</v>
      </c>
      <c r="B76" s="62">
        <f>LongTest!G55</f>
        <v>26.85</v>
      </c>
      <c r="C76" s="60">
        <v>1</v>
      </c>
    </row>
    <row r="77" spans="1:3">
      <c r="A77" s="58">
        <f>LongTest!D56</f>
        <v>1620</v>
      </c>
      <c r="B77" s="62">
        <f>LongTest!G56</f>
        <v>26.85</v>
      </c>
      <c r="C77" s="60">
        <v>1</v>
      </c>
    </row>
    <row r="78" spans="1:3">
      <c r="A78" s="58">
        <f>LongTest!D57</f>
        <v>1680</v>
      </c>
      <c r="B78" s="62">
        <f>LongTest!G57</f>
        <v>26.85</v>
      </c>
      <c r="C78" s="60">
        <v>1</v>
      </c>
    </row>
    <row r="79" spans="1:3">
      <c r="A79" s="58">
        <f>LongTest!D58</f>
        <v>1740</v>
      </c>
      <c r="B79" s="62">
        <f>LongTest!G58</f>
        <v>26.85</v>
      </c>
      <c r="C79" s="60">
        <v>1</v>
      </c>
    </row>
    <row r="80" spans="1:3">
      <c r="A80" s="58">
        <f>LongTest!D59</f>
        <v>1800</v>
      </c>
      <c r="B80" s="62">
        <f>LongTest!G59</f>
        <v>26.85</v>
      </c>
      <c r="C80" s="60">
        <v>1</v>
      </c>
    </row>
    <row r="81" spans="1:3">
      <c r="A81" s="58">
        <f>LongTest!D60</f>
        <v>1860</v>
      </c>
      <c r="B81" s="62">
        <f>LongTest!G60</f>
        <v>26.85</v>
      </c>
      <c r="C81" s="60">
        <v>1</v>
      </c>
    </row>
    <row r="82" spans="1:3">
      <c r="A82" s="58">
        <f>LongTest!D61</f>
        <v>1920</v>
      </c>
      <c r="B82" s="62">
        <f>LongTest!G61</f>
        <v>26.85</v>
      </c>
      <c r="C82" s="60">
        <v>1</v>
      </c>
    </row>
    <row r="83" spans="1:3">
      <c r="A83" s="58">
        <f>LongTest!D62</f>
        <v>1980</v>
      </c>
      <c r="B83" s="62">
        <f>LongTest!G62</f>
        <v>26.85</v>
      </c>
      <c r="C83" s="60">
        <v>1</v>
      </c>
    </row>
    <row r="84" spans="1:3">
      <c r="A84" s="58">
        <f>LongTest!D63</f>
        <v>2040</v>
      </c>
      <c r="B84" s="62">
        <f>LongTest!G63</f>
        <v>26.85</v>
      </c>
      <c r="C84" s="60">
        <v>1</v>
      </c>
    </row>
    <row r="85" spans="1:3">
      <c r="A85" s="58">
        <f>LongTest!D64</f>
        <v>2100</v>
      </c>
      <c r="B85" s="62">
        <f>LongTest!G64</f>
        <v>26.85</v>
      </c>
      <c r="C85" s="60">
        <v>1</v>
      </c>
    </row>
    <row r="86" spans="1:3">
      <c r="A86" s="58">
        <f>LongTest!D65</f>
        <v>2160</v>
      </c>
      <c r="B86" s="62">
        <f>LongTest!G65</f>
        <v>26.85</v>
      </c>
      <c r="C86" s="60">
        <v>1</v>
      </c>
    </row>
    <row r="87" spans="1:3">
      <c r="A87" s="58">
        <f>LongTest!D66</f>
        <v>2220</v>
      </c>
      <c r="B87" s="62">
        <f>LongTest!G66</f>
        <v>26.85</v>
      </c>
      <c r="C87" s="60">
        <v>1</v>
      </c>
    </row>
    <row r="88" spans="1:3">
      <c r="A88" s="58">
        <f>LongTest!D67</f>
        <v>2280</v>
      </c>
      <c r="B88" s="62">
        <f>LongTest!G67</f>
        <v>26.85</v>
      </c>
      <c r="C88" s="60">
        <v>1</v>
      </c>
    </row>
    <row r="89" spans="1:3">
      <c r="A89" s="58">
        <f>LongTest!D68</f>
        <v>2340</v>
      </c>
      <c r="B89" s="62">
        <f>LongTest!G68</f>
        <v>26.85</v>
      </c>
      <c r="C89" s="60">
        <v>1</v>
      </c>
    </row>
    <row r="90" spans="1:3">
      <c r="A90" s="58">
        <f>LongTest!D69</f>
        <v>2400</v>
      </c>
      <c r="B90" s="62">
        <f>LongTest!G69</f>
        <v>26.85</v>
      </c>
      <c r="C90" s="60">
        <v>1</v>
      </c>
    </row>
    <row r="91" spans="1:3">
      <c r="A91" s="58">
        <f>LongTest!D70</f>
        <v>2460</v>
      </c>
      <c r="B91" s="62">
        <f>LongTest!G70</f>
        <v>26.85</v>
      </c>
      <c r="C91" s="60">
        <v>1</v>
      </c>
    </row>
    <row r="92" spans="1:3">
      <c r="A92" s="58">
        <f>LongTest!D71</f>
        <v>2520</v>
      </c>
      <c r="B92" s="62">
        <f>LongTest!G71</f>
        <v>26.85</v>
      </c>
      <c r="C92" s="60">
        <v>1</v>
      </c>
    </row>
    <row r="93" spans="1:3">
      <c r="A93" s="58">
        <f>LongTest!D72</f>
        <v>2580</v>
      </c>
      <c r="B93" s="62">
        <f>LongTest!G72</f>
        <v>26.85</v>
      </c>
      <c r="C93" s="60">
        <v>1</v>
      </c>
    </row>
    <row r="94" spans="1:3">
      <c r="A94" s="58">
        <f>LongTest!D73</f>
        <v>2640</v>
      </c>
      <c r="B94" s="62">
        <f>LongTest!G73</f>
        <v>26.85</v>
      </c>
      <c r="C94" s="60">
        <v>1</v>
      </c>
    </row>
    <row r="95" spans="1:3">
      <c r="A95" s="58">
        <f>LongTest!D74</f>
        <v>2700</v>
      </c>
      <c r="B95" s="62">
        <f>LongTest!G74</f>
        <v>26.85</v>
      </c>
      <c r="C95" s="60">
        <v>1</v>
      </c>
    </row>
    <row r="96" spans="1:3">
      <c r="A96" s="58">
        <f>LongTest!D75</f>
        <v>2760</v>
      </c>
      <c r="B96" s="62">
        <f>LongTest!G75</f>
        <v>26.85</v>
      </c>
      <c r="C96" s="60">
        <v>1</v>
      </c>
    </row>
    <row r="97" spans="1:3">
      <c r="A97" s="58">
        <f>LongTest!D76</f>
        <v>2820</v>
      </c>
      <c r="B97" s="62">
        <f>LongTest!G76</f>
        <v>26.85</v>
      </c>
      <c r="C97" s="60">
        <v>1</v>
      </c>
    </row>
    <row r="98" spans="1:3">
      <c r="A98" s="58">
        <f>LongTest!D77</f>
        <v>2880</v>
      </c>
      <c r="B98" s="62">
        <f>LongTest!G77</f>
        <v>26.85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rgb="FF0070C0"/>
  </sheetPr>
  <dimension ref="A1:N57"/>
  <sheetViews>
    <sheetView topLeftCell="A16" zoomScaleNormal="100" workbookViewId="0">
      <selection activeCell="J42" sqref="J42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5"/>
      <c r="M6" s="615"/>
      <c r="N6" s="615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2.3180000000000001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26.85</v>
      </c>
      <c r="C32" s="60">
        <v>1</v>
      </c>
    </row>
    <row r="33" spans="1:3">
      <c r="A33" s="58">
        <f>$A$32+LongTest!D78</f>
        <v>2881</v>
      </c>
      <c r="B33" s="59">
        <f>LongTest!G78</f>
        <v>16.939168550951234</v>
      </c>
      <c r="C33" s="60">
        <v>1</v>
      </c>
    </row>
    <row r="34" spans="1:3">
      <c r="A34" s="58">
        <f>$A$32+LongTest!D79</f>
        <v>2882</v>
      </c>
      <c r="B34" s="59">
        <f>LongTest!G79</f>
        <v>15.347009456817981</v>
      </c>
      <c r="C34" s="60">
        <v>1</v>
      </c>
    </row>
    <row r="35" spans="1:3">
      <c r="A35" s="58">
        <f>$A$32+LongTest!D80</f>
        <v>2883</v>
      </c>
      <c r="B35" s="59">
        <f>LongTest!G80</f>
        <v>13.904501779955083</v>
      </c>
      <c r="C35" s="60">
        <v>1</v>
      </c>
    </row>
    <row r="36" spans="1:3">
      <c r="A36" s="58">
        <f>$A$32+LongTest!D81</f>
        <v>2884</v>
      </c>
      <c r="B36" s="59">
        <f>LongTest!G81</f>
        <v>12.597579371587861</v>
      </c>
      <c r="C36" s="60">
        <v>1</v>
      </c>
    </row>
    <row r="37" spans="1:3">
      <c r="A37" s="58">
        <f>$A$32+LongTest!D82</f>
        <v>2885</v>
      </c>
      <c r="B37" s="59">
        <f>LongTest!G82</f>
        <v>11.413498198996141</v>
      </c>
      <c r="C37" s="60">
        <v>1</v>
      </c>
    </row>
    <row r="38" spans="1:3">
      <c r="A38" s="58">
        <f>$A$32+LongTest!D83</f>
        <v>2890</v>
      </c>
      <c r="B38" s="59">
        <f>LongTest!G83</f>
        <v>8.4881645186330434</v>
      </c>
      <c r="C38" s="60">
        <v>1</v>
      </c>
    </row>
    <row r="39" spans="1:3">
      <c r="A39" s="58">
        <f>$A$32+LongTest!D84</f>
        <v>2895</v>
      </c>
      <c r="B39" s="59">
        <f>LongTest!G84</f>
        <v>7.9475798997881943</v>
      </c>
      <c r="C39" s="60">
        <v>1</v>
      </c>
    </row>
    <row r="40" spans="1:3">
      <c r="A40" s="58">
        <f>$A$32+LongTest!D85</f>
        <v>2900</v>
      </c>
      <c r="B40" s="59">
        <f>LongTest!G85</f>
        <v>6.5237640519690405</v>
      </c>
      <c r="C40" s="60">
        <v>1</v>
      </c>
    </row>
    <row r="41" spans="1:3">
      <c r="A41" s="58">
        <f>$A$32+LongTest!D86</f>
        <v>2905</v>
      </c>
      <c r="B41" s="59">
        <f>LongTest!G86</f>
        <v>5.9105775055290843</v>
      </c>
      <c r="C41" s="60">
        <v>1</v>
      </c>
    </row>
    <row r="42" spans="1:3">
      <c r="A42" s="58">
        <f>$A$32+LongTest!D87</f>
        <v>2910</v>
      </c>
      <c r="B42" s="59">
        <f>LongTest!G87</f>
        <v>5.355026050999216</v>
      </c>
      <c r="C42" s="60">
        <v>1</v>
      </c>
    </row>
    <row r="43" spans="1:3">
      <c r="A43" s="58">
        <f>$A$32+LongTest!D88</f>
        <v>2915</v>
      </c>
      <c r="B43" s="59">
        <f>LongTest!G88</f>
        <v>5.1816985632126462</v>
      </c>
      <c r="C43" s="60">
        <v>1</v>
      </c>
    </row>
    <row r="44" spans="1:3">
      <c r="A44" s="58">
        <f>$A$32+LongTest!D89</f>
        <v>2920</v>
      </c>
      <c r="B44" s="59">
        <f>LongTest!G89</f>
        <v>5.0139812102295833</v>
      </c>
      <c r="C44" s="60">
        <v>1</v>
      </c>
    </row>
    <row r="45" spans="1:3">
      <c r="A45" s="58">
        <f>$A$32+LongTest!D90</f>
        <v>2925</v>
      </c>
      <c r="B45" s="59">
        <f>LongTest!G90</f>
        <v>4.8516924073924814</v>
      </c>
      <c r="C45" s="60">
        <v>1</v>
      </c>
    </row>
    <row r="46" spans="1:3">
      <c r="A46" s="58">
        <f>$A$32+LongTest!D91</f>
        <v>2930</v>
      </c>
      <c r="B46" s="59">
        <f>LongTest!G91</f>
        <v>4.6946564474405026</v>
      </c>
      <c r="C46" s="60">
        <v>1</v>
      </c>
    </row>
    <row r="47" spans="1:3">
      <c r="A47" s="58">
        <f>$A$32+LongTest!D92</f>
        <v>2935</v>
      </c>
      <c r="B47" s="59">
        <f>LongTest!G92</f>
        <v>4.5427033102743355</v>
      </c>
      <c r="C47" s="60">
        <v>1</v>
      </c>
    </row>
    <row r="48" spans="1:3">
      <c r="A48" s="58">
        <f>$A$32+LongTest!D93</f>
        <v>2940</v>
      </c>
      <c r="B48" s="59">
        <f>LongTest!G93</f>
        <v>4.3956684788783873</v>
      </c>
      <c r="C48" s="60">
        <v>1</v>
      </c>
    </row>
    <row r="49" spans="1:3">
      <c r="A49" s="58">
        <f>$A$32+LongTest!D94</f>
        <v>2955</v>
      </c>
      <c r="B49" s="59">
        <f>LongTest!G94</f>
        <v>4.2533927612010771</v>
      </c>
      <c r="C49" s="60">
        <v>1</v>
      </c>
    </row>
    <row r="50" spans="1:3">
      <c r="A50" s="58">
        <f>$A$32+LongTest!D95</f>
        <v>2970</v>
      </c>
      <c r="B50" s="59">
        <f>LongTest!G95</f>
        <v>4.1157221178003791</v>
      </c>
      <c r="C50" s="60">
        <v>1</v>
      </c>
    </row>
    <row r="51" spans="1:3">
      <c r="A51" s="58">
        <f>$A$32+LongTest!D96</f>
        <v>2985</v>
      </c>
      <c r="B51" s="59">
        <f>LongTest!G96</f>
        <v>3.982507495067992</v>
      </c>
      <c r="C51" s="60">
        <v>1</v>
      </c>
    </row>
    <row r="52" spans="1:3">
      <c r="A52" s="58">
        <f>$A$32+LongTest!D97</f>
        <v>3000</v>
      </c>
      <c r="B52" s="59">
        <f>LongTest!G97</f>
        <v>3.6081806497654068</v>
      </c>
      <c r="C52" s="60">
        <v>1</v>
      </c>
    </row>
    <row r="53" spans="1:3">
      <c r="A53" s="58">
        <f>$A$32+LongTest!D98</f>
        <v>3060</v>
      </c>
      <c r="B53" s="59">
        <f>LongTest!G98</f>
        <v>3.4913937505892099</v>
      </c>
      <c r="C53" s="60">
        <v>1</v>
      </c>
    </row>
    <row r="54" spans="1:3">
      <c r="A54" s="58">
        <f>$A$32+LongTest!D99</f>
        <v>3120</v>
      </c>
      <c r="B54" s="59">
        <f>LongTest!G99</f>
        <v>2.8659075251285322</v>
      </c>
      <c r="C54" s="60">
        <v>1</v>
      </c>
    </row>
    <row r="55" spans="1:3">
      <c r="A55" s="58">
        <f>$A$32+LongTest!D100</f>
        <v>3180</v>
      </c>
      <c r="B55" s="59">
        <f>LongTest!G100</f>
        <v>2.3524777006896587</v>
      </c>
      <c r="C55" s="60">
        <v>1</v>
      </c>
    </row>
    <row r="56" spans="1:3">
      <c r="A56" s="58">
        <f>$A$32+LongTest!D101</f>
        <v>3240</v>
      </c>
      <c r="B56" s="59">
        <f>LongTest!G101</f>
        <v>1.9310292756197371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40" zoomScaleNormal="100" zoomScaleSheetLayoutView="100" workbookViewId="0">
      <selection activeCell="M49" sqref="M4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22" t="s">
        <v>313</v>
      </c>
      <c r="B1" s="622"/>
      <c r="C1" s="622"/>
      <c r="D1" s="622"/>
      <c r="E1" s="622"/>
      <c r="F1" s="622"/>
      <c r="G1" s="622"/>
      <c r="H1" s="622"/>
      <c r="I1" s="622"/>
      <c r="J1" s="622"/>
    </row>
    <row r="2" spans="1:10" ht="24.95" customHeight="1">
      <c r="A2" s="623" t="s">
        <v>292</v>
      </c>
      <c r="B2" s="624"/>
      <c r="C2" s="625" t="str">
        <f>LongTest!C2</f>
        <v>예산군 마전 등 5지구 농업용관정 지하수영향조사 용역</v>
      </c>
      <c r="D2" s="626"/>
      <c r="E2" s="626"/>
      <c r="F2" s="626"/>
      <c r="G2" s="626"/>
      <c r="H2" s="626"/>
      <c r="I2" s="626"/>
      <c r="J2" s="627"/>
    </row>
    <row r="3" spans="1:10" ht="24.95" customHeight="1">
      <c r="A3" s="628" t="s">
        <v>293</v>
      </c>
      <c r="B3" s="629"/>
      <c r="C3" s="633" t="str">
        <f>LongTest!C4</f>
        <v>충청남도 예산군 대술면 마전리 820번지</v>
      </c>
      <c r="D3" s="634"/>
      <c r="E3" s="634"/>
      <c r="F3" s="634"/>
      <c r="G3" s="634"/>
      <c r="H3" s="635"/>
      <c r="I3" s="209" t="str">
        <f>Input!I54</f>
        <v>W-1</v>
      </c>
      <c r="J3" s="210" t="s">
        <v>319</v>
      </c>
    </row>
    <row r="4" spans="1:10" ht="24.95" customHeight="1">
      <c r="A4" s="628" t="s">
        <v>294</v>
      </c>
      <c r="B4" s="629"/>
      <c r="C4" s="630">
        <f>LongTest!C10</f>
        <v>45726.430555555555</v>
      </c>
      <c r="D4" s="631"/>
      <c r="E4" s="631"/>
      <c r="F4" s="631"/>
      <c r="G4" s="631"/>
      <c r="H4" s="631"/>
      <c r="I4" s="631"/>
      <c r="J4" s="632"/>
    </row>
    <row r="5" spans="1:10" ht="24.95" customHeight="1">
      <c r="A5" s="628" t="s">
        <v>295</v>
      </c>
      <c r="B5" s="629"/>
      <c r="C5" s="630">
        <f>C79</f>
        <v>45728.430555555555</v>
      </c>
      <c r="D5" s="631"/>
      <c r="E5" s="631"/>
      <c r="F5" s="631"/>
      <c r="G5" s="631"/>
      <c r="H5" s="631"/>
      <c r="I5" s="631"/>
      <c r="J5" s="632"/>
    </row>
    <row r="6" spans="1:10" ht="24.95" customHeight="1">
      <c r="A6" s="628" t="s">
        <v>291</v>
      </c>
      <c r="B6" s="629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8" t="s">
        <v>296</v>
      </c>
      <c r="B7" s="629"/>
      <c r="C7" s="636" t="s">
        <v>323</v>
      </c>
      <c r="D7" s="629"/>
      <c r="E7" s="211">
        <f>LongTest!C6</f>
        <v>7.5</v>
      </c>
      <c r="F7" s="211" t="s">
        <v>297</v>
      </c>
      <c r="G7" s="211" t="s">
        <v>325</v>
      </c>
      <c r="H7" s="636">
        <f>Input!I50</f>
        <v>48</v>
      </c>
      <c r="I7" s="629"/>
      <c r="J7" s="212" t="s">
        <v>298</v>
      </c>
    </row>
    <row r="8" spans="1:10" ht="24.95" customHeight="1">
      <c r="A8" s="628" t="s">
        <v>299</v>
      </c>
      <c r="B8" s="629"/>
      <c r="C8" s="636" t="s">
        <v>324</v>
      </c>
      <c r="D8" s="629"/>
      <c r="E8" s="211">
        <f>LongTest!D7</f>
        <v>250</v>
      </c>
      <c r="F8" s="211" t="s">
        <v>300</v>
      </c>
      <c r="G8" s="211" t="s">
        <v>301</v>
      </c>
      <c r="H8" s="636">
        <f>LongTest!G7</f>
        <v>158</v>
      </c>
      <c r="I8" s="629"/>
      <c r="J8" s="212" t="s">
        <v>298</v>
      </c>
    </row>
    <row r="9" spans="1:10" ht="24.95" customHeight="1">
      <c r="A9" s="628" t="s">
        <v>302</v>
      </c>
      <c r="B9" s="629"/>
      <c r="C9" s="636" t="s">
        <v>322</v>
      </c>
      <c r="D9" s="629"/>
      <c r="E9" s="211">
        <f>LongTest!D8</f>
        <v>11.35</v>
      </c>
      <c r="F9" s="211" t="s">
        <v>298</v>
      </c>
      <c r="G9" s="211" t="s">
        <v>303</v>
      </c>
      <c r="H9" s="636">
        <f>LongTest!G8</f>
        <v>38.200000000000003</v>
      </c>
      <c r="I9" s="629"/>
      <c r="J9" s="212" t="s">
        <v>298</v>
      </c>
    </row>
    <row r="10" spans="1:10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0">
        <v>1</v>
      </c>
      <c r="E12" s="640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0">
        <v>2</v>
      </c>
      <c r="E13" s="640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0">
        <v>3</v>
      </c>
      <c r="E14" s="640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0">
        <v>4</v>
      </c>
      <c r="E15" s="640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0">
        <v>5</v>
      </c>
      <c r="E16" s="640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0">
        <v>10</v>
      </c>
      <c r="E17" s="640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0">
        <v>15</v>
      </c>
      <c r="E18" s="640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0">
        <v>20</v>
      </c>
      <c r="E19" s="640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0">
        <v>25</v>
      </c>
      <c r="E20" s="640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0">
        <v>30</v>
      </c>
      <c r="E21" s="640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0">
        <v>35</v>
      </c>
      <c r="E22" s="640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0">
        <v>40</v>
      </c>
      <c r="E23" s="640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0">
        <v>45</v>
      </c>
      <c r="E24" s="640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0">
        <v>50</v>
      </c>
      <c r="E25" s="640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0">
        <v>55</v>
      </c>
      <c r="E26" s="640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0">
        <v>60</v>
      </c>
      <c r="E27" s="640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0">
        <v>75</v>
      </c>
      <c r="E28" s="640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0">
        <v>90</v>
      </c>
      <c r="E29" s="640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0">
        <v>105</v>
      </c>
      <c r="E30" s="640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0">
        <v>120</v>
      </c>
      <c r="E31" s="640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0">
        <v>140</v>
      </c>
      <c r="E32" s="640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0">
        <v>160</v>
      </c>
      <c r="E33" s="640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0">
        <v>180</v>
      </c>
      <c r="E34" s="640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0">
        <v>240</v>
      </c>
      <c r="E35" s="640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0">
        <v>300</v>
      </c>
      <c r="E36" s="640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0">
        <v>360</v>
      </c>
      <c r="E37" s="640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0">
        <v>420</v>
      </c>
      <c r="E38" s="640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0">
        <v>480</v>
      </c>
      <c r="E39" s="640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0">
        <v>540</v>
      </c>
      <c r="E40" s="640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0">
        <v>600</v>
      </c>
      <c r="E41" s="640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0">
        <v>660</v>
      </c>
      <c r="E42" s="640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0">
        <v>720</v>
      </c>
      <c r="E43" s="640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0">
        <v>780</v>
      </c>
      <c r="E44" s="640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0">
        <v>840</v>
      </c>
      <c r="E45" s="640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0">
        <v>900</v>
      </c>
      <c r="E46" s="640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0">
        <v>960</v>
      </c>
      <c r="E47" s="640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0">
        <v>1020</v>
      </c>
      <c r="E48" s="640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0">
        <v>1080</v>
      </c>
      <c r="E49" s="640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0">
        <v>1140</v>
      </c>
      <c r="E50" s="640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0">
        <v>1200</v>
      </c>
      <c r="E51" s="640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0">
        <v>1260</v>
      </c>
      <c r="E52" s="640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0">
        <v>1320</v>
      </c>
      <c r="E53" s="640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0">
        <v>1380</v>
      </c>
      <c r="E54" s="640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0">
        <v>1440</v>
      </c>
      <c r="E55" s="640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6">
        <v>1500</v>
      </c>
      <c r="E56" s="643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6">
        <v>1560</v>
      </c>
      <c r="E57" s="643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6">
        <v>1620</v>
      </c>
      <c r="E58" s="643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6">
        <v>1680</v>
      </c>
      <c r="E59" s="643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6">
        <v>1740</v>
      </c>
      <c r="E60" s="643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6">
        <v>1800</v>
      </c>
      <c r="E61" s="643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6">
        <v>1860</v>
      </c>
      <c r="E62" s="643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6">
        <v>1920</v>
      </c>
      <c r="E63" s="643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6">
        <v>1980</v>
      </c>
      <c r="E64" s="643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6">
        <v>2040</v>
      </c>
      <c r="E65" s="643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6">
        <v>2100</v>
      </c>
      <c r="E66" s="643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6">
        <v>2160</v>
      </c>
      <c r="E67" s="643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6">
        <v>2220</v>
      </c>
      <c r="E68" s="643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6">
        <v>2280</v>
      </c>
      <c r="E69" s="643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6">
        <v>2340</v>
      </c>
      <c r="E70" s="643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6">
        <v>2400</v>
      </c>
      <c r="E71" s="643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6">
        <v>2460</v>
      </c>
      <c r="E72" s="643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6">
        <v>2520</v>
      </c>
      <c r="E73" s="643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6">
        <v>2580</v>
      </c>
      <c r="E74" s="643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6">
        <v>2640</v>
      </c>
      <c r="E75" s="643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6">
        <v>2700</v>
      </c>
      <c r="E76" s="643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6">
        <v>2760</v>
      </c>
      <c r="E77" s="643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6">
        <v>2820</v>
      </c>
      <c r="E78" s="643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16">
        <v>2880</v>
      </c>
      <c r="E79" s="643"/>
      <c r="F79" s="216">
        <f>LongTest!F77</f>
        <v>38.200000000000003</v>
      </c>
      <c r="G79" s="211">
        <f>LongTest!G77</f>
        <v>26.85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16">
        <v>1</v>
      </c>
      <c r="E80" s="643"/>
      <c r="F80" s="216">
        <f>LongTest!F78</f>
        <v>28.289168550951231</v>
      </c>
      <c r="G80" s="216">
        <f>LongTest!G78</f>
        <v>16.939168550951234</v>
      </c>
      <c r="H80" s="636" t="s">
        <v>191</v>
      </c>
      <c r="I80" s="645"/>
      <c r="J80" s="646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16">
        <v>2</v>
      </c>
      <c r="E81" s="643"/>
      <c r="F81" s="216">
        <f>LongTest!F79</f>
        <v>26.69700945681798</v>
      </c>
      <c r="G81" s="216">
        <f>LongTest!G79</f>
        <v>15.347009456817981</v>
      </c>
      <c r="H81" s="616"/>
      <c r="I81" s="617"/>
      <c r="J81" s="618"/>
    </row>
    <row r="82" spans="1:10" ht="24.95" customHeight="1">
      <c r="A82" s="238"/>
      <c r="B82" s="215"/>
      <c r="C82" s="215">
        <f t="shared" si="6"/>
        <v>45728.432638888888</v>
      </c>
      <c r="D82" s="616">
        <v>3</v>
      </c>
      <c r="E82" s="643"/>
      <c r="F82" s="216">
        <f>LongTest!F80</f>
        <v>25.254501779955085</v>
      </c>
      <c r="G82" s="216">
        <f>LongTest!G80</f>
        <v>13.904501779955083</v>
      </c>
      <c r="H82" s="616"/>
      <c r="I82" s="617"/>
      <c r="J82" s="618"/>
    </row>
    <row r="83" spans="1:10" ht="24.95" customHeight="1">
      <c r="A83" s="238"/>
      <c r="B83" s="215"/>
      <c r="C83" s="215">
        <f t="shared" si="6"/>
        <v>45728.433333333334</v>
      </c>
      <c r="D83" s="616">
        <v>4</v>
      </c>
      <c r="E83" s="643"/>
      <c r="F83" s="216">
        <f>LongTest!F81</f>
        <v>23.94757937158786</v>
      </c>
      <c r="G83" s="216">
        <f>LongTest!G81</f>
        <v>12.597579371587861</v>
      </c>
      <c r="H83" s="616"/>
      <c r="I83" s="617"/>
      <c r="J83" s="618"/>
    </row>
    <row r="84" spans="1:10" ht="24.95" customHeight="1">
      <c r="A84" s="238"/>
      <c r="B84" s="215"/>
      <c r="C84" s="215">
        <f t="shared" si="6"/>
        <v>45728.434027777774</v>
      </c>
      <c r="D84" s="616">
        <v>5</v>
      </c>
      <c r="E84" s="643"/>
      <c r="F84" s="216">
        <f>LongTest!F82</f>
        <v>22.763498198996139</v>
      </c>
      <c r="G84" s="216">
        <f>LongTest!G82</f>
        <v>11.413498198996141</v>
      </c>
      <c r="H84" s="616"/>
      <c r="I84" s="617"/>
      <c r="J84" s="618"/>
    </row>
    <row r="85" spans="1:10" ht="24.95" customHeight="1">
      <c r="A85" s="238"/>
      <c r="B85" s="215"/>
      <c r="C85" s="215">
        <f t="shared" si="6"/>
        <v>45728.4375</v>
      </c>
      <c r="D85" s="616">
        <v>10</v>
      </c>
      <c r="E85" s="643"/>
      <c r="F85" s="216">
        <f>LongTest!F83</f>
        <v>19.838164518633043</v>
      </c>
      <c r="G85" s="216">
        <f>LongTest!G83</f>
        <v>8.4881645186330434</v>
      </c>
      <c r="H85" s="616"/>
      <c r="I85" s="617"/>
      <c r="J85" s="618"/>
    </row>
    <row r="86" spans="1:10" ht="24.95" customHeight="1">
      <c r="A86" s="238"/>
      <c r="B86" s="215"/>
      <c r="C86" s="215">
        <f t="shared" si="6"/>
        <v>45728.440972222219</v>
      </c>
      <c r="D86" s="616">
        <v>15</v>
      </c>
      <c r="E86" s="643"/>
      <c r="F86" s="216">
        <f>LongTest!F84</f>
        <v>19.297579899788193</v>
      </c>
      <c r="G86" s="216">
        <f>LongTest!G84</f>
        <v>7.9475798997881943</v>
      </c>
      <c r="H86" s="616"/>
      <c r="I86" s="617"/>
      <c r="J86" s="618"/>
    </row>
    <row r="87" spans="1:10" ht="24.95" customHeight="1">
      <c r="A87" s="238"/>
      <c r="B87" s="215"/>
      <c r="C87" s="215">
        <f t="shared" si="6"/>
        <v>45728.444444444445</v>
      </c>
      <c r="D87" s="616">
        <v>20</v>
      </c>
      <c r="E87" s="643"/>
      <c r="F87" s="216">
        <f>LongTest!F85</f>
        <v>17.87376405196904</v>
      </c>
      <c r="G87" s="216">
        <f>LongTest!G85</f>
        <v>6.5237640519690405</v>
      </c>
      <c r="H87" s="616"/>
      <c r="I87" s="617"/>
      <c r="J87" s="618"/>
    </row>
    <row r="88" spans="1:10" ht="24.95" customHeight="1">
      <c r="A88" s="238"/>
      <c r="B88" s="215"/>
      <c r="C88" s="215">
        <f t="shared" si="6"/>
        <v>45728.447916666664</v>
      </c>
      <c r="D88" s="616">
        <v>25</v>
      </c>
      <c r="E88" s="643"/>
      <c r="F88" s="216">
        <f>LongTest!F86</f>
        <v>17.260577505529085</v>
      </c>
      <c r="G88" s="216">
        <f>LongTest!G86</f>
        <v>5.9105775055290843</v>
      </c>
      <c r="H88" s="616"/>
      <c r="I88" s="617"/>
      <c r="J88" s="618"/>
    </row>
    <row r="89" spans="1:10" ht="24.95" customHeight="1">
      <c r="A89" s="238"/>
      <c r="B89" s="215"/>
      <c r="C89" s="215">
        <f t="shared" si="6"/>
        <v>45728.451388888891</v>
      </c>
      <c r="D89" s="616">
        <v>30</v>
      </c>
      <c r="E89" s="643"/>
      <c r="F89" s="216">
        <f>LongTest!F87</f>
        <v>16.705026050999216</v>
      </c>
      <c r="G89" s="216">
        <f>LongTest!G87</f>
        <v>5.355026050999216</v>
      </c>
      <c r="H89" s="616"/>
      <c r="I89" s="617"/>
      <c r="J89" s="618"/>
    </row>
    <row r="90" spans="1:10" ht="24.95" customHeight="1">
      <c r="A90" s="238"/>
      <c r="B90" s="215"/>
      <c r="C90" s="215">
        <f t="shared" si="6"/>
        <v>45728.454861111109</v>
      </c>
      <c r="D90" s="616">
        <v>35</v>
      </c>
      <c r="E90" s="643"/>
      <c r="F90" s="216">
        <f>LongTest!F88</f>
        <v>16.531698563212647</v>
      </c>
      <c r="G90" s="216">
        <f>LongTest!G88</f>
        <v>5.1816985632126462</v>
      </c>
      <c r="H90" s="616"/>
      <c r="I90" s="617"/>
      <c r="J90" s="618"/>
    </row>
    <row r="91" spans="1:10" ht="24.95" customHeight="1">
      <c r="A91" s="238"/>
      <c r="B91" s="215"/>
      <c r="C91" s="215">
        <f t="shared" si="6"/>
        <v>45728.458333333336</v>
      </c>
      <c r="D91" s="616">
        <v>40</v>
      </c>
      <c r="E91" s="643"/>
      <c r="F91" s="216">
        <f>LongTest!F89</f>
        <v>16.363981210229582</v>
      </c>
      <c r="G91" s="216">
        <f>LongTest!G89</f>
        <v>5.0139812102295833</v>
      </c>
      <c r="H91" s="616"/>
      <c r="I91" s="617"/>
      <c r="J91" s="618"/>
    </row>
    <row r="92" spans="1:10" ht="24.95" customHeight="1">
      <c r="A92" s="238"/>
      <c r="B92" s="215"/>
      <c r="C92" s="215">
        <f t="shared" si="6"/>
        <v>45728.461805555555</v>
      </c>
      <c r="D92" s="616">
        <v>45</v>
      </c>
      <c r="E92" s="643"/>
      <c r="F92" s="216">
        <f>LongTest!F90</f>
        <v>16.201692407392482</v>
      </c>
      <c r="G92" s="216">
        <f>LongTest!G90</f>
        <v>4.8516924073924814</v>
      </c>
      <c r="H92" s="616"/>
      <c r="I92" s="617"/>
      <c r="J92" s="618"/>
    </row>
    <row r="93" spans="1:10" ht="24.95" customHeight="1">
      <c r="A93" s="238"/>
      <c r="B93" s="215"/>
      <c r="C93" s="215">
        <f t="shared" si="6"/>
        <v>45728.465277777774</v>
      </c>
      <c r="D93" s="616">
        <v>50</v>
      </c>
      <c r="E93" s="643"/>
      <c r="F93" s="216">
        <f>LongTest!F91</f>
        <v>16.044656447440502</v>
      </c>
      <c r="G93" s="216">
        <f>LongTest!G91</f>
        <v>4.6946564474405026</v>
      </c>
      <c r="H93" s="616"/>
      <c r="I93" s="617"/>
      <c r="J93" s="618"/>
    </row>
    <row r="94" spans="1:10" ht="24.95" customHeight="1">
      <c r="A94" s="238"/>
      <c r="B94" s="215"/>
      <c r="C94" s="215">
        <f t="shared" si="6"/>
        <v>45728.46875</v>
      </c>
      <c r="D94" s="616">
        <v>55</v>
      </c>
      <c r="E94" s="643"/>
      <c r="F94" s="216">
        <f>LongTest!F92</f>
        <v>15.892703310274335</v>
      </c>
      <c r="G94" s="216">
        <f>LongTest!G92</f>
        <v>4.5427033102743355</v>
      </c>
      <c r="H94" s="616"/>
      <c r="I94" s="617"/>
      <c r="J94" s="618"/>
    </row>
    <row r="95" spans="1:10" ht="24.95" customHeight="1">
      <c r="A95" s="238"/>
      <c r="B95" s="215"/>
      <c r="C95" s="215">
        <f t="shared" si="6"/>
        <v>45728.472222222219</v>
      </c>
      <c r="D95" s="616">
        <v>60</v>
      </c>
      <c r="E95" s="643"/>
      <c r="F95" s="216">
        <f>LongTest!F93</f>
        <v>15.745668478878386</v>
      </c>
      <c r="G95" s="216">
        <f>LongTest!G93</f>
        <v>4.3956684788783873</v>
      </c>
      <c r="H95" s="616"/>
      <c r="I95" s="617"/>
      <c r="J95" s="618"/>
    </row>
    <row r="96" spans="1:10" ht="24.95" customHeight="1">
      <c r="A96" s="238"/>
      <c r="B96" s="215"/>
      <c r="C96" s="215">
        <f t="shared" si="6"/>
        <v>45728.482638888891</v>
      </c>
      <c r="D96" s="616">
        <v>75</v>
      </c>
      <c r="E96" s="643"/>
      <c r="F96" s="216">
        <f>LongTest!F94</f>
        <v>15.603392761201077</v>
      </c>
      <c r="G96" s="216">
        <f>LongTest!G94</f>
        <v>4.2533927612010771</v>
      </c>
      <c r="H96" s="616"/>
      <c r="I96" s="617"/>
      <c r="J96" s="618"/>
    </row>
    <row r="97" spans="1:10" ht="24.95" customHeight="1">
      <c r="A97" s="238"/>
      <c r="B97" s="215"/>
      <c r="C97" s="215">
        <f t="shared" si="6"/>
        <v>45728.493055555555</v>
      </c>
      <c r="D97" s="616">
        <v>90</v>
      </c>
      <c r="E97" s="643"/>
      <c r="F97" s="216">
        <f>LongTest!F95</f>
        <v>15.465722117800379</v>
      </c>
      <c r="G97" s="216">
        <f>LongTest!G95</f>
        <v>4.1157221178003791</v>
      </c>
      <c r="H97" s="616"/>
      <c r="I97" s="617"/>
      <c r="J97" s="618"/>
    </row>
    <row r="98" spans="1:10" ht="24.95" customHeight="1">
      <c r="A98" s="238"/>
      <c r="B98" s="215"/>
      <c r="C98" s="215">
        <f t="shared" si="6"/>
        <v>45728.503472222219</v>
      </c>
      <c r="D98" s="616">
        <v>105</v>
      </c>
      <c r="E98" s="643"/>
      <c r="F98" s="216">
        <f>LongTest!F96</f>
        <v>15.332507495067992</v>
      </c>
      <c r="G98" s="216">
        <f>LongTest!G96</f>
        <v>3.982507495067992</v>
      </c>
      <c r="H98" s="616"/>
      <c r="I98" s="617"/>
      <c r="J98" s="618"/>
    </row>
    <row r="99" spans="1:10" ht="24.95" customHeight="1">
      <c r="A99" s="238"/>
      <c r="B99" s="215"/>
      <c r="C99" s="215">
        <f t="shared" si="6"/>
        <v>45728.513888888891</v>
      </c>
      <c r="D99" s="616">
        <v>120</v>
      </c>
      <c r="E99" s="643"/>
      <c r="F99" s="216">
        <f>LongTest!F97</f>
        <v>14.958180649765406</v>
      </c>
      <c r="G99" s="216">
        <f>LongTest!G97</f>
        <v>3.6081806497654068</v>
      </c>
      <c r="H99" s="616"/>
      <c r="I99" s="617"/>
      <c r="J99" s="618"/>
    </row>
    <row r="100" spans="1:10" ht="24.95" customHeight="1">
      <c r="A100" s="238"/>
      <c r="B100" s="215"/>
      <c r="C100" s="215">
        <f t="shared" si="6"/>
        <v>45728.555555555555</v>
      </c>
      <c r="D100" s="616">
        <v>180</v>
      </c>
      <c r="E100" s="643"/>
      <c r="F100" s="216">
        <f>LongTest!F98</f>
        <v>14.841393750589209</v>
      </c>
      <c r="G100" s="216">
        <f>LongTest!G98</f>
        <v>3.4913937505892099</v>
      </c>
      <c r="H100" s="616"/>
      <c r="I100" s="617"/>
      <c r="J100" s="618"/>
    </row>
    <row r="101" spans="1:10" ht="24.95" customHeight="1">
      <c r="A101" s="238"/>
      <c r="B101" s="215"/>
      <c r="C101" s="215">
        <f t="shared" si="6"/>
        <v>45728.597222222219</v>
      </c>
      <c r="D101" s="616">
        <v>240</v>
      </c>
      <c r="E101" s="643"/>
      <c r="F101" s="216">
        <f>LongTest!F99</f>
        <v>14.215907525128532</v>
      </c>
      <c r="G101" s="216">
        <f>LongTest!G99</f>
        <v>2.8659075251285322</v>
      </c>
      <c r="H101" s="616"/>
      <c r="I101" s="617"/>
      <c r="J101" s="618"/>
    </row>
    <row r="102" spans="1:10" ht="24.95" customHeight="1">
      <c r="A102" s="238"/>
      <c r="B102" s="215"/>
      <c r="C102" s="215">
        <f t="shared" si="6"/>
        <v>45728.638888888891</v>
      </c>
      <c r="D102" s="616">
        <v>300</v>
      </c>
      <c r="E102" s="643"/>
      <c r="F102" s="216">
        <f>LongTest!F100</f>
        <v>13.702477700689659</v>
      </c>
      <c r="G102" s="216">
        <f>LongTest!G100</f>
        <v>2.3524777006896587</v>
      </c>
      <c r="H102" s="616"/>
      <c r="I102" s="617"/>
      <c r="J102" s="618"/>
    </row>
    <row r="103" spans="1:10" ht="24.95" customHeight="1" thickBot="1">
      <c r="A103" s="242"/>
      <c r="B103" s="243"/>
      <c r="C103" s="243">
        <f t="shared" si="6"/>
        <v>45728.680555555555</v>
      </c>
      <c r="D103" s="619">
        <v>360</v>
      </c>
      <c r="E103" s="644"/>
      <c r="F103" s="244">
        <f>LongTest!F101</f>
        <v>13.281029275619737</v>
      </c>
      <c r="G103" s="244">
        <f>LongTest!G101</f>
        <v>1.9310292756197371</v>
      </c>
      <c r="H103" s="619" t="s">
        <v>320</v>
      </c>
      <c r="I103" s="620"/>
      <c r="J103" s="62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2" zoomScaleNormal="130" zoomScaleSheetLayoutView="100" workbookViewId="0">
      <selection activeCell="K48" sqref="K48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47" t="s">
        <v>313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3" t="s">
        <v>292</v>
      </c>
      <c r="B2" s="624"/>
      <c r="C2" s="625" t="str">
        <f>LongTest!C2</f>
        <v>예산군 마전 등 5지구 농업용관정 지하수영향조사 용역</v>
      </c>
      <c r="D2" s="626"/>
      <c r="E2" s="626"/>
      <c r="F2" s="626"/>
      <c r="G2" s="626"/>
      <c r="H2" s="626"/>
      <c r="I2" s="626"/>
      <c r="J2" s="627"/>
    </row>
    <row r="3" spans="1:10" ht="24.95" customHeight="1">
      <c r="A3" s="628" t="s">
        <v>293</v>
      </c>
      <c r="B3" s="629"/>
      <c r="C3" s="633" t="str">
        <f>LongTest!C4</f>
        <v>충청남도 예산군 대술면 마전리 820번지</v>
      </c>
      <c r="D3" s="634"/>
      <c r="E3" s="634"/>
      <c r="F3" s="634"/>
      <c r="G3" s="634"/>
      <c r="H3" s="635"/>
      <c r="I3" s="209" t="str">
        <f>Input!I54</f>
        <v>W-1</v>
      </c>
      <c r="J3" s="210" t="s">
        <v>319</v>
      </c>
    </row>
    <row r="4" spans="1:10" ht="24.95" customHeight="1">
      <c r="A4" s="628" t="s">
        <v>294</v>
      </c>
      <c r="B4" s="629"/>
      <c r="C4" s="630">
        <f>LongTest!C10</f>
        <v>45726.430555555555</v>
      </c>
      <c r="D4" s="631"/>
      <c r="E4" s="631"/>
      <c r="F4" s="631"/>
      <c r="G4" s="631"/>
      <c r="H4" s="631"/>
      <c r="I4" s="631"/>
      <c r="J4" s="632"/>
    </row>
    <row r="5" spans="1:10" ht="24.95" customHeight="1">
      <c r="A5" s="628" t="s">
        <v>295</v>
      </c>
      <c r="B5" s="629"/>
      <c r="C5" s="630">
        <f>C55</f>
        <v>45727.430555555555</v>
      </c>
      <c r="D5" s="631"/>
      <c r="E5" s="631"/>
      <c r="F5" s="631"/>
      <c r="G5" s="631"/>
      <c r="H5" s="631"/>
      <c r="I5" s="631"/>
      <c r="J5" s="632"/>
    </row>
    <row r="6" spans="1:10" ht="24.95" customHeight="1">
      <c r="A6" s="628" t="s">
        <v>291</v>
      </c>
      <c r="B6" s="629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8" t="s">
        <v>296</v>
      </c>
      <c r="B7" s="629"/>
      <c r="C7" s="636" t="s">
        <v>323</v>
      </c>
      <c r="D7" s="629"/>
      <c r="E7" s="211">
        <f>LongTest!C6</f>
        <v>7.5</v>
      </c>
      <c r="F7" s="211" t="s">
        <v>297</v>
      </c>
      <c r="G7" s="211" t="s">
        <v>325</v>
      </c>
      <c r="H7" s="636">
        <f>Input!I50</f>
        <v>48</v>
      </c>
      <c r="I7" s="629"/>
      <c r="J7" s="212" t="s">
        <v>298</v>
      </c>
    </row>
    <row r="8" spans="1:10" ht="24.95" customHeight="1">
      <c r="A8" s="628" t="s">
        <v>299</v>
      </c>
      <c r="B8" s="629"/>
      <c r="C8" s="636" t="s">
        <v>324</v>
      </c>
      <c r="D8" s="629"/>
      <c r="E8" s="211">
        <f>LongTest!D7</f>
        <v>250</v>
      </c>
      <c r="F8" s="211" t="s">
        <v>300</v>
      </c>
      <c r="G8" s="211" t="s">
        <v>301</v>
      </c>
      <c r="H8" s="636">
        <f>LongTest!G7</f>
        <v>158</v>
      </c>
      <c r="I8" s="629"/>
      <c r="J8" s="212" t="s">
        <v>298</v>
      </c>
    </row>
    <row r="9" spans="1:10" ht="24.95" customHeight="1">
      <c r="A9" s="628" t="s">
        <v>302</v>
      </c>
      <c r="B9" s="629"/>
      <c r="C9" s="636" t="s">
        <v>322</v>
      </c>
      <c r="D9" s="629"/>
      <c r="E9" s="211">
        <f>LongTest!D8</f>
        <v>11.35</v>
      </c>
      <c r="F9" s="211" t="s">
        <v>298</v>
      </c>
      <c r="G9" s="211" t="s">
        <v>303</v>
      </c>
      <c r="H9" s="636">
        <f>LongTest!G8</f>
        <v>38.200000000000003</v>
      </c>
      <c r="I9" s="629"/>
      <c r="J9" s="212" t="s">
        <v>298</v>
      </c>
    </row>
    <row r="10" spans="1:10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40">
        <v>1</v>
      </c>
      <c r="E12" s="640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0">
        <v>2</v>
      </c>
      <c r="E13" s="640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0">
        <v>3</v>
      </c>
      <c r="E14" s="640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0">
        <v>4</v>
      </c>
      <c r="E15" s="640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0">
        <v>5</v>
      </c>
      <c r="E16" s="640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0">
        <v>10</v>
      </c>
      <c r="E17" s="640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0">
        <v>15</v>
      </c>
      <c r="E18" s="640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0">
        <v>20</v>
      </c>
      <c r="E19" s="640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0">
        <v>25</v>
      </c>
      <c r="E20" s="640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0">
        <v>30</v>
      </c>
      <c r="E21" s="640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0">
        <v>35</v>
      </c>
      <c r="E22" s="640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0">
        <v>40</v>
      </c>
      <c r="E23" s="640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0">
        <v>45</v>
      </c>
      <c r="E24" s="640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0">
        <v>50</v>
      </c>
      <c r="E25" s="640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0">
        <v>55</v>
      </c>
      <c r="E26" s="640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0">
        <v>60</v>
      </c>
      <c r="E27" s="640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0">
        <v>75</v>
      </c>
      <c r="E28" s="640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0">
        <v>90</v>
      </c>
      <c r="E29" s="640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0">
        <v>105</v>
      </c>
      <c r="E30" s="640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0">
        <v>120</v>
      </c>
      <c r="E31" s="640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0">
        <v>140</v>
      </c>
      <c r="E32" s="640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0">
        <v>160</v>
      </c>
      <c r="E33" s="640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0">
        <v>180</v>
      </c>
      <c r="E34" s="640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0">
        <v>240</v>
      </c>
      <c r="E35" s="640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0">
        <v>300</v>
      </c>
      <c r="E36" s="640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0">
        <v>360</v>
      </c>
      <c r="E37" s="640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0">
        <v>420</v>
      </c>
      <c r="E38" s="640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0">
        <v>480</v>
      </c>
      <c r="E39" s="640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0">
        <v>540</v>
      </c>
      <c r="E40" s="640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0">
        <v>600</v>
      </c>
      <c r="E41" s="640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0">
        <v>660</v>
      </c>
      <c r="E42" s="640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0">
        <v>720</v>
      </c>
      <c r="E43" s="640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40">
        <v>780</v>
      </c>
      <c r="E44" s="640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40">
        <v>840</v>
      </c>
      <c r="E45" s="640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40">
        <v>900</v>
      </c>
      <c r="E46" s="640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40">
        <v>960</v>
      </c>
      <c r="E47" s="640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40">
        <v>1020</v>
      </c>
      <c r="E48" s="640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40">
        <v>1080</v>
      </c>
      <c r="E49" s="640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40">
        <v>1140</v>
      </c>
      <c r="E50" s="640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40">
        <v>1200</v>
      </c>
      <c r="E51" s="640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40">
        <v>1260</v>
      </c>
      <c r="E52" s="640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40">
        <v>1320</v>
      </c>
      <c r="E53" s="640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40">
        <v>1380</v>
      </c>
      <c r="E54" s="640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40">
        <v>1440</v>
      </c>
      <c r="E55" s="640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16"/>
      <c r="E56" s="643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16"/>
      <c r="E57" s="643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16">
        <v>1</v>
      </c>
      <c r="E58" s="643"/>
      <c r="F58" s="216">
        <f>LongTest!F78</f>
        <v>28.289168550951231</v>
      </c>
      <c r="G58" s="216">
        <f>LongTest!G78</f>
        <v>16.939168550951234</v>
      </c>
      <c r="H58" s="636" t="s">
        <v>191</v>
      </c>
      <c r="I58" s="645"/>
      <c r="J58" s="646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16">
        <v>2</v>
      </c>
      <c r="E59" s="643"/>
      <c r="F59" s="216">
        <f>LongTest!F79</f>
        <v>26.69700945681798</v>
      </c>
      <c r="G59" s="216">
        <f>LongTest!G79</f>
        <v>15.347009456817981</v>
      </c>
      <c r="H59" s="616"/>
      <c r="I59" s="617"/>
      <c r="J59" s="618"/>
    </row>
    <row r="60" spans="1:10" ht="24.95" customHeight="1">
      <c r="A60" s="238"/>
      <c r="B60" s="215"/>
      <c r="C60" s="215">
        <f t="shared" si="1"/>
        <v>45727.432638888888</v>
      </c>
      <c r="D60" s="616">
        <v>3</v>
      </c>
      <c r="E60" s="643"/>
      <c r="F60" s="216">
        <f>LongTest!F80</f>
        <v>25.254501779955085</v>
      </c>
      <c r="G60" s="216">
        <f>LongTest!G80</f>
        <v>13.904501779955083</v>
      </c>
      <c r="H60" s="616"/>
      <c r="I60" s="617"/>
      <c r="J60" s="618"/>
    </row>
    <row r="61" spans="1:10" ht="24.95" customHeight="1">
      <c r="A61" s="238"/>
      <c r="B61" s="215"/>
      <c r="C61" s="215">
        <f t="shared" si="1"/>
        <v>45727.433333333334</v>
      </c>
      <c r="D61" s="616">
        <v>4</v>
      </c>
      <c r="E61" s="643"/>
      <c r="F61" s="216">
        <f>LongTest!F81</f>
        <v>23.94757937158786</v>
      </c>
      <c r="G61" s="216">
        <f>LongTest!G81</f>
        <v>12.597579371587861</v>
      </c>
      <c r="H61" s="616"/>
      <c r="I61" s="617"/>
      <c r="J61" s="618"/>
    </row>
    <row r="62" spans="1:10" ht="24.95" customHeight="1">
      <c r="A62" s="238"/>
      <c r="B62" s="215"/>
      <c r="C62" s="215">
        <f t="shared" si="1"/>
        <v>45727.434027777774</v>
      </c>
      <c r="D62" s="616">
        <v>5</v>
      </c>
      <c r="E62" s="643"/>
      <c r="F62" s="216">
        <f>LongTest!F82</f>
        <v>22.763498198996139</v>
      </c>
      <c r="G62" s="216">
        <f>LongTest!G82</f>
        <v>11.413498198996141</v>
      </c>
      <c r="H62" s="616"/>
      <c r="I62" s="617"/>
      <c r="J62" s="618"/>
    </row>
    <row r="63" spans="1:10" ht="24.95" customHeight="1">
      <c r="A63" s="238"/>
      <c r="B63" s="215"/>
      <c r="C63" s="215">
        <f t="shared" si="1"/>
        <v>45727.4375</v>
      </c>
      <c r="D63" s="616">
        <v>10</v>
      </c>
      <c r="E63" s="643"/>
      <c r="F63" s="216">
        <f>LongTest!F83</f>
        <v>19.838164518633043</v>
      </c>
      <c r="G63" s="216">
        <f>LongTest!G83</f>
        <v>8.4881645186330434</v>
      </c>
      <c r="H63" s="616"/>
      <c r="I63" s="617"/>
      <c r="J63" s="618"/>
    </row>
    <row r="64" spans="1:10" ht="24.95" customHeight="1">
      <c r="A64" s="238"/>
      <c r="B64" s="215"/>
      <c r="C64" s="215">
        <f t="shared" si="1"/>
        <v>45727.440972222219</v>
      </c>
      <c r="D64" s="616">
        <v>15</v>
      </c>
      <c r="E64" s="643"/>
      <c r="F64" s="216">
        <f>LongTest!F84</f>
        <v>19.297579899788193</v>
      </c>
      <c r="G64" s="216">
        <f>LongTest!G84</f>
        <v>7.9475798997881943</v>
      </c>
      <c r="H64" s="616"/>
      <c r="I64" s="617"/>
      <c r="J64" s="618"/>
    </row>
    <row r="65" spans="1:10" ht="24.95" customHeight="1">
      <c r="A65" s="238"/>
      <c r="B65" s="215"/>
      <c r="C65" s="215">
        <f t="shared" si="1"/>
        <v>45727.444444444445</v>
      </c>
      <c r="D65" s="616">
        <v>20</v>
      </c>
      <c r="E65" s="643"/>
      <c r="F65" s="216">
        <f>LongTest!F85</f>
        <v>17.87376405196904</v>
      </c>
      <c r="G65" s="216">
        <f>LongTest!G85</f>
        <v>6.5237640519690405</v>
      </c>
      <c r="H65" s="616"/>
      <c r="I65" s="617"/>
      <c r="J65" s="618"/>
    </row>
    <row r="66" spans="1:10" ht="24.95" customHeight="1">
      <c r="A66" s="238"/>
      <c r="B66" s="215"/>
      <c r="C66" s="215">
        <f t="shared" si="1"/>
        <v>45727.447916666664</v>
      </c>
      <c r="D66" s="616">
        <v>25</v>
      </c>
      <c r="E66" s="643"/>
      <c r="F66" s="216">
        <f>LongTest!F86</f>
        <v>17.260577505529085</v>
      </c>
      <c r="G66" s="216">
        <f>LongTest!G86</f>
        <v>5.9105775055290843</v>
      </c>
      <c r="H66" s="616"/>
      <c r="I66" s="617"/>
      <c r="J66" s="618"/>
    </row>
    <row r="67" spans="1:10" ht="24.95" customHeight="1">
      <c r="A67" s="238"/>
      <c r="B67" s="215"/>
      <c r="C67" s="215">
        <f t="shared" si="1"/>
        <v>45727.451388888891</v>
      </c>
      <c r="D67" s="616">
        <v>30</v>
      </c>
      <c r="E67" s="643"/>
      <c r="F67" s="216">
        <f>LongTest!F87</f>
        <v>16.705026050999216</v>
      </c>
      <c r="G67" s="216">
        <f>LongTest!G87</f>
        <v>5.355026050999216</v>
      </c>
      <c r="H67" s="616"/>
      <c r="I67" s="617"/>
      <c r="J67" s="618"/>
    </row>
    <row r="68" spans="1:10" ht="24.95" customHeight="1">
      <c r="A68" s="238"/>
      <c r="B68" s="215"/>
      <c r="C68" s="215">
        <f t="shared" si="1"/>
        <v>45727.454861111109</v>
      </c>
      <c r="D68" s="616">
        <v>35</v>
      </c>
      <c r="E68" s="643"/>
      <c r="F68" s="216">
        <f>LongTest!F88</f>
        <v>16.531698563212647</v>
      </c>
      <c r="G68" s="216">
        <f>LongTest!G88</f>
        <v>5.1816985632126462</v>
      </c>
      <c r="H68" s="616"/>
      <c r="I68" s="617"/>
      <c r="J68" s="618"/>
    </row>
    <row r="69" spans="1:10" ht="24.95" customHeight="1">
      <c r="A69" s="238"/>
      <c r="B69" s="215"/>
      <c r="C69" s="215">
        <f t="shared" si="1"/>
        <v>45727.458333333336</v>
      </c>
      <c r="D69" s="616">
        <v>40</v>
      </c>
      <c r="E69" s="643"/>
      <c r="F69" s="216">
        <f>LongTest!F89</f>
        <v>16.363981210229582</v>
      </c>
      <c r="G69" s="216">
        <f>LongTest!G89</f>
        <v>5.0139812102295833</v>
      </c>
      <c r="H69" s="616"/>
      <c r="I69" s="617"/>
      <c r="J69" s="618"/>
    </row>
    <row r="70" spans="1:10" ht="24.95" customHeight="1">
      <c r="A70" s="238"/>
      <c r="B70" s="215"/>
      <c r="C70" s="215">
        <f t="shared" si="1"/>
        <v>45727.461805555555</v>
      </c>
      <c r="D70" s="616">
        <v>45</v>
      </c>
      <c r="E70" s="643"/>
      <c r="F70" s="216">
        <f>LongTest!F90</f>
        <v>16.201692407392482</v>
      </c>
      <c r="G70" s="216">
        <f>LongTest!G90</f>
        <v>4.8516924073924814</v>
      </c>
      <c r="H70" s="616"/>
      <c r="I70" s="617"/>
      <c r="J70" s="618"/>
    </row>
    <row r="71" spans="1:10" ht="24.95" customHeight="1">
      <c r="A71" s="238"/>
      <c r="B71" s="215"/>
      <c r="C71" s="215">
        <f t="shared" si="1"/>
        <v>45727.465277777774</v>
      </c>
      <c r="D71" s="616">
        <v>50</v>
      </c>
      <c r="E71" s="643"/>
      <c r="F71" s="216">
        <f>LongTest!F91</f>
        <v>16.044656447440502</v>
      </c>
      <c r="G71" s="216">
        <f>LongTest!G91</f>
        <v>4.6946564474405026</v>
      </c>
      <c r="H71" s="616"/>
      <c r="I71" s="617"/>
      <c r="J71" s="618"/>
    </row>
    <row r="72" spans="1:10" ht="24.95" customHeight="1">
      <c r="A72" s="238"/>
      <c r="B72" s="215"/>
      <c r="C72" s="215">
        <f t="shared" si="1"/>
        <v>45727.46875</v>
      </c>
      <c r="D72" s="616">
        <v>55</v>
      </c>
      <c r="E72" s="643"/>
      <c r="F72" s="216">
        <f>LongTest!F92</f>
        <v>15.892703310274335</v>
      </c>
      <c r="G72" s="216">
        <f>LongTest!G92</f>
        <v>4.5427033102743355</v>
      </c>
      <c r="H72" s="616"/>
      <c r="I72" s="617"/>
      <c r="J72" s="618"/>
    </row>
    <row r="73" spans="1:10" ht="24.95" customHeight="1">
      <c r="A73" s="238"/>
      <c r="B73" s="215"/>
      <c r="C73" s="215">
        <f t="shared" si="1"/>
        <v>45727.472222222219</v>
      </c>
      <c r="D73" s="616">
        <v>60</v>
      </c>
      <c r="E73" s="643"/>
      <c r="F73" s="216">
        <f>LongTest!F93</f>
        <v>15.745668478878386</v>
      </c>
      <c r="G73" s="216">
        <f>LongTest!G93</f>
        <v>4.3956684788783873</v>
      </c>
      <c r="H73" s="616"/>
      <c r="I73" s="617"/>
      <c r="J73" s="618"/>
    </row>
    <row r="74" spans="1:10" ht="24.95" customHeight="1">
      <c r="A74" s="238"/>
      <c r="B74" s="215"/>
      <c r="C74" s="215">
        <f t="shared" si="1"/>
        <v>45727.482638888891</v>
      </c>
      <c r="D74" s="616">
        <v>75</v>
      </c>
      <c r="E74" s="643"/>
      <c r="F74" s="216">
        <f>LongTest!F94</f>
        <v>15.603392761201077</v>
      </c>
      <c r="G74" s="216">
        <f>LongTest!G94</f>
        <v>4.2533927612010771</v>
      </c>
      <c r="H74" s="616"/>
      <c r="I74" s="617"/>
      <c r="J74" s="618"/>
    </row>
    <row r="75" spans="1:10" ht="24.95" customHeight="1">
      <c r="A75" s="238"/>
      <c r="B75" s="215"/>
      <c r="C75" s="215">
        <f t="shared" si="1"/>
        <v>45727.493055555555</v>
      </c>
      <c r="D75" s="616">
        <v>90</v>
      </c>
      <c r="E75" s="643"/>
      <c r="F75" s="216">
        <f>LongTest!F95</f>
        <v>15.465722117800379</v>
      </c>
      <c r="G75" s="216">
        <f>LongTest!G95</f>
        <v>4.1157221178003791</v>
      </c>
      <c r="H75" s="616"/>
      <c r="I75" s="617"/>
      <c r="J75" s="618"/>
    </row>
    <row r="76" spans="1:10" ht="24.95" customHeight="1">
      <c r="A76" s="238"/>
      <c r="B76" s="215"/>
      <c r="C76" s="215">
        <f t="shared" si="1"/>
        <v>45727.503472222219</v>
      </c>
      <c r="D76" s="616">
        <v>105</v>
      </c>
      <c r="E76" s="643"/>
      <c r="F76" s="216">
        <f>LongTest!F96</f>
        <v>15.332507495067992</v>
      </c>
      <c r="G76" s="216">
        <f>LongTest!G96</f>
        <v>3.982507495067992</v>
      </c>
      <c r="H76" s="616"/>
      <c r="I76" s="617"/>
      <c r="J76" s="618"/>
    </row>
    <row r="77" spans="1:10" ht="24.95" customHeight="1">
      <c r="A77" s="238"/>
      <c r="B77" s="215"/>
      <c r="C77" s="215">
        <f t="shared" si="1"/>
        <v>45727.513888888891</v>
      </c>
      <c r="D77" s="616">
        <v>120</v>
      </c>
      <c r="E77" s="643"/>
      <c r="F77" s="216">
        <f>LongTest!F97</f>
        <v>14.958180649765406</v>
      </c>
      <c r="G77" s="216">
        <f>LongTest!G97</f>
        <v>3.6081806497654068</v>
      </c>
      <c r="H77" s="616" t="s">
        <v>326</v>
      </c>
      <c r="I77" s="617"/>
      <c r="J77" s="618"/>
    </row>
    <row r="78" spans="1:10" ht="24.95" customHeight="1">
      <c r="A78" s="238"/>
      <c r="B78" s="215"/>
      <c r="C78" s="215"/>
      <c r="D78" s="616"/>
      <c r="E78" s="643"/>
      <c r="F78" s="216"/>
      <c r="G78" s="216"/>
      <c r="H78" s="616"/>
      <c r="I78" s="617"/>
      <c r="J78" s="618"/>
    </row>
    <row r="79" spans="1:10" ht="24.95" customHeight="1">
      <c r="A79" s="238"/>
      <c r="B79" s="215"/>
      <c r="C79" s="215"/>
      <c r="D79" s="616"/>
      <c r="E79" s="643"/>
      <c r="F79" s="216"/>
      <c r="G79" s="216"/>
      <c r="H79" s="616"/>
      <c r="I79" s="617"/>
      <c r="J79" s="618"/>
    </row>
    <row r="80" spans="1:10" ht="24.95" customHeight="1">
      <c r="A80" s="238"/>
      <c r="B80" s="215"/>
      <c r="C80" s="215"/>
      <c r="D80" s="616"/>
      <c r="E80" s="643"/>
      <c r="F80" s="216"/>
      <c r="G80" s="216"/>
      <c r="H80" s="616"/>
      <c r="I80" s="617"/>
      <c r="J80" s="618"/>
    </row>
    <row r="81" spans="1:10" ht="24.95" customHeight="1" thickBot="1">
      <c r="A81" s="242"/>
      <c r="B81" s="243"/>
      <c r="C81" s="243"/>
      <c r="D81" s="619"/>
      <c r="E81" s="644"/>
      <c r="F81" s="244"/>
      <c r="G81" s="244"/>
      <c r="H81" s="619"/>
      <c r="I81" s="620"/>
      <c r="J81" s="62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2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47" t="s">
        <v>317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1" ht="24.95" customHeight="1">
      <c r="A2" s="623" t="s">
        <v>292</v>
      </c>
      <c r="B2" s="624"/>
      <c r="C2" s="625" t="str">
        <f>LongTest!C2</f>
        <v>예산군 마전 등 5지구 농업용관정 지하수영향조사 용역</v>
      </c>
      <c r="D2" s="626"/>
      <c r="E2" s="626"/>
      <c r="F2" s="626"/>
      <c r="G2" s="626"/>
      <c r="H2" s="626"/>
      <c r="I2" s="626"/>
      <c r="J2" s="627"/>
    </row>
    <row r="3" spans="1:11" ht="24.95" customHeight="1">
      <c r="A3" s="628" t="s">
        <v>293</v>
      </c>
      <c r="B3" s="629"/>
      <c r="C3" s="633" t="str">
        <f>LongTest!C4</f>
        <v>충청남도 예산군 대술면 마전리 820번지</v>
      </c>
      <c r="D3" s="634"/>
      <c r="E3" s="634"/>
      <c r="F3" s="634"/>
      <c r="G3" s="634"/>
      <c r="H3" s="635"/>
      <c r="I3" s="209" t="str">
        <f>Input!I54</f>
        <v>W-1</v>
      </c>
      <c r="J3" s="210" t="s">
        <v>319</v>
      </c>
    </row>
    <row r="4" spans="1:11" ht="24.95" customHeight="1">
      <c r="A4" s="628" t="s">
        <v>294</v>
      </c>
      <c r="B4" s="629"/>
      <c r="C4" s="630">
        <f>StepTest!C12</f>
        <v>45725.430555555555</v>
      </c>
      <c r="D4" s="631"/>
      <c r="E4" s="631"/>
      <c r="F4" s="631"/>
      <c r="G4" s="631"/>
      <c r="H4" s="631"/>
      <c r="I4" s="631"/>
      <c r="J4" s="632"/>
    </row>
    <row r="5" spans="1:11" ht="24.95" customHeight="1">
      <c r="A5" s="628" t="s">
        <v>295</v>
      </c>
      <c r="B5" s="629"/>
      <c r="C5" s="630">
        <f>StepTest!C51</f>
        <v>45725.847222222219</v>
      </c>
      <c r="D5" s="631"/>
      <c r="E5" s="631"/>
      <c r="F5" s="631"/>
      <c r="G5" s="631"/>
      <c r="H5" s="631"/>
      <c r="I5" s="631"/>
      <c r="J5" s="632"/>
    </row>
    <row r="6" spans="1:11" ht="24.95" customHeight="1">
      <c r="A6" s="628" t="s">
        <v>291</v>
      </c>
      <c r="B6" s="629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1" ht="24.95" customHeight="1">
      <c r="A7" s="628" t="s">
        <v>296</v>
      </c>
      <c r="B7" s="629"/>
      <c r="C7" s="636" t="s">
        <v>323</v>
      </c>
      <c r="D7" s="629"/>
      <c r="E7" s="211">
        <f>LongTest!C6</f>
        <v>7.5</v>
      </c>
      <c r="F7" s="211" t="s">
        <v>297</v>
      </c>
      <c r="G7" s="616"/>
      <c r="H7" s="617"/>
      <c r="I7" s="617"/>
      <c r="J7" s="618"/>
    </row>
    <row r="8" spans="1:11" ht="24.95" customHeight="1">
      <c r="A8" s="628" t="s">
        <v>299</v>
      </c>
      <c r="B8" s="629"/>
      <c r="C8" s="636" t="s">
        <v>324</v>
      </c>
      <c r="D8" s="629"/>
      <c r="E8" s="211">
        <f>LongTest!D7</f>
        <v>250</v>
      </c>
      <c r="F8" s="211" t="s">
        <v>300</v>
      </c>
      <c r="G8" s="211" t="s">
        <v>325</v>
      </c>
      <c r="H8" s="636">
        <f>LongTest!G7</f>
        <v>158</v>
      </c>
      <c r="I8" s="629"/>
      <c r="J8" s="212" t="s">
        <v>298</v>
      </c>
    </row>
    <row r="9" spans="1:11" ht="24.95" customHeight="1">
      <c r="A9" s="628" t="s">
        <v>302</v>
      </c>
      <c r="B9" s="629"/>
      <c r="C9" s="636" t="s">
        <v>322</v>
      </c>
      <c r="D9" s="629"/>
      <c r="E9" s="211">
        <f>LongTest!D8</f>
        <v>11.35</v>
      </c>
      <c r="F9" s="211" t="s">
        <v>298</v>
      </c>
      <c r="G9" s="211" t="s">
        <v>318</v>
      </c>
      <c r="H9" s="636">
        <f>Input!M51</f>
        <v>200</v>
      </c>
      <c r="I9" s="629"/>
      <c r="J9" s="212" t="s">
        <v>306</v>
      </c>
    </row>
    <row r="10" spans="1:11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40">
        <v>1</v>
      </c>
      <c r="E12" s="640"/>
      <c r="F12" s="216">
        <f>StepTest!F12</f>
        <v>122.25999999999999</v>
      </c>
      <c r="G12" s="216">
        <f>StepTest!G12</f>
        <v>110.91</v>
      </c>
      <c r="H12" s="661"/>
      <c r="I12" s="662"/>
      <c r="J12" s="663"/>
    </row>
    <row r="13" spans="1:11" ht="24.95" customHeight="1">
      <c r="A13" s="213"/>
      <c r="B13" s="211"/>
      <c r="C13" s="215">
        <f t="shared" si="0"/>
        <v>45725.431944444441</v>
      </c>
      <c r="D13" s="640">
        <v>2</v>
      </c>
      <c r="E13" s="640"/>
      <c r="F13" s="216">
        <f>StepTest!F13</f>
        <v>123.44</v>
      </c>
      <c r="G13" s="216">
        <f>StepTest!G13</f>
        <v>112.09</v>
      </c>
      <c r="H13" s="661"/>
      <c r="I13" s="662"/>
      <c r="J13" s="663"/>
    </row>
    <row r="14" spans="1:11" ht="24.95" customHeight="1">
      <c r="A14" s="213"/>
      <c r="B14" s="211"/>
      <c r="C14" s="215">
        <f t="shared" si="0"/>
        <v>45725.432638888888</v>
      </c>
      <c r="D14" s="640">
        <v>3</v>
      </c>
      <c r="E14" s="640"/>
      <c r="F14" s="216">
        <f>StepTest!F14</f>
        <v>124.30999999999999</v>
      </c>
      <c r="G14" s="216">
        <f>StepTest!G14</f>
        <v>112.96</v>
      </c>
      <c r="H14" s="661"/>
      <c r="I14" s="662"/>
      <c r="J14" s="663"/>
    </row>
    <row r="15" spans="1:11" ht="24.95" customHeight="1">
      <c r="A15" s="213"/>
      <c r="B15" s="211"/>
      <c r="C15" s="215">
        <f t="shared" si="0"/>
        <v>45725.433333333334</v>
      </c>
      <c r="D15" s="640">
        <v>4</v>
      </c>
      <c r="E15" s="640"/>
      <c r="F15" s="216">
        <f>StepTest!F15</f>
        <v>124.91999999999999</v>
      </c>
      <c r="G15" s="216">
        <f>StepTest!G15</f>
        <v>113.57</v>
      </c>
      <c r="H15" s="661"/>
      <c r="I15" s="662"/>
      <c r="J15" s="663"/>
    </row>
    <row r="16" spans="1:11" ht="24.95" customHeight="1">
      <c r="A16" s="213"/>
      <c r="B16" s="211"/>
      <c r="C16" s="215">
        <f t="shared" si="0"/>
        <v>45725.434027777774</v>
      </c>
      <c r="D16" s="640">
        <v>5</v>
      </c>
      <c r="E16" s="640"/>
      <c r="F16" s="216">
        <f>StepTest!F16</f>
        <v>125.39999999999999</v>
      </c>
      <c r="G16" s="216">
        <f>StepTest!G16</f>
        <v>114.05</v>
      </c>
      <c r="H16" s="616"/>
      <c r="I16" s="617"/>
      <c r="J16" s="618"/>
    </row>
    <row r="17" spans="1:10" ht="24.95" customHeight="1">
      <c r="A17" s="213"/>
      <c r="B17" s="211"/>
      <c r="C17" s="215">
        <f t="shared" si="0"/>
        <v>45725.4375</v>
      </c>
      <c r="D17" s="640">
        <v>10</v>
      </c>
      <c r="E17" s="640"/>
      <c r="F17" s="216">
        <f>StepTest!F17</f>
        <v>126.88</v>
      </c>
      <c r="G17" s="216">
        <f>StepTest!G17</f>
        <v>115.53</v>
      </c>
      <c r="H17" s="616"/>
      <c r="I17" s="617"/>
      <c r="J17" s="618"/>
    </row>
    <row r="18" spans="1:10" ht="24.95" customHeight="1">
      <c r="A18" s="213"/>
      <c r="B18" s="211"/>
      <c r="C18" s="215">
        <f t="shared" si="0"/>
        <v>45725.440972222219</v>
      </c>
      <c r="D18" s="640">
        <v>15</v>
      </c>
      <c r="E18" s="640"/>
      <c r="F18" s="216">
        <f>StepTest!F18</f>
        <v>127.74</v>
      </c>
      <c r="G18" s="216">
        <f>StepTest!G18</f>
        <v>116.39</v>
      </c>
      <c r="H18" s="616"/>
      <c r="I18" s="617"/>
      <c r="J18" s="618"/>
    </row>
    <row r="19" spans="1:10" ht="24.95" customHeight="1">
      <c r="A19" s="213"/>
      <c r="B19" s="211"/>
      <c r="C19" s="215">
        <f t="shared" si="0"/>
        <v>45725.444444444445</v>
      </c>
      <c r="D19" s="640">
        <v>20</v>
      </c>
      <c r="E19" s="640"/>
      <c r="F19" s="216">
        <f>StepTest!F19</f>
        <v>128.36000000000001</v>
      </c>
      <c r="G19" s="216">
        <f>StepTest!G19</f>
        <v>117.01</v>
      </c>
      <c r="H19" s="616"/>
      <c r="I19" s="617"/>
      <c r="J19" s="618"/>
    </row>
    <row r="20" spans="1:10" ht="24.95" customHeight="1">
      <c r="A20" s="213"/>
      <c r="B20" s="211"/>
      <c r="C20" s="215">
        <f t="shared" si="0"/>
        <v>45725.447916666664</v>
      </c>
      <c r="D20" s="640">
        <v>25</v>
      </c>
      <c r="E20" s="640"/>
      <c r="F20" s="216">
        <f>StepTest!F20</f>
        <v>128.84</v>
      </c>
      <c r="G20" s="216">
        <f>StepTest!G20</f>
        <v>117.49</v>
      </c>
      <c r="H20" s="616"/>
      <c r="I20" s="617"/>
      <c r="J20" s="618"/>
    </row>
    <row r="21" spans="1:10" ht="24.95" customHeight="1">
      <c r="A21" s="213"/>
      <c r="B21" s="211"/>
      <c r="C21" s="215">
        <f t="shared" si="0"/>
        <v>45725.451388888891</v>
      </c>
      <c r="D21" s="640">
        <v>30</v>
      </c>
      <c r="E21" s="640"/>
      <c r="F21" s="216">
        <f>StepTest!F21</f>
        <v>129.22</v>
      </c>
      <c r="G21" s="216">
        <f>StepTest!G21</f>
        <v>117.87</v>
      </c>
      <c r="H21" s="616"/>
      <c r="I21" s="617"/>
      <c r="J21" s="618"/>
    </row>
    <row r="22" spans="1:10" ht="24.95" customHeight="1">
      <c r="A22" s="213"/>
      <c r="B22" s="211"/>
      <c r="C22" s="215">
        <f t="shared" si="0"/>
        <v>45725.454861111109</v>
      </c>
      <c r="D22" s="640">
        <v>35</v>
      </c>
      <c r="E22" s="640"/>
      <c r="F22" s="216">
        <f>StepTest!F22</f>
        <v>129.55000000000001</v>
      </c>
      <c r="G22" s="216">
        <f>StepTest!G22</f>
        <v>118.2</v>
      </c>
      <c r="H22" s="616"/>
      <c r="I22" s="617"/>
      <c r="J22" s="618"/>
    </row>
    <row r="23" spans="1:10" ht="24.95" customHeight="1">
      <c r="A23" s="213"/>
      <c r="B23" s="211"/>
      <c r="C23" s="215">
        <f t="shared" si="0"/>
        <v>45725.458333333336</v>
      </c>
      <c r="D23" s="640">
        <v>40</v>
      </c>
      <c r="E23" s="640"/>
      <c r="F23" s="216">
        <f>StepTest!F23</f>
        <v>129.84</v>
      </c>
      <c r="G23" s="216">
        <f>StepTest!G23</f>
        <v>118.49</v>
      </c>
      <c r="H23" s="616"/>
      <c r="I23" s="617"/>
      <c r="J23" s="618"/>
    </row>
    <row r="24" spans="1:10" ht="24.95" customHeight="1">
      <c r="A24" s="213"/>
      <c r="B24" s="211"/>
      <c r="C24" s="215">
        <f t="shared" si="0"/>
        <v>45725.461805555555</v>
      </c>
      <c r="D24" s="640">
        <v>45</v>
      </c>
      <c r="E24" s="640"/>
      <c r="F24" s="216">
        <f>StepTest!F24</f>
        <v>130.09</v>
      </c>
      <c r="G24" s="216">
        <f>StepTest!G24</f>
        <v>118.74</v>
      </c>
      <c r="H24" s="616"/>
      <c r="I24" s="617"/>
      <c r="J24" s="618"/>
    </row>
    <row r="25" spans="1:10" ht="24.95" customHeight="1">
      <c r="A25" s="213"/>
      <c r="B25" s="211"/>
      <c r="C25" s="215">
        <f t="shared" si="0"/>
        <v>45725.465277777774</v>
      </c>
      <c r="D25" s="640">
        <v>50</v>
      </c>
      <c r="E25" s="640"/>
      <c r="F25" s="216">
        <f>StepTest!F25</f>
        <v>130.32</v>
      </c>
      <c r="G25" s="216">
        <f>StepTest!G25</f>
        <v>118.97</v>
      </c>
      <c r="H25" s="616"/>
      <c r="I25" s="617"/>
      <c r="J25" s="618"/>
    </row>
    <row r="26" spans="1:10" ht="24.95" customHeight="1">
      <c r="A26" s="213"/>
      <c r="B26" s="211"/>
      <c r="C26" s="215">
        <f t="shared" si="0"/>
        <v>45725.46875</v>
      </c>
      <c r="D26" s="640">
        <v>55</v>
      </c>
      <c r="E26" s="640"/>
      <c r="F26" s="216">
        <f>StepTest!F26</f>
        <v>130.52000000000001</v>
      </c>
      <c r="G26" s="216">
        <f>StepTest!G26</f>
        <v>119.17</v>
      </c>
      <c r="H26" s="616"/>
      <c r="I26" s="617"/>
      <c r="J26" s="618"/>
    </row>
    <row r="27" spans="1:10" ht="24.95" customHeight="1">
      <c r="A27" s="213"/>
      <c r="B27" s="211"/>
      <c r="C27" s="215">
        <f t="shared" si="0"/>
        <v>45725.472222222219</v>
      </c>
      <c r="D27" s="640">
        <v>60</v>
      </c>
      <c r="E27" s="640"/>
      <c r="F27" s="216">
        <f>StepTest!F27</f>
        <v>130.69999999999999</v>
      </c>
      <c r="G27" s="216">
        <f>StepTest!G27</f>
        <v>119.35</v>
      </c>
      <c r="H27" s="616"/>
      <c r="I27" s="617"/>
      <c r="J27" s="618"/>
    </row>
    <row r="28" spans="1:10" ht="24.95" customHeight="1">
      <c r="A28" s="213"/>
      <c r="B28" s="211"/>
      <c r="C28" s="215">
        <f t="shared" si="0"/>
        <v>45725.482638888891</v>
      </c>
      <c r="D28" s="640">
        <v>75</v>
      </c>
      <c r="E28" s="640"/>
      <c r="F28" s="216">
        <f>StepTest!F28</f>
        <v>131.18</v>
      </c>
      <c r="G28" s="216">
        <f>StepTest!G28</f>
        <v>119.83</v>
      </c>
      <c r="H28" s="616"/>
      <c r="I28" s="617"/>
      <c r="J28" s="618"/>
    </row>
    <row r="29" spans="1:10" ht="24.95" customHeight="1">
      <c r="A29" s="213"/>
      <c r="B29" s="211"/>
      <c r="C29" s="215">
        <f t="shared" si="0"/>
        <v>45725.493055555555</v>
      </c>
      <c r="D29" s="640">
        <v>90</v>
      </c>
      <c r="E29" s="640"/>
      <c r="F29" s="216">
        <f>StepTest!F29</f>
        <v>131.57</v>
      </c>
      <c r="G29" s="216">
        <f>StepTest!G29</f>
        <v>120.22</v>
      </c>
      <c r="H29" s="616"/>
      <c r="I29" s="617"/>
      <c r="J29" s="618"/>
    </row>
    <row r="30" spans="1:10" ht="24.95" customHeight="1">
      <c r="A30" s="213"/>
      <c r="B30" s="211"/>
      <c r="C30" s="215">
        <f t="shared" si="0"/>
        <v>45725.503472222219</v>
      </c>
      <c r="D30" s="640">
        <v>105</v>
      </c>
      <c r="E30" s="640"/>
      <c r="F30" s="216">
        <f>StepTest!F30</f>
        <v>131.9</v>
      </c>
      <c r="G30" s="216">
        <f>StepTest!G30</f>
        <v>120.55</v>
      </c>
      <c r="H30" s="616"/>
      <c r="I30" s="617"/>
      <c r="J30" s="618"/>
    </row>
    <row r="31" spans="1:10" ht="24.95" customHeight="1">
      <c r="A31" s="213"/>
      <c r="B31" s="211"/>
      <c r="C31" s="215">
        <f t="shared" si="0"/>
        <v>45725.513888888891</v>
      </c>
      <c r="D31" s="640">
        <v>120</v>
      </c>
      <c r="E31" s="640"/>
      <c r="F31" s="216">
        <f>StepTest!F31</f>
        <v>132.19</v>
      </c>
      <c r="G31" s="216">
        <f>StepTest!G31</f>
        <v>120.84</v>
      </c>
      <c r="H31" s="616"/>
      <c r="I31" s="617"/>
      <c r="J31" s="618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40">
        <v>130</v>
      </c>
      <c r="E32" s="640"/>
      <c r="F32" s="216">
        <f>StepTest!F32</f>
        <v>156.35</v>
      </c>
      <c r="G32" s="216">
        <f>StepTest!G32</f>
        <v>145</v>
      </c>
      <c r="H32" s="616"/>
      <c r="I32" s="617"/>
      <c r="J32" s="618"/>
    </row>
    <row r="33" spans="1:10" ht="24.95" customHeight="1">
      <c r="A33" s="217"/>
      <c r="B33" s="214"/>
      <c r="C33" s="215">
        <f t="shared" si="0"/>
        <v>45725.527777777774</v>
      </c>
      <c r="D33" s="640">
        <v>140</v>
      </c>
      <c r="E33" s="640"/>
      <c r="F33" s="216">
        <f>StepTest!F33</f>
        <v>160.38</v>
      </c>
      <c r="G33" s="216">
        <f>StepTest!G33</f>
        <v>149.03</v>
      </c>
      <c r="H33" s="616"/>
      <c r="I33" s="617"/>
      <c r="J33" s="618"/>
    </row>
    <row r="34" spans="1:10" ht="24.95" customHeight="1">
      <c r="A34" s="217"/>
      <c r="B34" s="214"/>
      <c r="C34" s="215">
        <f t="shared" si="0"/>
        <v>45725.534722222219</v>
      </c>
      <c r="D34" s="640">
        <v>150</v>
      </c>
      <c r="E34" s="640"/>
      <c r="F34" s="216">
        <f>StepTest!F34</f>
        <v>164.41</v>
      </c>
      <c r="G34" s="216">
        <f>StepTest!G34</f>
        <v>153.06</v>
      </c>
      <c r="H34" s="616"/>
      <c r="I34" s="617"/>
      <c r="J34" s="618"/>
    </row>
    <row r="35" spans="1:10" ht="24.95" customHeight="1">
      <c r="A35" s="217"/>
      <c r="B35" s="214"/>
      <c r="C35" s="215">
        <f t="shared" si="0"/>
        <v>45725.555555555555</v>
      </c>
      <c r="D35" s="640">
        <v>180</v>
      </c>
      <c r="E35" s="640"/>
      <c r="F35" s="216">
        <f>StepTest!F35</f>
        <v>168.44</v>
      </c>
      <c r="G35" s="216">
        <f>StepTest!G35</f>
        <v>157.09</v>
      </c>
      <c r="H35" s="616"/>
      <c r="I35" s="617"/>
      <c r="J35" s="618"/>
    </row>
    <row r="36" spans="1:10" ht="24.95" customHeight="1">
      <c r="A36" s="217"/>
      <c r="B36" s="214"/>
      <c r="C36" s="215">
        <f t="shared" si="0"/>
        <v>45725.597222222219</v>
      </c>
      <c r="D36" s="640">
        <v>240</v>
      </c>
      <c r="E36" s="640"/>
      <c r="F36" s="216">
        <f>StepTest!F36</f>
        <v>172.47</v>
      </c>
      <c r="G36" s="216">
        <f>StepTest!G36</f>
        <v>161.12</v>
      </c>
      <c r="H36" s="616"/>
      <c r="I36" s="617"/>
      <c r="J36" s="618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40">
        <v>250</v>
      </c>
      <c r="E37" s="640"/>
      <c r="F37" s="216">
        <f>StepTest!F37</f>
        <v>199.65</v>
      </c>
      <c r="G37" s="216">
        <f>StepTest!G37</f>
        <v>188.3</v>
      </c>
      <c r="H37" s="616"/>
      <c r="I37" s="617"/>
      <c r="J37" s="618"/>
    </row>
    <row r="38" spans="1:10" ht="24.95" customHeight="1">
      <c r="A38" s="217"/>
      <c r="B38" s="214"/>
      <c r="C38" s="215">
        <f t="shared" si="0"/>
        <v>45725.611111111109</v>
      </c>
      <c r="D38" s="640">
        <v>260</v>
      </c>
      <c r="E38" s="640"/>
      <c r="F38" s="216">
        <f>StepTest!F38</f>
        <v>204.18</v>
      </c>
      <c r="G38" s="216">
        <f>StepTest!G38</f>
        <v>192.83</v>
      </c>
      <c r="H38" s="616"/>
      <c r="I38" s="617"/>
      <c r="J38" s="618"/>
    </row>
    <row r="39" spans="1:10" ht="24.95" customHeight="1">
      <c r="A39" s="217"/>
      <c r="B39" s="214"/>
      <c r="C39" s="215">
        <f t="shared" si="0"/>
        <v>45725.618055555555</v>
      </c>
      <c r="D39" s="640">
        <v>270</v>
      </c>
      <c r="E39" s="640"/>
      <c r="F39" s="216">
        <f>StepTest!F39</f>
        <v>208.71</v>
      </c>
      <c r="G39" s="216">
        <f>StepTest!G39</f>
        <v>197.36</v>
      </c>
      <c r="H39" s="616"/>
      <c r="I39" s="617"/>
      <c r="J39" s="618"/>
    </row>
    <row r="40" spans="1:10" ht="24.95" customHeight="1">
      <c r="A40" s="217"/>
      <c r="B40" s="214"/>
      <c r="C40" s="215">
        <f t="shared" si="0"/>
        <v>45725.638888888891</v>
      </c>
      <c r="D40" s="640">
        <v>300</v>
      </c>
      <c r="E40" s="640"/>
      <c r="F40" s="216">
        <f>StepTest!F40</f>
        <v>213.23999999999998</v>
      </c>
      <c r="G40" s="216">
        <f>StepTest!G40</f>
        <v>201.89</v>
      </c>
      <c r="H40" s="616"/>
      <c r="I40" s="617"/>
      <c r="J40" s="618"/>
    </row>
    <row r="41" spans="1:10" ht="24.95" customHeight="1">
      <c r="A41" s="217"/>
      <c r="B41" s="214"/>
      <c r="C41" s="215">
        <f t="shared" si="0"/>
        <v>45725.680555555555</v>
      </c>
      <c r="D41" s="640">
        <v>360</v>
      </c>
      <c r="E41" s="640"/>
      <c r="F41" s="216">
        <f>StepTest!F41</f>
        <v>217.78</v>
      </c>
      <c r="G41" s="216">
        <f>StepTest!G41</f>
        <v>206.43</v>
      </c>
      <c r="H41" s="616"/>
      <c r="I41" s="617"/>
      <c r="J41" s="618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36">
        <v>370</v>
      </c>
      <c r="E42" s="629"/>
      <c r="F42" s="216">
        <f>StepTest!F42</f>
        <v>248.04999999999998</v>
      </c>
      <c r="G42" s="216">
        <f>StepTest!G42</f>
        <v>236.7</v>
      </c>
      <c r="H42" s="616"/>
      <c r="I42" s="617"/>
      <c r="J42" s="618"/>
    </row>
    <row r="43" spans="1:10" ht="24.95" customHeight="1">
      <c r="A43" s="217"/>
      <c r="B43" s="214"/>
      <c r="C43" s="215">
        <f t="shared" si="0"/>
        <v>45725.694444444445</v>
      </c>
      <c r="D43" s="636">
        <v>380</v>
      </c>
      <c r="E43" s="629"/>
      <c r="F43" s="216">
        <f>StepTest!F43</f>
        <v>253.1</v>
      </c>
      <c r="G43" s="216">
        <f>StepTest!G43</f>
        <v>241.75</v>
      </c>
      <c r="H43" s="616"/>
      <c r="I43" s="617"/>
      <c r="J43" s="618"/>
    </row>
    <row r="44" spans="1:10" ht="24.95" customHeight="1">
      <c r="A44" s="217"/>
      <c r="B44" s="214"/>
      <c r="C44" s="215">
        <f t="shared" si="0"/>
        <v>45725.701388888891</v>
      </c>
      <c r="D44" s="636">
        <v>390</v>
      </c>
      <c r="E44" s="629"/>
      <c r="F44" s="216">
        <f>StepTest!F44</f>
        <v>258.14</v>
      </c>
      <c r="G44" s="216">
        <f>StepTest!G44</f>
        <v>246.79</v>
      </c>
      <c r="H44" s="616"/>
      <c r="I44" s="617"/>
      <c r="J44" s="618"/>
    </row>
    <row r="45" spans="1:10" ht="24.95" customHeight="1">
      <c r="A45" s="217"/>
      <c r="B45" s="214"/>
      <c r="C45" s="215">
        <f t="shared" si="0"/>
        <v>45725.722222222219</v>
      </c>
      <c r="D45" s="636">
        <v>420</v>
      </c>
      <c r="E45" s="629"/>
      <c r="F45" s="216">
        <f>StepTest!F45</f>
        <v>263.19</v>
      </c>
      <c r="G45" s="216">
        <f>StepTest!G45</f>
        <v>251.84</v>
      </c>
      <c r="H45" s="616"/>
      <c r="I45" s="617"/>
      <c r="J45" s="618"/>
    </row>
    <row r="46" spans="1:10" ht="24.95" customHeight="1">
      <c r="A46" s="217"/>
      <c r="B46" s="214"/>
      <c r="C46" s="215">
        <f t="shared" si="0"/>
        <v>45725.763888888891</v>
      </c>
      <c r="D46" s="636">
        <v>480</v>
      </c>
      <c r="E46" s="629"/>
      <c r="F46" s="216">
        <f>StepTest!F46</f>
        <v>268.24</v>
      </c>
      <c r="G46" s="216">
        <f>StepTest!G46</f>
        <v>256.89</v>
      </c>
      <c r="H46" s="616"/>
      <c r="I46" s="617"/>
      <c r="J46" s="618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36">
        <v>490</v>
      </c>
      <c r="E47" s="629"/>
      <c r="F47" s="216">
        <f>StepTest!F47</f>
        <v>299.06</v>
      </c>
      <c r="G47" s="216">
        <f>StepTest!G47</f>
        <v>287.70999999999998</v>
      </c>
      <c r="H47" s="616"/>
      <c r="I47" s="617"/>
      <c r="J47" s="618"/>
    </row>
    <row r="48" spans="1:10" ht="24.95" customHeight="1">
      <c r="A48" s="217"/>
      <c r="B48" s="214"/>
      <c r="C48" s="215">
        <f t="shared" si="0"/>
        <v>45725.777777777774</v>
      </c>
      <c r="D48" s="636">
        <v>500</v>
      </c>
      <c r="E48" s="629"/>
      <c r="F48" s="216">
        <f>StepTest!F48</f>
        <v>310.62</v>
      </c>
      <c r="G48" s="216">
        <f>StepTest!G48</f>
        <v>299.27</v>
      </c>
      <c r="H48" s="616"/>
      <c r="I48" s="617"/>
      <c r="J48" s="618"/>
    </row>
    <row r="49" spans="1:10" ht="24.95" customHeight="1">
      <c r="A49" s="217"/>
      <c r="B49" s="214"/>
      <c r="C49" s="215">
        <f t="shared" si="0"/>
        <v>45725.784722222219</v>
      </c>
      <c r="D49" s="636">
        <v>510</v>
      </c>
      <c r="E49" s="629"/>
      <c r="F49" s="216">
        <f>StepTest!F49</f>
        <v>322.18</v>
      </c>
      <c r="G49" s="216">
        <f>StepTest!G49</f>
        <v>310.83</v>
      </c>
      <c r="H49" s="616"/>
      <c r="I49" s="617"/>
      <c r="J49" s="618"/>
    </row>
    <row r="50" spans="1:10" ht="24.95" customHeight="1">
      <c r="A50" s="217"/>
      <c r="B50" s="214"/>
      <c r="C50" s="215">
        <f t="shared" si="0"/>
        <v>45725.805555555555</v>
      </c>
      <c r="D50" s="636">
        <v>540</v>
      </c>
      <c r="E50" s="629"/>
      <c r="F50" s="216">
        <f>StepTest!F50</f>
        <v>333.74</v>
      </c>
      <c r="G50" s="216">
        <f>StepTest!G50</f>
        <v>322.39</v>
      </c>
      <c r="H50" s="616"/>
      <c r="I50" s="617"/>
      <c r="J50" s="618"/>
    </row>
    <row r="51" spans="1:10" ht="24.95" customHeight="1">
      <c r="A51" s="218"/>
      <c r="B51" s="219"/>
      <c r="C51" s="220">
        <f t="shared" si="0"/>
        <v>45725.847222222219</v>
      </c>
      <c r="D51" s="664">
        <v>600</v>
      </c>
      <c r="E51" s="665"/>
      <c r="F51" s="221">
        <f>StepTest!F51</f>
        <v>345.3</v>
      </c>
      <c r="G51" s="221">
        <f>StepTest!G51</f>
        <v>333.95</v>
      </c>
      <c r="H51" s="658"/>
      <c r="I51" s="659"/>
      <c r="J51" s="660"/>
    </row>
    <row r="52" spans="1:10" ht="24.95" customHeight="1">
      <c r="A52" s="238"/>
      <c r="B52" s="246"/>
      <c r="C52" s="246"/>
      <c r="D52" s="650"/>
      <c r="E52" s="656"/>
      <c r="F52" s="246"/>
      <c r="G52" s="246"/>
      <c r="H52" s="650"/>
      <c r="I52" s="651"/>
      <c r="J52" s="652"/>
    </row>
    <row r="53" spans="1:10" ht="24.95" customHeight="1">
      <c r="A53" s="238"/>
      <c r="B53" s="246"/>
      <c r="C53" s="246"/>
      <c r="D53" s="650"/>
      <c r="E53" s="656"/>
      <c r="F53" s="246"/>
      <c r="G53" s="246"/>
      <c r="H53" s="650"/>
      <c r="I53" s="651"/>
      <c r="J53" s="652"/>
    </row>
    <row r="54" spans="1:10" ht="24.95" customHeight="1">
      <c r="A54" s="238"/>
      <c r="B54" s="246"/>
      <c r="C54" s="246"/>
      <c r="D54" s="650"/>
      <c r="E54" s="656"/>
      <c r="F54" s="246"/>
      <c r="G54" s="246"/>
      <c r="H54" s="650"/>
      <c r="I54" s="651"/>
      <c r="J54" s="652"/>
    </row>
    <row r="55" spans="1:10" ht="24.95" customHeight="1">
      <c r="A55" s="238"/>
      <c r="B55" s="246"/>
      <c r="C55" s="246"/>
      <c r="D55" s="650"/>
      <c r="E55" s="656"/>
      <c r="F55" s="246"/>
      <c r="G55" s="246"/>
      <c r="H55" s="650"/>
      <c r="I55" s="651"/>
      <c r="J55" s="652"/>
    </row>
    <row r="56" spans="1:10" ht="24.95" customHeight="1">
      <c r="A56" s="238"/>
      <c r="B56" s="246"/>
      <c r="C56" s="246"/>
      <c r="D56" s="650"/>
      <c r="E56" s="656"/>
      <c r="F56" s="246"/>
      <c r="G56" s="246"/>
      <c r="H56" s="650"/>
      <c r="I56" s="651"/>
      <c r="J56" s="652"/>
    </row>
    <row r="57" spans="1:10" ht="24.95" customHeight="1" thickBot="1">
      <c r="A57" s="242"/>
      <c r="B57" s="247"/>
      <c r="C57" s="247"/>
      <c r="D57" s="653"/>
      <c r="E57" s="657"/>
      <c r="F57" s="247"/>
      <c r="G57" s="247"/>
      <c r="H57" s="653"/>
      <c r="I57" s="654"/>
      <c r="J57" s="65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36" zoomScaleNormal="130" zoomScaleSheetLayoutView="100" workbookViewId="0">
      <selection activeCell="M46" sqref="M4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47" t="s">
        <v>316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3" t="s">
        <v>292</v>
      </c>
      <c r="B2" s="624"/>
      <c r="C2" s="625" t="str">
        <f>LongTest!C2</f>
        <v>예산군 마전 등 5지구 농업용관정 지하수영향조사 용역</v>
      </c>
      <c r="D2" s="626"/>
      <c r="E2" s="626"/>
      <c r="F2" s="626"/>
      <c r="G2" s="626"/>
      <c r="H2" s="626"/>
      <c r="I2" s="626"/>
      <c r="J2" s="627"/>
    </row>
    <row r="3" spans="1:10" ht="24.95" customHeight="1">
      <c r="A3" s="628" t="s">
        <v>293</v>
      </c>
      <c r="B3" s="629"/>
      <c r="C3" s="633" t="str">
        <f>LongTest!C4</f>
        <v>충청남도 예산군 대술면 마전리 820번지</v>
      </c>
      <c r="D3" s="634"/>
      <c r="E3" s="634"/>
      <c r="F3" s="634"/>
      <c r="G3" s="634"/>
      <c r="H3" s="635"/>
      <c r="I3" s="209" t="str">
        <f>Input!I54</f>
        <v>W-1</v>
      </c>
      <c r="J3" s="210" t="s">
        <v>319</v>
      </c>
    </row>
    <row r="4" spans="1:10" ht="24.95" customHeight="1">
      <c r="A4" s="628" t="s">
        <v>294</v>
      </c>
      <c r="B4" s="629"/>
      <c r="C4" s="630">
        <f>LongTest!C10</f>
        <v>45726.430555555555</v>
      </c>
      <c r="D4" s="631"/>
      <c r="E4" s="631"/>
      <c r="F4" s="631"/>
      <c r="G4" s="631"/>
      <c r="H4" s="631"/>
      <c r="I4" s="631"/>
      <c r="J4" s="632"/>
    </row>
    <row r="5" spans="1:10" ht="24.95" customHeight="1">
      <c r="A5" s="628" t="s">
        <v>295</v>
      </c>
      <c r="B5" s="629"/>
      <c r="C5" s="630">
        <f>LongTest!C77</f>
        <v>45728.430555555555</v>
      </c>
      <c r="D5" s="631"/>
      <c r="E5" s="631"/>
      <c r="F5" s="631"/>
      <c r="G5" s="631"/>
      <c r="H5" s="631"/>
      <c r="I5" s="631"/>
      <c r="J5" s="632"/>
    </row>
    <row r="6" spans="1:10" ht="24.95" customHeight="1">
      <c r="A6" s="628" t="s">
        <v>291</v>
      </c>
      <c r="B6" s="629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8" t="s">
        <v>296</v>
      </c>
      <c r="B7" s="629"/>
      <c r="C7" s="636" t="s">
        <v>323</v>
      </c>
      <c r="D7" s="629"/>
      <c r="E7" s="211">
        <f>LongTest!C6</f>
        <v>7.5</v>
      </c>
      <c r="F7" s="211" t="s">
        <v>297</v>
      </c>
      <c r="G7" s="211" t="s">
        <v>325</v>
      </c>
      <c r="H7" s="636">
        <f>Input!I50</f>
        <v>48</v>
      </c>
      <c r="I7" s="629"/>
      <c r="J7" s="212" t="s">
        <v>298</v>
      </c>
    </row>
    <row r="8" spans="1:10" ht="24.95" customHeight="1">
      <c r="A8" s="628" t="s">
        <v>299</v>
      </c>
      <c r="B8" s="629"/>
      <c r="C8" s="636" t="s">
        <v>324</v>
      </c>
      <c r="D8" s="629"/>
      <c r="E8" s="211">
        <f>LongTest!D7</f>
        <v>250</v>
      </c>
      <c r="F8" s="211" t="s">
        <v>300</v>
      </c>
      <c r="G8" s="211" t="s">
        <v>301</v>
      </c>
      <c r="H8" s="636">
        <f>LongTest!G7</f>
        <v>158</v>
      </c>
      <c r="I8" s="629"/>
      <c r="J8" s="212" t="s">
        <v>298</v>
      </c>
    </row>
    <row r="9" spans="1:10" ht="24.95" customHeight="1">
      <c r="A9" s="628" t="s">
        <v>302</v>
      </c>
      <c r="B9" s="629"/>
      <c r="C9" s="636" t="s">
        <v>322</v>
      </c>
      <c r="D9" s="629"/>
      <c r="E9" s="211">
        <f>LongTest!D8</f>
        <v>11.35</v>
      </c>
      <c r="F9" s="211" t="s">
        <v>298</v>
      </c>
      <c r="G9" s="211" t="s">
        <v>303</v>
      </c>
      <c r="H9" s="636">
        <f>LongTest!G8</f>
        <v>38.200000000000003</v>
      </c>
      <c r="I9" s="629"/>
      <c r="J9" s="212" t="s">
        <v>298</v>
      </c>
    </row>
    <row r="10" spans="1:10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0">
        <v>1</v>
      </c>
      <c r="E12" s="640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0">
        <v>2</v>
      </c>
      <c r="E13" s="640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0">
        <v>3</v>
      </c>
      <c r="E14" s="640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0">
        <v>4</v>
      </c>
      <c r="E15" s="640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0">
        <v>5</v>
      </c>
      <c r="E16" s="640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0">
        <v>10</v>
      </c>
      <c r="E17" s="640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0">
        <v>15</v>
      </c>
      <c r="E18" s="640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0">
        <v>20</v>
      </c>
      <c r="E19" s="640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0">
        <v>25</v>
      </c>
      <c r="E20" s="640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0">
        <v>30</v>
      </c>
      <c r="E21" s="640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0">
        <v>35</v>
      </c>
      <c r="E22" s="640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0">
        <v>40</v>
      </c>
      <c r="E23" s="640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0">
        <v>45</v>
      </c>
      <c r="E24" s="640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0">
        <v>50</v>
      </c>
      <c r="E25" s="640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0">
        <v>55</v>
      </c>
      <c r="E26" s="640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0">
        <v>60</v>
      </c>
      <c r="E27" s="640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0">
        <v>75</v>
      </c>
      <c r="E28" s="640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0">
        <v>90</v>
      </c>
      <c r="E29" s="640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0">
        <v>105</v>
      </c>
      <c r="E30" s="640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0">
        <v>120</v>
      </c>
      <c r="E31" s="640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0">
        <v>140</v>
      </c>
      <c r="E32" s="640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0">
        <v>160</v>
      </c>
      <c r="E33" s="640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0">
        <v>180</v>
      </c>
      <c r="E34" s="640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0">
        <v>240</v>
      </c>
      <c r="E35" s="640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0">
        <v>300</v>
      </c>
      <c r="E36" s="640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0">
        <v>360</v>
      </c>
      <c r="E37" s="640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0">
        <v>420</v>
      </c>
      <c r="E38" s="640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0">
        <v>480</v>
      </c>
      <c r="E39" s="640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0">
        <v>540</v>
      </c>
      <c r="E40" s="640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0">
        <v>600</v>
      </c>
      <c r="E41" s="640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0">
        <v>660</v>
      </c>
      <c r="E42" s="640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0">
        <v>720</v>
      </c>
      <c r="E43" s="640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0">
        <v>780</v>
      </c>
      <c r="E44" s="640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0">
        <v>840</v>
      </c>
      <c r="E45" s="640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0">
        <v>900</v>
      </c>
      <c r="E46" s="640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0">
        <v>960</v>
      </c>
      <c r="E47" s="640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0">
        <v>1020</v>
      </c>
      <c r="E48" s="640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0">
        <v>1080</v>
      </c>
      <c r="E49" s="640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0">
        <v>1140</v>
      </c>
      <c r="E50" s="640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0">
        <v>1200</v>
      </c>
      <c r="E51" s="640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0">
        <v>1260</v>
      </c>
      <c r="E52" s="640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0">
        <v>1320</v>
      </c>
      <c r="E53" s="640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0">
        <v>1380</v>
      </c>
      <c r="E54" s="640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0">
        <v>1440</v>
      </c>
      <c r="E55" s="640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6">
        <v>1500</v>
      </c>
      <c r="E56" s="643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6">
        <v>1560</v>
      </c>
      <c r="E57" s="643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6">
        <v>1620</v>
      </c>
      <c r="E58" s="643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6">
        <v>1680</v>
      </c>
      <c r="E59" s="643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6">
        <v>1740</v>
      </c>
      <c r="E60" s="643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6">
        <v>1800</v>
      </c>
      <c r="E61" s="643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6">
        <v>1860</v>
      </c>
      <c r="E62" s="643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6">
        <v>1920</v>
      </c>
      <c r="E63" s="643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6">
        <v>1980</v>
      </c>
      <c r="E64" s="643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6">
        <v>2040</v>
      </c>
      <c r="E65" s="643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6">
        <v>2100</v>
      </c>
      <c r="E66" s="643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6">
        <v>2160</v>
      </c>
      <c r="E67" s="643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6">
        <v>2220</v>
      </c>
      <c r="E68" s="643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6">
        <v>2280</v>
      </c>
      <c r="E69" s="643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6">
        <v>2340</v>
      </c>
      <c r="E70" s="643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6">
        <v>2400</v>
      </c>
      <c r="E71" s="643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6">
        <v>2460</v>
      </c>
      <c r="E72" s="643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6">
        <v>2520</v>
      </c>
      <c r="E73" s="643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6">
        <v>2580</v>
      </c>
      <c r="E74" s="643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6">
        <v>2640</v>
      </c>
      <c r="E75" s="643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6">
        <v>2700</v>
      </c>
      <c r="E76" s="643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6">
        <v>2760</v>
      </c>
      <c r="E77" s="643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6">
        <v>2820</v>
      </c>
      <c r="E78" s="643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58">
        <v>2880</v>
      </c>
      <c r="E79" s="669"/>
      <c r="F79" s="221">
        <f>LongTest!F77</f>
        <v>38.200000000000003</v>
      </c>
      <c r="G79" s="240">
        <f>LongTest!G77</f>
        <v>26.85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66" t="s">
        <v>321</v>
      </c>
      <c r="B80" s="667"/>
      <c r="C80" s="667"/>
      <c r="D80" s="667"/>
      <c r="E80" s="667"/>
      <c r="F80" s="667"/>
      <c r="G80" s="667"/>
      <c r="H80" s="667"/>
      <c r="I80" s="667"/>
      <c r="J80" s="66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7" t="s">
        <v>327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3" t="s">
        <v>292</v>
      </c>
      <c r="B2" s="624"/>
      <c r="C2" s="625" t="str">
        <f>LongTest!C2</f>
        <v>예산군 마전 등 5지구 농업용관정 지하수영향조사 용역</v>
      </c>
      <c r="D2" s="626"/>
      <c r="E2" s="626"/>
      <c r="F2" s="626"/>
      <c r="G2" s="626"/>
      <c r="H2" s="626"/>
      <c r="I2" s="626"/>
      <c r="J2" s="627"/>
    </row>
    <row r="3" spans="1:10" ht="24.95" customHeight="1">
      <c r="A3" s="628" t="s">
        <v>293</v>
      </c>
      <c r="B3" s="629"/>
      <c r="C3" s="633" t="str">
        <f>LongTest!C4</f>
        <v>충청남도 예산군 대술면 마전리 820번지</v>
      </c>
      <c r="D3" s="634"/>
      <c r="E3" s="634"/>
      <c r="F3" s="634"/>
      <c r="G3" s="634"/>
      <c r="H3" s="635"/>
      <c r="I3" s="209" t="str">
        <f>Input!I54</f>
        <v>W-1</v>
      </c>
      <c r="J3" s="210" t="s">
        <v>319</v>
      </c>
    </row>
    <row r="4" spans="1:10" ht="24.95" customHeight="1">
      <c r="A4" s="628" t="s">
        <v>350</v>
      </c>
      <c r="B4" s="629"/>
      <c r="C4" s="630">
        <f>장기28!C5</f>
        <v>45728.430555555555</v>
      </c>
      <c r="D4" s="631"/>
      <c r="E4" s="631"/>
      <c r="F4" s="631"/>
      <c r="G4" s="631"/>
      <c r="H4" s="631"/>
      <c r="I4" s="631"/>
      <c r="J4" s="632"/>
    </row>
    <row r="5" spans="1:10" ht="24.95" customHeight="1">
      <c r="A5" s="628" t="s">
        <v>349</v>
      </c>
      <c r="B5" s="629"/>
      <c r="C5" s="630">
        <f>LongTest!C101</f>
        <v>45728.680555555555</v>
      </c>
      <c r="D5" s="631"/>
      <c r="E5" s="631"/>
      <c r="F5" s="631"/>
      <c r="G5" s="631"/>
      <c r="H5" s="631"/>
      <c r="I5" s="631"/>
      <c r="J5" s="632"/>
    </row>
    <row r="6" spans="1:10" ht="24.95" customHeight="1">
      <c r="A6" s="628" t="s">
        <v>291</v>
      </c>
      <c r="B6" s="629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8" t="s">
        <v>296</v>
      </c>
      <c r="B7" s="629"/>
      <c r="C7" s="636" t="s">
        <v>323</v>
      </c>
      <c r="D7" s="629"/>
      <c r="E7" s="211">
        <f>LongTest!C6</f>
        <v>7.5</v>
      </c>
      <c r="F7" s="211" t="s">
        <v>297</v>
      </c>
      <c r="G7" s="211" t="s">
        <v>325</v>
      </c>
      <c r="H7" s="636">
        <f>Input!I50</f>
        <v>48</v>
      </c>
      <c r="I7" s="629"/>
      <c r="J7" s="212" t="s">
        <v>298</v>
      </c>
    </row>
    <row r="8" spans="1:10" ht="24.95" customHeight="1">
      <c r="A8" s="628" t="s">
        <v>299</v>
      </c>
      <c r="B8" s="629"/>
      <c r="C8" s="636" t="s">
        <v>324</v>
      </c>
      <c r="D8" s="629"/>
      <c r="E8" s="211">
        <f>LongTest!D7</f>
        <v>250</v>
      </c>
      <c r="F8" s="211" t="s">
        <v>300</v>
      </c>
      <c r="G8" s="211" t="s">
        <v>301</v>
      </c>
      <c r="H8" s="636">
        <f>LongTest!G7</f>
        <v>158</v>
      </c>
      <c r="I8" s="629"/>
      <c r="J8" s="212" t="s">
        <v>298</v>
      </c>
    </row>
    <row r="9" spans="1:10" ht="24.95" customHeight="1">
      <c r="A9" s="628" t="s">
        <v>302</v>
      </c>
      <c r="B9" s="629"/>
      <c r="C9" s="636" t="s">
        <v>322</v>
      </c>
      <c r="D9" s="629"/>
      <c r="E9" s="211">
        <f>LongTest!D8</f>
        <v>11.35</v>
      </c>
      <c r="F9" s="211" t="s">
        <v>298</v>
      </c>
      <c r="G9" s="211" t="s">
        <v>303</v>
      </c>
      <c r="H9" s="636">
        <f>LongTest!G8</f>
        <v>38.200000000000003</v>
      </c>
      <c r="I9" s="629"/>
      <c r="J9" s="212" t="s">
        <v>298</v>
      </c>
    </row>
    <row r="10" spans="1:10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16">
        <v>1</v>
      </c>
      <c r="E12" s="643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16">
        <v>2</v>
      </c>
      <c r="E13" s="643"/>
      <c r="F13" s="216">
        <f>LongTest!F79</f>
        <v>26.69700945681798</v>
      </c>
      <c r="G13" s="216">
        <f>LongTest!G79</f>
        <v>15.347009456817981</v>
      </c>
      <c r="H13" s="616"/>
      <c r="I13" s="617"/>
      <c r="J13" s="618"/>
    </row>
    <row r="14" spans="1:10" ht="24.95" customHeight="1">
      <c r="A14" s="238"/>
      <c r="B14" s="215"/>
      <c r="C14" s="215">
        <f t="shared" si="0"/>
        <v>45728.432638888888</v>
      </c>
      <c r="D14" s="616">
        <v>3</v>
      </c>
      <c r="E14" s="643"/>
      <c r="F14" s="216">
        <f>LongTest!F80</f>
        <v>25.254501779955085</v>
      </c>
      <c r="G14" s="216">
        <f>LongTest!G80</f>
        <v>13.904501779955083</v>
      </c>
      <c r="H14" s="616"/>
      <c r="I14" s="617"/>
      <c r="J14" s="618"/>
    </row>
    <row r="15" spans="1:10" ht="24.95" customHeight="1">
      <c r="A15" s="238"/>
      <c r="B15" s="215"/>
      <c r="C15" s="215">
        <f t="shared" si="0"/>
        <v>45728.433333333334</v>
      </c>
      <c r="D15" s="616">
        <v>4</v>
      </c>
      <c r="E15" s="643"/>
      <c r="F15" s="216">
        <f>LongTest!F81</f>
        <v>23.94757937158786</v>
      </c>
      <c r="G15" s="216">
        <f>LongTest!G81</f>
        <v>12.597579371587861</v>
      </c>
      <c r="H15" s="616"/>
      <c r="I15" s="617"/>
      <c r="J15" s="618"/>
    </row>
    <row r="16" spans="1:10" ht="24.95" customHeight="1">
      <c r="A16" s="238"/>
      <c r="B16" s="215"/>
      <c r="C16" s="215">
        <f t="shared" si="0"/>
        <v>45728.434027777774</v>
      </c>
      <c r="D16" s="616">
        <v>5</v>
      </c>
      <c r="E16" s="643"/>
      <c r="F16" s="216">
        <f>LongTest!F82</f>
        <v>22.763498198996139</v>
      </c>
      <c r="G16" s="216">
        <f>LongTest!G82</f>
        <v>11.413498198996141</v>
      </c>
      <c r="H16" s="616"/>
      <c r="I16" s="617"/>
      <c r="J16" s="618"/>
    </row>
    <row r="17" spans="1:10" ht="24.95" customHeight="1">
      <c r="A17" s="238"/>
      <c r="B17" s="215"/>
      <c r="C17" s="215">
        <f t="shared" si="0"/>
        <v>45728.4375</v>
      </c>
      <c r="D17" s="616">
        <v>10</v>
      </c>
      <c r="E17" s="643"/>
      <c r="F17" s="216">
        <f>LongTest!F83</f>
        <v>19.838164518633043</v>
      </c>
      <c r="G17" s="216">
        <f>LongTest!G83</f>
        <v>8.4881645186330434</v>
      </c>
      <c r="H17" s="616"/>
      <c r="I17" s="617"/>
      <c r="J17" s="618"/>
    </row>
    <row r="18" spans="1:10" ht="24.95" customHeight="1">
      <c r="A18" s="238"/>
      <c r="B18" s="215"/>
      <c r="C18" s="215">
        <f t="shared" si="0"/>
        <v>45728.440972222219</v>
      </c>
      <c r="D18" s="616">
        <v>15</v>
      </c>
      <c r="E18" s="643"/>
      <c r="F18" s="216">
        <f>LongTest!F84</f>
        <v>19.297579899788193</v>
      </c>
      <c r="G18" s="216">
        <f>LongTest!G84</f>
        <v>7.9475798997881943</v>
      </c>
      <c r="H18" s="616"/>
      <c r="I18" s="617"/>
      <c r="J18" s="618"/>
    </row>
    <row r="19" spans="1:10" ht="24.95" customHeight="1">
      <c r="A19" s="238"/>
      <c r="B19" s="215"/>
      <c r="C19" s="215">
        <f t="shared" si="0"/>
        <v>45728.444444444445</v>
      </c>
      <c r="D19" s="616">
        <v>20</v>
      </c>
      <c r="E19" s="643"/>
      <c r="F19" s="216">
        <f>LongTest!F85</f>
        <v>17.87376405196904</v>
      </c>
      <c r="G19" s="216">
        <f>LongTest!G85</f>
        <v>6.5237640519690405</v>
      </c>
      <c r="H19" s="616"/>
      <c r="I19" s="617"/>
      <c r="J19" s="618"/>
    </row>
    <row r="20" spans="1:10" ht="24.95" customHeight="1">
      <c r="A20" s="238"/>
      <c r="B20" s="215"/>
      <c r="C20" s="215">
        <f t="shared" si="0"/>
        <v>45728.447916666664</v>
      </c>
      <c r="D20" s="616">
        <v>25</v>
      </c>
      <c r="E20" s="643"/>
      <c r="F20" s="216">
        <f>LongTest!F86</f>
        <v>17.260577505529085</v>
      </c>
      <c r="G20" s="216">
        <f>LongTest!G86</f>
        <v>5.9105775055290843</v>
      </c>
      <c r="H20" s="616"/>
      <c r="I20" s="617"/>
      <c r="J20" s="618"/>
    </row>
    <row r="21" spans="1:10" ht="24.95" customHeight="1">
      <c r="A21" s="238"/>
      <c r="B21" s="215"/>
      <c r="C21" s="215">
        <f t="shared" si="0"/>
        <v>45728.451388888891</v>
      </c>
      <c r="D21" s="616">
        <v>30</v>
      </c>
      <c r="E21" s="643"/>
      <c r="F21" s="216">
        <f>LongTest!F87</f>
        <v>16.705026050999216</v>
      </c>
      <c r="G21" s="216">
        <f>LongTest!G87</f>
        <v>5.355026050999216</v>
      </c>
      <c r="H21" s="616"/>
      <c r="I21" s="617"/>
      <c r="J21" s="618"/>
    </row>
    <row r="22" spans="1:10" ht="24.95" customHeight="1">
      <c r="A22" s="238"/>
      <c r="B22" s="215"/>
      <c r="C22" s="215">
        <f t="shared" si="0"/>
        <v>45728.454861111109</v>
      </c>
      <c r="D22" s="616">
        <v>35</v>
      </c>
      <c r="E22" s="643"/>
      <c r="F22" s="216">
        <f>LongTest!F88</f>
        <v>16.531698563212647</v>
      </c>
      <c r="G22" s="216">
        <f>LongTest!G88</f>
        <v>5.1816985632126462</v>
      </c>
      <c r="H22" s="616"/>
      <c r="I22" s="617"/>
      <c r="J22" s="618"/>
    </row>
    <row r="23" spans="1:10" ht="24.95" customHeight="1">
      <c r="A23" s="238"/>
      <c r="B23" s="215"/>
      <c r="C23" s="215">
        <f t="shared" si="0"/>
        <v>45728.458333333336</v>
      </c>
      <c r="D23" s="616">
        <v>40</v>
      </c>
      <c r="E23" s="643"/>
      <c r="F23" s="216">
        <f>LongTest!F89</f>
        <v>16.363981210229582</v>
      </c>
      <c r="G23" s="216">
        <f>LongTest!G89</f>
        <v>5.0139812102295833</v>
      </c>
      <c r="H23" s="616"/>
      <c r="I23" s="617"/>
      <c r="J23" s="618"/>
    </row>
    <row r="24" spans="1:10" ht="24.95" customHeight="1">
      <c r="A24" s="238"/>
      <c r="B24" s="215"/>
      <c r="C24" s="215">
        <f t="shared" si="0"/>
        <v>45728.461805555555</v>
      </c>
      <c r="D24" s="616">
        <v>45</v>
      </c>
      <c r="E24" s="643"/>
      <c r="F24" s="216">
        <f>LongTest!F90</f>
        <v>16.201692407392482</v>
      </c>
      <c r="G24" s="216">
        <f>LongTest!G90</f>
        <v>4.8516924073924814</v>
      </c>
      <c r="H24" s="616"/>
      <c r="I24" s="617"/>
      <c r="J24" s="618"/>
    </row>
    <row r="25" spans="1:10" ht="24.95" customHeight="1">
      <c r="A25" s="238"/>
      <c r="B25" s="215"/>
      <c r="C25" s="215">
        <f t="shared" si="0"/>
        <v>45728.465277777774</v>
      </c>
      <c r="D25" s="616">
        <v>50</v>
      </c>
      <c r="E25" s="643"/>
      <c r="F25" s="216">
        <f>LongTest!F91</f>
        <v>16.044656447440502</v>
      </c>
      <c r="G25" s="216">
        <f>LongTest!G91</f>
        <v>4.6946564474405026</v>
      </c>
      <c r="H25" s="616"/>
      <c r="I25" s="617"/>
      <c r="J25" s="618"/>
    </row>
    <row r="26" spans="1:10" ht="24.95" customHeight="1">
      <c r="A26" s="238"/>
      <c r="B26" s="215"/>
      <c r="C26" s="215">
        <f t="shared" si="0"/>
        <v>45728.46875</v>
      </c>
      <c r="D26" s="616">
        <v>55</v>
      </c>
      <c r="E26" s="643"/>
      <c r="F26" s="216">
        <f>LongTest!F92</f>
        <v>15.892703310274335</v>
      </c>
      <c r="G26" s="216">
        <f>LongTest!G92</f>
        <v>4.5427033102743355</v>
      </c>
      <c r="H26" s="616"/>
      <c r="I26" s="617"/>
      <c r="J26" s="618"/>
    </row>
    <row r="27" spans="1:10" ht="24.95" customHeight="1">
      <c r="A27" s="238"/>
      <c r="B27" s="215"/>
      <c r="C27" s="215">
        <f t="shared" si="0"/>
        <v>45728.472222222219</v>
      </c>
      <c r="D27" s="616">
        <v>60</v>
      </c>
      <c r="E27" s="643"/>
      <c r="F27" s="216">
        <f>LongTest!F93</f>
        <v>15.745668478878386</v>
      </c>
      <c r="G27" s="216">
        <f>LongTest!G93</f>
        <v>4.3956684788783873</v>
      </c>
      <c r="H27" s="616"/>
      <c r="I27" s="617"/>
      <c r="J27" s="618"/>
    </row>
    <row r="28" spans="1:10" ht="24.95" customHeight="1">
      <c r="A28" s="238"/>
      <c r="B28" s="215"/>
      <c r="C28" s="215">
        <f t="shared" si="0"/>
        <v>45728.482638888891</v>
      </c>
      <c r="D28" s="616">
        <v>75</v>
      </c>
      <c r="E28" s="643"/>
      <c r="F28" s="216">
        <f>LongTest!F94</f>
        <v>15.603392761201077</v>
      </c>
      <c r="G28" s="216">
        <f>LongTest!G94</f>
        <v>4.2533927612010771</v>
      </c>
      <c r="H28" s="616"/>
      <c r="I28" s="617"/>
      <c r="J28" s="618"/>
    </row>
    <row r="29" spans="1:10" ht="24.95" customHeight="1">
      <c r="A29" s="238"/>
      <c r="B29" s="215"/>
      <c r="C29" s="215">
        <f t="shared" si="0"/>
        <v>45728.493055555555</v>
      </c>
      <c r="D29" s="616">
        <v>90</v>
      </c>
      <c r="E29" s="643"/>
      <c r="F29" s="216">
        <f>LongTest!F95</f>
        <v>15.465722117800379</v>
      </c>
      <c r="G29" s="216">
        <f>LongTest!G95</f>
        <v>4.1157221178003791</v>
      </c>
      <c r="H29" s="616"/>
      <c r="I29" s="617"/>
      <c r="J29" s="618"/>
    </row>
    <row r="30" spans="1:10" ht="24.95" customHeight="1">
      <c r="A30" s="238"/>
      <c r="B30" s="215"/>
      <c r="C30" s="215">
        <f t="shared" si="0"/>
        <v>45728.503472222219</v>
      </c>
      <c r="D30" s="616">
        <v>105</v>
      </c>
      <c r="E30" s="643"/>
      <c r="F30" s="216">
        <f>LongTest!F96</f>
        <v>15.332507495067992</v>
      </c>
      <c r="G30" s="216">
        <f>LongTest!G96</f>
        <v>3.982507495067992</v>
      </c>
      <c r="H30" s="616"/>
      <c r="I30" s="617"/>
      <c r="J30" s="618"/>
    </row>
    <row r="31" spans="1:10" ht="24.95" customHeight="1">
      <c r="A31" s="238"/>
      <c r="B31" s="215"/>
      <c r="C31" s="215">
        <f t="shared" si="0"/>
        <v>45728.513888888891</v>
      </c>
      <c r="D31" s="616">
        <v>120</v>
      </c>
      <c r="E31" s="643"/>
      <c r="F31" s="216">
        <f>LongTest!F97</f>
        <v>14.958180649765406</v>
      </c>
      <c r="G31" s="216">
        <f>LongTest!G97</f>
        <v>3.6081806497654068</v>
      </c>
      <c r="H31" s="616"/>
      <c r="I31" s="617"/>
      <c r="J31" s="618"/>
    </row>
    <row r="32" spans="1:10" ht="24.95" customHeight="1">
      <c r="A32" s="238"/>
      <c r="B32" s="215"/>
      <c r="C32" s="215">
        <f t="shared" si="0"/>
        <v>45728.555555555555</v>
      </c>
      <c r="D32" s="616">
        <v>180</v>
      </c>
      <c r="E32" s="643"/>
      <c r="F32" s="216">
        <f>LongTest!F98</f>
        <v>14.841393750589209</v>
      </c>
      <c r="G32" s="216">
        <f>LongTest!G98</f>
        <v>3.4913937505892099</v>
      </c>
      <c r="H32" s="616"/>
      <c r="I32" s="617"/>
      <c r="J32" s="618"/>
    </row>
    <row r="33" spans="1:10" ht="24.95" customHeight="1">
      <c r="A33" s="238"/>
      <c r="B33" s="215"/>
      <c r="C33" s="215">
        <f t="shared" si="0"/>
        <v>45728.597222222219</v>
      </c>
      <c r="D33" s="616">
        <v>240</v>
      </c>
      <c r="E33" s="643"/>
      <c r="F33" s="216">
        <f>LongTest!F99</f>
        <v>14.215907525128532</v>
      </c>
      <c r="G33" s="216">
        <f>LongTest!G99</f>
        <v>2.8659075251285322</v>
      </c>
      <c r="H33" s="616"/>
      <c r="I33" s="617"/>
      <c r="J33" s="618"/>
    </row>
    <row r="34" spans="1:10" ht="24.95" customHeight="1">
      <c r="A34" s="238"/>
      <c r="B34" s="215"/>
      <c r="C34" s="215">
        <f t="shared" si="0"/>
        <v>45728.638888888891</v>
      </c>
      <c r="D34" s="616">
        <v>300</v>
      </c>
      <c r="E34" s="643"/>
      <c r="F34" s="216">
        <f>LongTest!F100</f>
        <v>13.702477700689659</v>
      </c>
      <c r="G34" s="216">
        <f>LongTest!G100</f>
        <v>2.3524777006896587</v>
      </c>
      <c r="H34" s="616"/>
      <c r="I34" s="617"/>
      <c r="J34" s="618"/>
    </row>
    <row r="35" spans="1:10" ht="24.95" customHeight="1" thickBot="1">
      <c r="A35" s="242"/>
      <c r="B35" s="243"/>
      <c r="C35" s="243">
        <f t="shared" si="0"/>
        <v>45728.680555555555</v>
      </c>
      <c r="D35" s="619">
        <v>360</v>
      </c>
      <c r="E35" s="644"/>
      <c r="F35" s="244">
        <f>LongTest!F101</f>
        <v>13.281029275619737</v>
      </c>
      <c r="G35" s="244">
        <f>LongTest!G101</f>
        <v>1.9310292756197371</v>
      </c>
      <c r="H35" s="619" t="s">
        <v>320</v>
      </c>
      <c r="I35" s="620"/>
      <c r="J35" s="62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2" zoomScaleNormal="130" zoomScaleSheetLayoutView="100" workbookViewId="0">
      <selection activeCell="M55" sqref="M55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84" t="s">
        <v>316</v>
      </c>
      <c r="B1" s="685"/>
      <c r="C1" s="685"/>
      <c r="D1" s="685"/>
      <c r="E1" s="685"/>
      <c r="F1" s="685"/>
      <c r="G1" s="685"/>
      <c r="H1" s="685"/>
      <c r="I1" s="685"/>
      <c r="J1" s="686"/>
    </row>
    <row r="2" spans="1:10" ht="24.95" customHeight="1">
      <c r="A2" s="687" t="s">
        <v>292</v>
      </c>
      <c r="B2" s="688"/>
      <c r="C2" s="689" t="str">
        <f>LongTest!C2</f>
        <v>예산군 마전 등 5지구 농업용관정 지하수영향조사 용역</v>
      </c>
      <c r="D2" s="690"/>
      <c r="E2" s="690"/>
      <c r="F2" s="690"/>
      <c r="G2" s="690"/>
      <c r="H2" s="690"/>
      <c r="I2" s="690"/>
      <c r="J2" s="691"/>
    </row>
    <row r="3" spans="1:10" ht="24.95" customHeight="1">
      <c r="A3" s="675" t="s">
        <v>293</v>
      </c>
      <c r="B3" s="676"/>
      <c r="C3" s="692" t="str">
        <f>LongTest!C4</f>
        <v>충청남도 예산군 대술면 마전리 820번지</v>
      </c>
      <c r="D3" s="693"/>
      <c r="E3" s="693"/>
      <c r="F3" s="693"/>
      <c r="G3" s="693"/>
      <c r="H3" s="694"/>
      <c r="I3" s="223" t="str">
        <f>Input!I54</f>
        <v>W-1</v>
      </c>
      <c r="J3" s="224" t="s">
        <v>319</v>
      </c>
    </row>
    <row r="4" spans="1:10" ht="24.95" customHeight="1">
      <c r="A4" s="675" t="s">
        <v>294</v>
      </c>
      <c r="B4" s="676"/>
      <c r="C4" s="678">
        <f>LongTest!C10</f>
        <v>45726.430555555555</v>
      </c>
      <c r="D4" s="679"/>
      <c r="E4" s="679"/>
      <c r="F4" s="679"/>
      <c r="G4" s="679"/>
      <c r="H4" s="679"/>
      <c r="I4" s="679"/>
      <c r="J4" s="680"/>
    </row>
    <row r="5" spans="1:10" ht="24.95" customHeight="1">
      <c r="A5" s="675" t="s">
        <v>295</v>
      </c>
      <c r="B5" s="676"/>
      <c r="C5" s="678">
        <f>C55</f>
        <v>45727.430555555555</v>
      </c>
      <c r="D5" s="679"/>
      <c r="E5" s="679"/>
      <c r="F5" s="679"/>
      <c r="G5" s="679"/>
      <c r="H5" s="679"/>
      <c r="I5" s="679"/>
      <c r="J5" s="680"/>
    </row>
    <row r="6" spans="1:10" ht="24.95" customHeight="1">
      <c r="A6" s="675" t="s">
        <v>291</v>
      </c>
      <c r="B6" s="676"/>
      <c r="C6" s="681" t="str">
        <f>LongTest!C5</f>
        <v>다다건설(주)</v>
      </c>
      <c r="D6" s="682"/>
      <c r="E6" s="682"/>
      <c r="F6" s="682"/>
      <c r="G6" s="682"/>
      <c r="H6" s="682"/>
      <c r="I6" s="682"/>
      <c r="J6" s="683"/>
    </row>
    <row r="7" spans="1:10" ht="24.95" customHeight="1">
      <c r="A7" s="675" t="s">
        <v>296</v>
      </c>
      <c r="B7" s="676"/>
      <c r="C7" s="677" t="s">
        <v>323</v>
      </c>
      <c r="D7" s="676"/>
      <c r="E7" s="225">
        <f>LongTest!C6</f>
        <v>7.5</v>
      </c>
      <c r="F7" s="225" t="s">
        <v>297</v>
      </c>
      <c r="G7" s="225" t="s">
        <v>325</v>
      </c>
      <c r="H7" s="677">
        <f>Input!I50</f>
        <v>48</v>
      </c>
      <c r="I7" s="676"/>
      <c r="J7" s="226" t="s">
        <v>298</v>
      </c>
    </row>
    <row r="8" spans="1:10" ht="24.95" customHeight="1">
      <c r="A8" s="675" t="s">
        <v>299</v>
      </c>
      <c r="B8" s="676"/>
      <c r="C8" s="677" t="s">
        <v>324</v>
      </c>
      <c r="D8" s="676"/>
      <c r="E8" s="225">
        <f>LongTest!D7</f>
        <v>250</v>
      </c>
      <c r="F8" s="225" t="s">
        <v>300</v>
      </c>
      <c r="G8" s="225" t="s">
        <v>301</v>
      </c>
      <c r="H8" s="677">
        <f>LongTest!G7</f>
        <v>158</v>
      </c>
      <c r="I8" s="676"/>
      <c r="J8" s="226" t="s">
        <v>298</v>
      </c>
    </row>
    <row r="9" spans="1:10" ht="24.95" customHeight="1">
      <c r="A9" s="675" t="s">
        <v>302</v>
      </c>
      <c r="B9" s="676"/>
      <c r="C9" s="677" t="s">
        <v>322</v>
      </c>
      <c r="D9" s="676"/>
      <c r="E9" s="225">
        <f>LongTest!D8</f>
        <v>11.35</v>
      </c>
      <c r="F9" s="225" t="s">
        <v>298</v>
      </c>
      <c r="G9" s="225" t="s">
        <v>303</v>
      </c>
      <c r="H9" s="677">
        <f>LongTest!G8</f>
        <v>38.200000000000003</v>
      </c>
      <c r="I9" s="676"/>
      <c r="J9" s="226" t="s">
        <v>298</v>
      </c>
    </row>
    <row r="10" spans="1:10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42">
        <v>1</v>
      </c>
      <c r="E12" s="642"/>
      <c r="F12" s="229">
        <f>LongTest!F10</f>
        <v>14.173807548879624</v>
      </c>
      <c r="G12" s="229">
        <f>LongTest!G10</f>
        <v>2.8238075488796248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42">
        <v>2</v>
      </c>
      <c r="E13" s="642"/>
      <c r="F13" s="229">
        <f>LongTest!F11</f>
        <v>16.820792297465545</v>
      </c>
      <c r="G13" s="229">
        <f>LongTest!G11</f>
        <v>5.4707922974655432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42">
        <v>3</v>
      </c>
      <c r="E14" s="642"/>
      <c r="F14" s="229">
        <f>LongTest!F12</f>
        <v>18.369179115369128</v>
      </c>
      <c r="G14" s="229">
        <f>LongTest!G12</f>
        <v>7.019179115369127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42">
        <v>4</v>
      </c>
      <c r="E15" s="642"/>
      <c r="F15" s="229">
        <f>LongTest!F13</f>
        <v>19.467777046051467</v>
      </c>
      <c r="G15" s="229">
        <f>LongTest!G13</f>
        <v>8.1177770460514687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42">
        <v>5</v>
      </c>
      <c r="E16" s="642"/>
      <c r="F16" s="229">
        <f>LongTest!F14</f>
        <v>20.319915803359642</v>
      </c>
      <c r="G16" s="229">
        <f>LongTest!G14</f>
        <v>8.9699158033596404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42">
        <v>10</v>
      </c>
      <c r="E17" s="642"/>
      <c r="F17" s="229">
        <f>LongTest!F15</f>
        <v>22.966900551945564</v>
      </c>
      <c r="G17" s="229">
        <f>LongTest!G15</f>
        <v>11.616900551945562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42">
        <v>15</v>
      </c>
      <c r="E18" s="642"/>
      <c r="F18" s="229">
        <f>LongTest!F16</f>
        <v>24.515287369849148</v>
      </c>
      <c r="G18" s="229">
        <f>LongTest!G16</f>
        <v>13.165287369849146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42">
        <v>20</v>
      </c>
      <c r="E19" s="642"/>
      <c r="F19" s="229">
        <f>LongTest!F17</f>
        <v>25.613885300531486</v>
      </c>
      <c r="G19" s="229">
        <f>LongTest!G17</f>
        <v>14.263885300531484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42">
        <v>25</v>
      </c>
      <c r="E20" s="642"/>
      <c r="F20" s="229">
        <f>LongTest!F18</f>
        <v>26.466024057839654</v>
      </c>
      <c r="G20" s="229">
        <f>LongTest!G18</f>
        <v>15.116024057839653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42">
        <v>30</v>
      </c>
      <c r="E21" s="642"/>
      <c r="F21" s="229">
        <f>LongTest!F19</f>
        <v>27.16227211843507</v>
      </c>
      <c r="G21" s="229">
        <f>LongTest!G19</f>
        <v>15.812272118435068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42">
        <v>35</v>
      </c>
      <c r="E22" s="642"/>
      <c r="F22" s="229">
        <f>LongTest!F20</f>
        <v>27.750941465913741</v>
      </c>
      <c r="G22" s="229">
        <f>LongTest!G20</f>
        <v>16.400941465913739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42">
        <v>40</v>
      </c>
      <c r="E23" s="642"/>
      <c r="F23" s="229">
        <f>LongTest!F21</f>
        <v>28.260870049117408</v>
      </c>
      <c r="G23" s="229">
        <f>LongTest!G21</f>
        <v>16.910870049117406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42">
        <v>45</v>
      </c>
      <c r="E24" s="642"/>
      <c r="F24" s="229">
        <f>LongTest!F22</f>
        <v>28.710658936338653</v>
      </c>
      <c r="G24" s="229">
        <f>LongTest!G22</f>
        <v>17.360658936338652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42">
        <v>50</v>
      </c>
      <c r="E25" s="642"/>
      <c r="F25" s="229">
        <f>LongTest!F23</f>
        <v>29.113008806425576</v>
      </c>
      <c r="G25" s="229">
        <f>LongTest!G23</f>
        <v>17.763008806425574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42">
        <v>55</v>
      </c>
      <c r="E26" s="642"/>
      <c r="F26" s="229">
        <f>LongTest!F24</f>
        <v>29.476978536668483</v>
      </c>
      <c r="G26" s="229">
        <f>LongTest!G24</f>
        <v>18.126978536668481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42">
        <v>60</v>
      </c>
      <c r="E27" s="642"/>
      <c r="F27" s="229">
        <f>LongTest!F25</f>
        <v>29.809256867020991</v>
      </c>
      <c r="G27" s="229">
        <f>LongTest!G25</f>
        <v>18.45925686702099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42">
        <v>75</v>
      </c>
      <c r="E28" s="642"/>
      <c r="F28" s="229">
        <f>LongTest!F26</f>
        <v>30.66139562432916</v>
      </c>
      <c r="G28" s="229">
        <f>LongTest!G26</f>
        <v>19.311395624329158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42">
        <v>90</v>
      </c>
      <c r="E29" s="642"/>
      <c r="F29" s="229">
        <f>LongTest!F27</f>
        <v>31.357643684924575</v>
      </c>
      <c r="G29" s="229">
        <f>LongTest!G27</f>
        <v>20.007643684924574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42">
        <v>105</v>
      </c>
      <c r="E30" s="642"/>
      <c r="F30" s="229">
        <f>LongTest!F28</f>
        <v>31.946313032403246</v>
      </c>
      <c r="G30" s="229">
        <f>LongTest!G28</f>
        <v>20.596313032403245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42">
        <v>120</v>
      </c>
      <c r="E31" s="642"/>
      <c r="F31" s="229">
        <f>LongTest!F29</f>
        <v>32.456241615606913</v>
      </c>
      <c r="G31" s="229">
        <f>LongTest!G29</f>
        <v>21.106241615606912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42">
        <v>140</v>
      </c>
      <c r="E32" s="642"/>
      <c r="F32" s="229">
        <f>LongTest!F30</f>
        <v>33.044910963085584</v>
      </c>
      <c r="G32" s="229">
        <f>LongTest!G30</f>
        <v>21.694910963085583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42">
        <v>160</v>
      </c>
      <c r="E33" s="642"/>
      <c r="F33" s="229">
        <f>LongTest!F31</f>
        <v>33.554839546289259</v>
      </c>
      <c r="G33" s="229">
        <f>LongTest!G31</f>
        <v>22.204839546289257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42">
        <v>180</v>
      </c>
      <c r="E34" s="642"/>
      <c r="F34" s="229">
        <f>LongTest!F32</f>
        <v>34.004628433510497</v>
      </c>
      <c r="G34" s="229">
        <f>LongTest!G32</f>
        <v>22.654628433510496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42">
        <v>240</v>
      </c>
      <c r="E35" s="642"/>
      <c r="F35" s="229">
        <f>LongTest!F33</f>
        <v>35.103226364192842</v>
      </c>
      <c r="G35" s="229">
        <f>LongTest!G33</f>
        <v>23.753226364192841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42">
        <v>300</v>
      </c>
      <c r="E36" s="642"/>
      <c r="F36" s="229">
        <f>LongTest!F34</f>
        <v>35.955365121501011</v>
      </c>
      <c r="G36" s="229">
        <f>LongTest!G34</f>
        <v>24.605365121501009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42">
        <v>360</v>
      </c>
      <c r="E37" s="642"/>
      <c r="F37" s="229">
        <f>LongTest!F35</f>
        <v>36.651613182096426</v>
      </c>
      <c r="G37" s="229">
        <f>LongTest!G35</f>
        <v>25.301613182096425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42">
        <v>420</v>
      </c>
      <c r="E38" s="642"/>
      <c r="F38" s="229">
        <f>LongTest!F36</f>
        <v>37.240282529575097</v>
      </c>
      <c r="G38" s="229">
        <f>LongTest!G36</f>
        <v>25.890282529575096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42">
        <v>480</v>
      </c>
      <c r="E39" s="642"/>
      <c r="F39" s="229">
        <f>LongTest!F37</f>
        <v>37.750211112778764</v>
      </c>
      <c r="G39" s="229">
        <f>LongTest!G37</f>
        <v>26.400211112778763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42">
        <v>540</v>
      </c>
      <c r="E40" s="642"/>
      <c r="F40" s="229">
        <f>LongTest!F38</f>
        <v>38.200000000000003</v>
      </c>
      <c r="G40" s="229">
        <f>LongTest!G38</f>
        <v>26.85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42">
        <v>600</v>
      </c>
      <c r="E41" s="642"/>
      <c r="F41" s="229">
        <f>LongTest!F39</f>
        <v>38.200000000000003</v>
      </c>
      <c r="G41" s="229">
        <f>LongTest!G39</f>
        <v>26.85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42">
        <v>660</v>
      </c>
      <c r="E42" s="642"/>
      <c r="F42" s="229">
        <f>LongTest!F40</f>
        <v>38.200000000000003</v>
      </c>
      <c r="G42" s="229">
        <f>LongTest!G40</f>
        <v>26.85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42">
        <v>720</v>
      </c>
      <c r="E43" s="642"/>
      <c r="F43" s="229">
        <f>LongTest!F41</f>
        <v>38.200000000000003</v>
      </c>
      <c r="G43" s="229">
        <f>LongTest!G41</f>
        <v>26.85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42">
        <v>780</v>
      </c>
      <c r="E44" s="642"/>
      <c r="F44" s="229">
        <f>LongTest!F42</f>
        <v>38.200000000000003</v>
      </c>
      <c r="G44" s="225">
        <f>LongTest!G42</f>
        <v>26.85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42">
        <v>840</v>
      </c>
      <c r="E45" s="642"/>
      <c r="F45" s="229">
        <f>LongTest!F43</f>
        <v>38.200000000000003</v>
      </c>
      <c r="G45" s="225">
        <f>LongTest!G43</f>
        <v>26.85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42">
        <v>900</v>
      </c>
      <c r="E46" s="642"/>
      <c r="F46" s="229">
        <f>LongTest!F44</f>
        <v>38.200000000000003</v>
      </c>
      <c r="G46" s="225">
        <f>LongTest!G44</f>
        <v>26.85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42">
        <v>960</v>
      </c>
      <c r="E47" s="642"/>
      <c r="F47" s="229">
        <f>LongTest!F45</f>
        <v>38.200000000000003</v>
      </c>
      <c r="G47" s="225">
        <f>LongTest!G45</f>
        <v>26.85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42">
        <v>1020</v>
      </c>
      <c r="E48" s="642"/>
      <c r="F48" s="229">
        <f>LongTest!F46</f>
        <v>38.200000000000003</v>
      </c>
      <c r="G48" s="225">
        <f>LongTest!G46</f>
        <v>26.85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42">
        <v>1080</v>
      </c>
      <c r="E49" s="642"/>
      <c r="F49" s="229">
        <f>LongTest!F47</f>
        <v>38.200000000000003</v>
      </c>
      <c r="G49" s="225">
        <f>LongTest!G47</f>
        <v>26.85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42">
        <v>1140</v>
      </c>
      <c r="E50" s="642"/>
      <c r="F50" s="229">
        <f>LongTest!F48</f>
        <v>38.200000000000003</v>
      </c>
      <c r="G50" s="225">
        <f>LongTest!G48</f>
        <v>26.85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42">
        <v>1200</v>
      </c>
      <c r="E51" s="642"/>
      <c r="F51" s="229">
        <f>LongTest!F49</f>
        <v>38.200000000000003</v>
      </c>
      <c r="G51" s="225">
        <f>LongTest!G49</f>
        <v>26.85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42">
        <v>1260</v>
      </c>
      <c r="E52" s="642"/>
      <c r="F52" s="229">
        <f>LongTest!F50</f>
        <v>38.200000000000003</v>
      </c>
      <c r="G52" s="225">
        <f>LongTest!G50</f>
        <v>26.85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42">
        <v>1320</v>
      </c>
      <c r="E53" s="642"/>
      <c r="F53" s="229">
        <f>LongTest!F51</f>
        <v>38.200000000000003</v>
      </c>
      <c r="G53" s="225">
        <f>LongTest!G51</f>
        <v>26.85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42">
        <v>1380</v>
      </c>
      <c r="E54" s="642"/>
      <c r="F54" s="229">
        <f>LongTest!F52</f>
        <v>38.200000000000003</v>
      </c>
      <c r="G54" s="225">
        <f>LongTest!G52</f>
        <v>26.85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42">
        <v>1440</v>
      </c>
      <c r="E55" s="642"/>
      <c r="F55" s="229">
        <f>LongTest!F53</f>
        <v>38.200000000000003</v>
      </c>
      <c r="G55" s="225">
        <f>LongTest!G53</f>
        <v>26.85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73"/>
      <c r="E56" s="674"/>
      <c r="F56" s="225"/>
      <c r="G56" s="225"/>
      <c r="H56" s="225"/>
      <c r="I56" s="225"/>
      <c r="J56" s="226"/>
    </row>
    <row r="57" spans="1:10" ht="24.95" customHeight="1" thickBot="1">
      <c r="A57" s="670" t="s">
        <v>321</v>
      </c>
      <c r="B57" s="671"/>
      <c r="C57" s="671"/>
      <c r="D57" s="671"/>
      <c r="E57" s="671"/>
      <c r="F57" s="671"/>
      <c r="G57" s="671"/>
      <c r="H57" s="671"/>
      <c r="I57" s="671"/>
      <c r="J57" s="67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7" t="s">
        <v>327</v>
      </c>
      <c r="B1" s="648"/>
      <c r="C1" s="648"/>
      <c r="D1" s="648"/>
      <c r="E1" s="648"/>
      <c r="F1" s="648"/>
      <c r="G1" s="648"/>
      <c r="H1" s="648"/>
      <c r="I1" s="648"/>
      <c r="J1" s="649"/>
    </row>
    <row r="2" spans="1:10" ht="24.95" customHeight="1">
      <c r="A2" s="623" t="s">
        <v>292</v>
      </c>
      <c r="B2" s="624"/>
      <c r="C2" s="625" t="str">
        <f>LongTest!C2</f>
        <v>예산군 마전 등 5지구 농업용관정 지하수영향조사 용역</v>
      </c>
      <c r="D2" s="626"/>
      <c r="E2" s="626"/>
      <c r="F2" s="626"/>
      <c r="G2" s="626"/>
      <c r="H2" s="626"/>
      <c r="I2" s="626"/>
      <c r="J2" s="627"/>
    </row>
    <row r="3" spans="1:10" ht="24.95" customHeight="1">
      <c r="A3" s="628" t="s">
        <v>293</v>
      </c>
      <c r="B3" s="629"/>
      <c r="C3" s="633" t="str">
        <f>LongTest!C4</f>
        <v>충청남도 예산군 대술면 마전리 820번지</v>
      </c>
      <c r="D3" s="634"/>
      <c r="E3" s="634"/>
      <c r="F3" s="634"/>
      <c r="G3" s="634"/>
      <c r="H3" s="635"/>
      <c r="I3" s="209" t="str">
        <f>Input!I54</f>
        <v>W-1</v>
      </c>
      <c r="J3" s="210" t="s">
        <v>319</v>
      </c>
    </row>
    <row r="4" spans="1:10" ht="24.95" customHeight="1">
      <c r="A4" s="628" t="s">
        <v>350</v>
      </c>
      <c r="B4" s="629"/>
      <c r="C4" s="630">
        <f>장기14!C55</f>
        <v>45727.430555555555</v>
      </c>
      <c r="D4" s="631"/>
      <c r="E4" s="631"/>
      <c r="F4" s="631"/>
      <c r="G4" s="631"/>
      <c r="H4" s="631"/>
      <c r="I4" s="631"/>
      <c r="J4" s="632"/>
    </row>
    <row r="5" spans="1:10" ht="24.95" customHeight="1">
      <c r="A5" s="628" t="s">
        <v>349</v>
      </c>
      <c r="B5" s="629"/>
      <c r="C5" s="630">
        <f>C31</f>
        <v>45727.513888888891</v>
      </c>
      <c r="D5" s="631"/>
      <c r="E5" s="631"/>
      <c r="F5" s="631"/>
      <c r="G5" s="631"/>
      <c r="H5" s="631"/>
      <c r="I5" s="631"/>
      <c r="J5" s="632"/>
    </row>
    <row r="6" spans="1:10" ht="24.95" customHeight="1">
      <c r="A6" s="628" t="s">
        <v>291</v>
      </c>
      <c r="B6" s="629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8" t="s">
        <v>296</v>
      </c>
      <c r="B7" s="629"/>
      <c r="C7" s="636" t="s">
        <v>323</v>
      </c>
      <c r="D7" s="629"/>
      <c r="E7" s="211">
        <f>LongTest!C6</f>
        <v>7.5</v>
      </c>
      <c r="F7" s="211" t="s">
        <v>297</v>
      </c>
      <c r="G7" s="211" t="s">
        <v>325</v>
      </c>
      <c r="H7" s="636">
        <f>Input!I50</f>
        <v>48</v>
      </c>
      <c r="I7" s="629"/>
      <c r="J7" s="212" t="s">
        <v>298</v>
      </c>
    </row>
    <row r="8" spans="1:10" ht="24.95" customHeight="1">
      <c r="A8" s="628" t="s">
        <v>299</v>
      </c>
      <c r="B8" s="629"/>
      <c r="C8" s="636" t="s">
        <v>324</v>
      </c>
      <c r="D8" s="629"/>
      <c r="E8" s="211">
        <f>LongTest!D7</f>
        <v>250</v>
      </c>
      <c r="F8" s="211" t="s">
        <v>300</v>
      </c>
      <c r="G8" s="211" t="s">
        <v>301</v>
      </c>
      <c r="H8" s="636">
        <f>LongTest!G7</f>
        <v>158</v>
      </c>
      <c r="I8" s="629"/>
      <c r="J8" s="212" t="s">
        <v>298</v>
      </c>
    </row>
    <row r="9" spans="1:10" ht="24.95" customHeight="1">
      <c r="A9" s="628" t="s">
        <v>302</v>
      </c>
      <c r="B9" s="629"/>
      <c r="C9" s="636" t="s">
        <v>322</v>
      </c>
      <c r="D9" s="629"/>
      <c r="E9" s="211">
        <f>LongTest!D8</f>
        <v>11.35</v>
      </c>
      <c r="F9" s="211" t="s">
        <v>298</v>
      </c>
      <c r="G9" s="211" t="s">
        <v>303</v>
      </c>
      <c r="H9" s="636">
        <f>LongTest!G8</f>
        <v>38.200000000000003</v>
      </c>
      <c r="I9" s="629"/>
      <c r="J9" s="212" t="s">
        <v>298</v>
      </c>
    </row>
    <row r="10" spans="1:10" ht="24.95" customHeight="1">
      <c r="A10" s="641" t="s">
        <v>304</v>
      </c>
      <c r="B10" s="225" t="s">
        <v>305</v>
      </c>
      <c r="C10" s="642" t="s">
        <v>190</v>
      </c>
      <c r="D10" s="642" t="s">
        <v>307</v>
      </c>
      <c r="E10" s="64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1"/>
      <c r="B11" s="225" t="s">
        <v>328</v>
      </c>
      <c r="C11" s="642"/>
      <c r="D11" s="642" t="s">
        <v>329</v>
      </c>
      <c r="E11" s="64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16">
        <v>1</v>
      </c>
      <c r="E12" s="643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16">
        <v>2</v>
      </c>
      <c r="E13" s="643"/>
      <c r="F13" s="216">
        <f>LongTest!F79</f>
        <v>26.69700945681798</v>
      </c>
      <c r="G13" s="216">
        <f>LongTest!G79</f>
        <v>15.347009456817981</v>
      </c>
      <c r="H13" s="616"/>
      <c r="I13" s="617"/>
      <c r="J13" s="618"/>
    </row>
    <row r="14" spans="1:10" ht="24.95" customHeight="1">
      <c r="A14" s="238"/>
      <c r="B14" s="215"/>
      <c r="C14" s="215">
        <f t="shared" si="0"/>
        <v>45727.432638888888</v>
      </c>
      <c r="D14" s="616">
        <v>3</v>
      </c>
      <c r="E14" s="643"/>
      <c r="F14" s="216">
        <f>LongTest!F80</f>
        <v>25.254501779955085</v>
      </c>
      <c r="G14" s="216">
        <f>LongTest!G80</f>
        <v>13.904501779955083</v>
      </c>
      <c r="H14" s="616"/>
      <c r="I14" s="617"/>
      <c r="J14" s="618"/>
    </row>
    <row r="15" spans="1:10" ht="24.95" customHeight="1">
      <c r="A15" s="238"/>
      <c r="B15" s="215"/>
      <c r="C15" s="215">
        <f t="shared" si="0"/>
        <v>45727.433333333334</v>
      </c>
      <c r="D15" s="616">
        <v>4</v>
      </c>
      <c r="E15" s="643"/>
      <c r="F15" s="216">
        <f>LongTest!F81</f>
        <v>23.94757937158786</v>
      </c>
      <c r="G15" s="216">
        <f>LongTest!G81</f>
        <v>12.597579371587861</v>
      </c>
      <c r="H15" s="616"/>
      <c r="I15" s="617"/>
      <c r="J15" s="618"/>
    </row>
    <row r="16" spans="1:10" ht="24.95" customHeight="1">
      <c r="A16" s="238"/>
      <c r="B16" s="215"/>
      <c r="C16" s="215">
        <f t="shared" si="0"/>
        <v>45727.434027777774</v>
      </c>
      <c r="D16" s="616">
        <v>5</v>
      </c>
      <c r="E16" s="643"/>
      <c r="F16" s="216">
        <f>LongTest!F82</f>
        <v>22.763498198996139</v>
      </c>
      <c r="G16" s="216">
        <f>LongTest!G82</f>
        <v>11.413498198996141</v>
      </c>
      <c r="H16" s="616"/>
      <c r="I16" s="617"/>
      <c r="J16" s="618"/>
    </row>
    <row r="17" spans="1:10" ht="24.95" customHeight="1">
      <c r="A17" s="238"/>
      <c r="B17" s="215"/>
      <c r="C17" s="215">
        <f t="shared" si="0"/>
        <v>45727.4375</v>
      </c>
      <c r="D17" s="616">
        <v>10</v>
      </c>
      <c r="E17" s="643"/>
      <c r="F17" s="216">
        <f>LongTest!F83</f>
        <v>19.838164518633043</v>
      </c>
      <c r="G17" s="216">
        <f>LongTest!G83</f>
        <v>8.4881645186330434</v>
      </c>
      <c r="H17" s="616"/>
      <c r="I17" s="617"/>
      <c r="J17" s="618"/>
    </row>
    <row r="18" spans="1:10" ht="24.95" customHeight="1">
      <c r="A18" s="238"/>
      <c r="B18" s="215"/>
      <c r="C18" s="215">
        <f t="shared" si="0"/>
        <v>45727.440972222219</v>
      </c>
      <c r="D18" s="616">
        <v>15</v>
      </c>
      <c r="E18" s="643"/>
      <c r="F18" s="216">
        <f>LongTest!F84</f>
        <v>19.297579899788193</v>
      </c>
      <c r="G18" s="216">
        <f>LongTest!G84</f>
        <v>7.9475798997881943</v>
      </c>
      <c r="H18" s="616"/>
      <c r="I18" s="617"/>
      <c r="J18" s="618"/>
    </row>
    <row r="19" spans="1:10" ht="24.95" customHeight="1">
      <c r="A19" s="238"/>
      <c r="B19" s="215"/>
      <c r="C19" s="215">
        <f t="shared" si="0"/>
        <v>45727.444444444445</v>
      </c>
      <c r="D19" s="616">
        <v>20</v>
      </c>
      <c r="E19" s="643"/>
      <c r="F19" s="216">
        <f>LongTest!F85</f>
        <v>17.87376405196904</v>
      </c>
      <c r="G19" s="216">
        <f>LongTest!G85</f>
        <v>6.5237640519690405</v>
      </c>
      <c r="H19" s="616"/>
      <c r="I19" s="617"/>
      <c r="J19" s="618"/>
    </row>
    <row r="20" spans="1:10" ht="24.95" customHeight="1">
      <c r="A20" s="238"/>
      <c r="B20" s="215"/>
      <c r="C20" s="215">
        <f t="shared" si="0"/>
        <v>45727.447916666664</v>
      </c>
      <c r="D20" s="616">
        <v>25</v>
      </c>
      <c r="E20" s="643"/>
      <c r="F20" s="216">
        <f>LongTest!F86</f>
        <v>17.260577505529085</v>
      </c>
      <c r="G20" s="216">
        <f>LongTest!G86</f>
        <v>5.9105775055290843</v>
      </c>
      <c r="H20" s="616"/>
      <c r="I20" s="617"/>
      <c r="J20" s="618"/>
    </row>
    <row r="21" spans="1:10" ht="24.95" customHeight="1">
      <c r="A21" s="238"/>
      <c r="B21" s="215"/>
      <c r="C21" s="215">
        <f t="shared" si="0"/>
        <v>45727.451388888891</v>
      </c>
      <c r="D21" s="616">
        <v>30</v>
      </c>
      <c r="E21" s="643"/>
      <c r="F21" s="216">
        <f>LongTest!F87</f>
        <v>16.705026050999216</v>
      </c>
      <c r="G21" s="216">
        <f>LongTest!G87</f>
        <v>5.355026050999216</v>
      </c>
      <c r="H21" s="616"/>
      <c r="I21" s="617"/>
      <c r="J21" s="618"/>
    </row>
    <row r="22" spans="1:10" ht="24.95" customHeight="1">
      <c r="A22" s="238"/>
      <c r="B22" s="215"/>
      <c r="C22" s="215">
        <f t="shared" si="0"/>
        <v>45727.454861111109</v>
      </c>
      <c r="D22" s="616">
        <v>35</v>
      </c>
      <c r="E22" s="643"/>
      <c r="F22" s="216">
        <f>LongTest!F88</f>
        <v>16.531698563212647</v>
      </c>
      <c r="G22" s="216">
        <f>LongTest!G88</f>
        <v>5.1816985632126462</v>
      </c>
      <c r="H22" s="616"/>
      <c r="I22" s="617"/>
      <c r="J22" s="618"/>
    </row>
    <row r="23" spans="1:10" ht="24.95" customHeight="1">
      <c r="A23" s="238"/>
      <c r="B23" s="215"/>
      <c r="C23" s="215">
        <f t="shared" si="0"/>
        <v>45727.458333333336</v>
      </c>
      <c r="D23" s="616">
        <v>40</v>
      </c>
      <c r="E23" s="643"/>
      <c r="F23" s="216">
        <f>LongTest!F89</f>
        <v>16.363981210229582</v>
      </c>
      <c r="G23" s="216">
        <f>LongTest!G89</f>
        <v>5.0139812102295833</v>
      </c>
      <c r="H23" s="616"/>
      <c r="I23" s="617"/>
      <c r="J23" s="618"/>
    </row>
    <row r="24" spans="1:10" ht="24.95" customHeight="1">
      <c r="A24" s="238"/>
      <c r="B24" s="215"/>
      <c r="C24" s="215">
        <f t="shared" si="0"/>
        <v>45727.461805555555</v>
      </c>
      <c r="D24" s="616">
        <v>45</v>
      </c>
      <c r="E24" s="643"/>
      <c r="F24" s="216">
        <f>LongTest!F90</f>
        <v>16.201692407392482</v>
      </c>
      <c r="G24" s="216">
        <f>LongTest!G90</f>
        <v>4.8516924073924814</v>
      </c>
      <c r="H24" s="616"/>
      <c r="I24" s="617"/>
      <c r="J24" s="618"/>
    </row>
    <row r="25" spans="1:10" ht="24.95" customHeight="1">
      <c r="A25" s="238"/>
      <c r="B25" s="215"/>
      <c r="C25" s="215">
        <f t="shared" si="0"/>
        <v>45727.465277777774</v>
      </c>
      <c r="D25" s="616">
        <v>50</v>
      </c>
      <c r="E25" s="643"/>
      <c r="F25" s="216">
        <f>LongTest!F91</f>
        <v>16.044656447440502</v>
      </c>
      <c r="G25" s="216">
        <f>LongTest!G91</f>
        <v>4.6946564474405026</v>
      </c>
      <c r="H25" s="616"/>
      <c r="I25" s="617"/>
      <c r="J25" s="618"/>
    </row>
    <row r="26" spans="1:10" ht="24.95" customHeight="1">
      <c r="A26" s="238"/>
      <c r="B26" s="215"/>
      <c r="C26" s="215">
        <f t="shared" si="0"/>
        <v>45727.46875</v>
      </c>
      <c r="D26" s="616">
        <v>55</v>
      </c>
      <c r="E26" s="643"/>
      <c r="F26" s="216">
        <f>LongTest!F92</f>
        <v>15.892703310274335</v>
      </c>
      <c r="G26" s="216">
        <f>LongTest!G92</f>
        <v>4.5427033102743355</v>
      </c>
      <c r="H26" s="616"/>
      <c r="I26" s="617"/>
      <c r="J26" s="618"/>
    </row>
    <row r="27" spans="1:10" ht="24.95" customHeight="1">
      <c r="A27" s="238"/>
      <c r="B27" s="215"/>
      <c r="C27" s="215">
        <f t="shared" si="0"/>
        <v>45727.472222222219</v>
      </c>
      <c r="D27" s="616">
        <v>60</v>
      </c>
      <c r="E27" s="643"/>
      <c r="F27" s="216">
        <f>LongTest!F93</f>
        <v>15.745668478878386</v>
      </c>
      <c r="G27" s="216">
        <f>LongTest!G93</f>
        <v>4.3956684788783873</v>
      </c>
      <c r="H27" s="616"/>
      <c r="I27" s="617"/>
      <c r="J27" s="618"/>
    </row>
    <row r="28" spans="1:10" ht="24.95" customHeight="1">
      <c r="A28" s="238"/>
      <c r="B28" s="215"/>
      <c r="C28" s="215">
        <f t="shared" si="0"/>
        <v>45727.482638888891</v>
      </c>
      <c r="D28" s="616">
        <v>75</v>
      </c>
      <c r="E28" s="643"/>
      <c r="F28" s="216">
        <f>LongTest!F94</f>
        <v>15.603392761201077</v>
      </c>
      <c r="G28" s="216">
        <f>LongTest!G94</f>
        <v>4.2533927612010771</v>
      </c>
      <c r="H28" s="616"/>
      <c r="I28" s="617"/>
      <c r="J28" s="618"/>
    </row>
    <row r="29" spans="1:10" ht="24.95" customHeight="1">
      <c r="A29" s="238"/>
      <c r="B29" s="215"/>
      <c r="C29" s="215">
        <f t="shared" si="0"/>
        <v>45727.493055555555</v>
      </c>
      <c r="D29" s="616">
        <v>90</v>
      </c>
      <c r="E29" s="643"/>
      <c r="F29" s="216">
        <f>LongTest!F95</f>
        <v>15.465722117800379</v>
      </c>
      <c r="G29" s="216">
        <f>LongTest!G95</f>
        <v>4.1157221178003791</v>
      </c>
      <c r="H29" s="616"/>
      <c r="I29" s="617"/>
      <c r="J29" s="618"/>
    </row>
    <row r="30" spans="1:10" ht="24.95" customHeight="1">
      <c r="A30" s="238"/>
      <c r="B30" s="215"/>
      <c r="C30" s="215">
        <f t="shared" si="0"/>
        <v>45727.503472222219</v>
      </c>
      <c r="D30" s="616">
        <v>105</v>
      </c>
      <c r="E30" s="643"/>
      <c r="F30" s="216">
        <f>LongTest!F96</f>
        <v>15.332507495067992</v>
      </c>
      <c r="G30" s="216">
        <f>LongTest!G96</f>
        <v>3.982507495067992</v>
      </c>
      <c r="H30" s="616"/>
      <c r="I30" s="617"/>
      <c r="J30" s="618"/>
    </row>
    <row r="31" spans="1:10" ht="24.95" customHeight="1">
      <c r="A31" s="238"/>
      <c r="B31" s="215"/>
      <c r="C31" s="215">
        <f t="shared" si="0"/>
        <v>45727.513888888891</v>
      </c>
      <c r="D31" s="616">
        <v>120</v>
      </c>
      <c r="E31" s="643"/>
      <c r="F31" s="216">
        <f>LongTest!F97</f>
        <v>14.958180649765406</v>
      </c>
      <c r="G31" s="216">
        <f>LongTest!G97</f>
        <v>3.6081806497654068</v>
      </c>
      <c r="H31" s="616" t="s">
        <v>326</v>
      </c>
      <c r="I31" s="617"/>
      <c r="J31" s="618"/>
    </row>
    <row r="32" spans="1:10" ht="24.95" customHeight="1">
      <c r="A32" s="238"/>
      <c r="B32" s="215"/>
      <c r="C32" s="215"/>
      <c r="D32" s="616"/>
      <c r="E32" s="643"/>
      <c r="F32" s="216"/>
      <c r="G32" s="216"/>
      <c r="H32" s="616"/>
      <c r="I32" s="617"/>
      <c r="J32" s="618"/>
    </row>
    <row r="33" spans="1:10" ht="24.95" customHeight="1">
      <c r="A33" s="238"/>
      <c r="B33" s="215"/>
      <c r="C33" s="215"/>
      <c r="D33" s="616"/>
      <c r="E33" s="643"/>
      <c r="F33" s="216"/>
      <c r="G33" s="216"/>
      <c r="H33" s="616"/>
      <c r="I33" s="617"/>
      <c r="J33" s="618"/>
    </row>
    <row r="34" spans="1:10" ht="24.95" customHeight="1">
      <c r="A34" s="238"/>
      <c r="B34" s="215"/>
      <c r="C34" s="215"/>
      <c r="D34" s="616"/>
      <c r="E34" s="643"/>
      <c r="F34" s="216"/>
      <c r="G34" s="216"/>
      <c r="H34" s="616"/>
      <c r="I34" s="617"/>
      <c r="J34" s="618"/>
    </row>
    <row r="35" spans="1:10" ht="24.95" customHeight="1" thickBot="1">
      <c r="A35" s="242"/>
      <c r="B35" s="243"/>
      <c r="C35" s="243"/>
      <c r="D35" s="619"/>
      <c r="E35" s="644"/>
      <c r="F35" s="244"/>
      <c r="G35" s="244"/>
      <c r="H35" s="619"/>
      <c r="I35" s="620"/>
      <c r="J35" s="62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rgb="FFFFC000"/>
  </sheetPr>
  <dimension ref="A1:C75"/>
  <sheetViews>
    <sheetView zoomScaleNormal="100" workbookViewId="0">
      <selection activeCell="I22" sqref="I22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SUM(C31:C74)</f>
        <v>44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 t="s">
        <v>201</v>
      </c>
      <c r="B75" s="59"/>
      <c r="C7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8" name="CommandButton3"/>
      </mc:Fallback>
    </mc:AlternateContent>
    <mc:AlternateContent xmlns:mc="http://schemas.openxmlformats.org/markup-compatibility/2006">
      <mc:Choice Requires="x14">
        <control shapeId="26628" r:id="rId10" name="CommandButton4">
          <controlPr defaultSize="0" autoLine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10" name="CommandButton4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rgb="FFFFC000"/>
  </sheetPr>
  <dimension ref="A1:N56"/>
  <sheetViews>
    <sheetView zoomScaleNormal="100" workbookViewId="0">
      <selection activeCell="H43" sqref="H43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5"/>
      <c r="M6" s="615"/>
      <c r="N6" s="615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5">
      <c r="A17" s="58">
        <v>0</v>
      </c>
      <c r="B17" s="58"/>
      <c r="C17" s="59"/>
    </row>
    <row r="18" spans="1:5">
      <c r="A18" s="58">
        <f>Step.Select!A18</f>
        <v>0.125</v>
      </c>
      <c r="B18" s="58"/>
      <c r="C18" s="59"/>
    </row>
    <row r="19" spans="1:5">
      <c r="A19" s="58">
        <f>Step.Select!A19</f>
        <v>0.125</v>
      </c>
      <c r="B19" s="58"/>
      <c r="C19" s="59"/>
    </row>
    <row r="20" spans="1:5">
      <c r="A20" s="58">
        <v>0</v>
      </c>
      <c r="B20" s="58"/>
      <c r="C20" s="59"/>
    </row>
    <row r="21" spans="1:5">
      <c r="A21" s="58">
        <v>0</v>
      </c>
      <c r="B21" s="58"/>
      <c r="C21" s="59"/>
    </row>
    <row r="22" spans="1:5">
      <c r="A22" s="58">
        <v>1</v>
      </c>
      <c r="B22" s="58"/>
      <c r="C22" s="59"/>
    </row>
    <row r="23" spans="1:5">
      <c r="A23" s="58">
        <v>2</v>
      </c>
      <c r="B23" s="58"/>
      <c r="C23" s="59"/>
    </row>
    <row r="24" spans="1:5">
      <c r="A24" s="60">
        <v>0</v>
      </c>
      <c r="B24" s="60">
        <f>Input!M51</f>
        <v>200</v>
      </c>
      <c r="C24" s="59"/>
    </row>
    <row r="25" spans="1:5">
      <c r="A25" s="60">
        <v>2880</v>
      </c>
      <c r="B25" s="60">
        <v>0</v>
      </c>
      <c r="C25" s="59"/>
    </row>
    <row r="26" spans="1:5">
      <c r="A26" s="58" t="s">
        <v>200</v>
      </c>
      <c r="B26" s="58"/>
      <c r="C26" s="59"/>
    </row>
    <row r="27" spans="1:5">
      <c r="A27" s="58" t="str">
        <f>A15</f>
        <v>W-1</v>
      </c>
      <c r="B27" s="58"/>
      <c r="C27" s="59"/>
    </row>
    <row r="28" spans="1:5">
      <c r="A28" s="61">
        <f>SkinFactor!C8</f>
        <v>2.3180000000000001</v>
      </c>
      <c r="B28" s="58"/>
      <c r="C28" s="59"/>
    </row>
    <row r="29" spans="1:5">
      <c r="A29" s="58">
        <v>0</v>
      </c>
      <c r="B29" s="58"/>
      <c r="C29" s="59"/>
    </row>
    <row r="30" spans="1:5">
      <c r="A30" s="58">
        <v>0</v>
      </c>
      <c r="B30" s="58"/>
      <c r="C30" s="59"/>
    </row>
    <row r="31" spans="1:5">
      <c r="A31" s="60">
        <f>SUM(C32:C52)</f>
        <v>21</v>
      </c>
      <c r="B31" s="58"/>
      <c r="C31" s="59"/>
    </row>
    <row r="32" spans="1:5">
      <c r="A32" s="58">
        <v>1440</v>
      </c>
      <c r="B32" s="59">
        <f>LongTest!G77</f>
        <v>26.85</v>
      </c>
      <c r="C32" s="60">
        <v>1</v>
      </c>
      <c r="D32" s="544"/>
      <c r="E32" s="545"/>
    </row>
    <row r="33" spans="1:5">
      <c r="A33" s="58">
        <v>1441</v>
      </c>
      <c r="B33" s="59">
        <f>LongTest!G78</f>
        <v>16.939168550951234</v>
      </c>
      <c r="C33" s="60">
        <v>1</v>
      </c>
      <c r="D33" s="544"/>
      <c r="E33" s="545"/>
    </row>
    <row r="34" spans="1:5">
      <c r="A34" s="58">
        <v>1442</v>
      </c>
      <c r="B34" s="59">
        <f>LongTest!G79</f>
        <v>15.347009456817981</v>
      </c>
      <c r="C34" s="60">
        <v>1</v>
      </c>
      <c r="D34" s="544"/>
      <c r="E34" s="545"/>
    </row>
    <row r="35" spans="1:5">
      <c r="A35" s="58">
        <v>1443</v>
      </c>
      <c r="B35" s="59">
        <f>LongTest!G80</f>
        <v>13.904501779955083</v>
      </c>
      <c r="C35" s="60">
        <v>1</v>
      </c>
      <c r="D35" s="544"/>
      <c r="E35" s="545"/>
    </row>
    <row r="36" spans="1:5">
      <c r="A36" s="58">
        <v>1444</v>
      </c>
      <c r="B36" s="59">
        <f>LongTest!G81</f>
        <v>12.597579371587861</v>
      </c>
      <c r="C36" s="60">
        <v>1</v>
      </c>
      <c r="D36" s="544"/>
      <c r="E36" s="545"/>
    </row>
    <row r="37" spans="1:5">
      <c r="A37" s="58">
        <v>1445</v>
      </c>
      <c r="B37" s="59">
        <f>LongTest!G82</f>
        <v>11.413498198996141</v>
      </c>
      <c r="C37" s="60">
        <v>1</v>
      </c>
      <c r="D37" s="544"/>
      <c r="E37" s="545"/>
    </row>
    <row r="38" spans="1:5">
      <c r="A38" s="58">
        <v>1450</v>
      </c>
      <c r="B38" s="59">
        <f>LongTest!G83</f>
        <v>8.4881645186330434</v>
      </c>
      <c r="C38" s="60">
        <v>1</v>
      </c>
      <c r="D38" s="544"/>
      <c r="E38" s="545"/>
    </row>
    <row r="39" spans="1:5">
      <c r="A39" s="58">
        <v>1455</v>
      </c>
      <c r="B39" s="59">
        <f>LongTest!G84</f>
        <v>7.9475798997881943</v>
      </c>
      <c r="C39" s="60">
        <v>1</v>
      </c>
      <c r="D39" s="544"/>
      <c r="E39" s="545"/>
    </row>
    <row r="40" spans="1:5">
      <c r="A40" s="58">
        <v>1460</v>
      </c>
      <c r="B40" s="59">
        <f>LongTest!G85</f>
        <v>6.5237640519690405</v>
      </c>
      <c r="C40" s="60">
        <v>1</v>
      </c>
      <c r="D40" s="544"/>
      <c r="E40" s="545"/>
    </row>
    <row r="41" spans="1:5">
      <c r="A41" s="58">
        <v>1465</v>
      </c>
      <c r="B41" s="59">
        <f>LongTest!G86</f>
        <v>5.9105775055290843</v>
      </c>
      <c r="C41" s="60">
        <v>1</v>
      </c>
      <c r="D41" s="544"/>
      <c r="E41" s="545"/>
    </row>
    <row r="42" spans="1:5">
      <c r="A42" s="58">
        <v>1470</v>
      </c>
      <c r="B42" s="59">
        <f>LongTest!G87</f>
        <v>5.355026050999216</v>
      </c>
      <c r="C42" s="60">
        <v>1</v>
      </c>
      <c r="D42" s="544"/>
      <c r="E42" s="545"/>
    </row>
    <row r="43" spans="1:5">
      <c r="A43" s="58">
        <v>1475</v>
      </c>
      <c r="B43" s="59">
        <f>LongTest!G88</f>
        <v>5.1816985632126462</v>
      </c>
      <c r="C43" s="60">
        <v>1</v>
      </c>
      <c r="D43" s="544"/>
      <c r="E43" s="545"/>
    </row>
    <row r="44" spans="1:5">
      <c r="A44" s="58">
        <v>1480</v>
      </c>
      <c r="B44" s="59">
        <f>LongTest!G89</f>
        <v>5.0139812102295833</v>
      </c>
      <c r="C44" s="60">
        <v>1</v>
      </c>
      <c r="D44" s="544"/>
      <c r="E44" s="545"/>
    </row>
    <row r="45" spans="1:5">
      <c r="A45" s="58">
        <v>1485</v>
      </c>
      <c r="B45" s="59">
        <f>LongTest!G90</f>
        <v>4.8516924073924814</v>
      </c>
      <c r="C45" s="60">
        <v>1</v>
      </c>
      <c r="D45" s="544"/>
      <c r="E45" s="545"/>
    </row>
    <row r="46" spans="1:5">
      <c r="A46" s="58">
        <v>1490</v>
      </c>
      <c r="B46" s="59">
        <f>LongTest!G91</f>
        <v>4.6946564474405026</v>
      </c>
      <c r="C46" s="60">
        <v>1</v>
      </c>
      <c r="D46" s="544"/>
      <c r="E46" s="545"/>
    </row>
    <row r="47" spans="1:5">
      <c r="A47" s="58">
        <v>1495</v>
      </c>
      <c r="B47" s="59">
        <f>LongTest!G92</f>
        <v>4.5427033102743355</v>
      </c>
      <c r="C47" s="60">
        <v>1</v>
      </c>
      <c r="D47" s="544"/>
      <c r="E47" s="545"/>
    </row>
    <row r="48" spans="1:5">
      <c r="A48" s="58">
        <v>1500</v>
      </c>
      <c r="B48" s="59">
        <f>LongTest!G93</f>
        <v>4.3956684788783873</v>
      </c>
      <c r="C48" s="60">
        <v>1</v>
      </c>
      <c r="D48" s="544"/>
      <c r="E48" s="545"/>
    </row>
    <row r="49" spans="1:5">
      <c r="A49" s="58">
        <v>1515</v>
      </c>
      <c r="B49" s="59">
        <f>LongTest!G94</f>
        <v>4.2533927612010771</v>
      </c>
      <c r="C49" s="60">
        <v>1</v>
      </c>
      <c r="D49" s="544"/>
      <c r="E49" s="545"/>
    </row>
    <row r="50" spans="1:5">
      <c r="A50" s="58">
        <v>1530</v>
      </c>
      <c r="B50" s="59">
        <f>LongTest!G95</f>
        <v>4.1157221178003791</v>
      </c>
      <c r="C50" s="60">
        <v>1</v>
      </c>
      <c r="D50" s="544"/>
      <c r="E50" s="545"/>
    </row>
    <row r="51" spans="1:5">
      <c r="A51" s="58">
        <v>1545</v>
      </c>
      <c r="B51" s="59">
        <f>LongTest!G96</f>
        <v>3.982507495067992</v>
      </c>
      <c r="C51" s="60">
        <v>1</v>
      </c>
      <c r="D51" s="544"/>
      <c r="E51" s="545"/>
    </row>
    <row r="52" spans="1:5">
      <c r="A52" s="58">
        <v>1560</v>
      </c>
      <c r="B52" s="59">
        <f>LongTest!G97</f>
        <v>3.6081806497654068</v>
      </c>
      <c r="C52" s="60">
        <v>1</v>
      </c>
      <c r="D52" s="544"/>
      <c r="E52" s="545"/>
    </row>
    <row r="53" spans="1:5">
      <c r="A53" s="58" t="s">
        <v>202</v>
      </c>
      <c r="B53" s="59"/>
      <c r="C53" s="59"/>
      <c r="D53" s="544"/>
    </row>
    <row r="54" spans="1:5">
      <c r="D54" s="544"/>
    </row>
    <row r="55" spans="1:5">
      <c r="D55" s="544"/>
    </row>
    <row r="56" spans="1:5">
      <c r="D56" s="544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4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4" name="CommandButton1"/>
      </mc:Fallback>
    </mc:AlternateContent>
    <mc:AlternateContent xmlns:mc="http://schemas.openxmlformats.org/markup-compatibility/2006">
      <mc:Choice Requires="x14">
        <control shapeId="2765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6" name="CommandButton2"/>
      </mc:Fallback>
    </mc:AlternateContent>
    <mc:AlternateContent xmlns:mc="http://schemas.openxmlformats.org/markup-compatibility/2006">
      <mc:Choice Requires="x14">
        <control shapeId="27651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8" name="CommandButton3"/>
      </mc:Fallback>
    </mc:AlternateContent>
    <mc:AlternateContent xmlns:mc="http://schemas.openxmlformats.org/markup-compatibility/2006">
      <mc:Choice Requires="x14">
        <control shapeId="27652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10" name="CommandButton4"/>
      </mc:Fallback>
    </mc:AlternateContent>
    <mc:AlternateContent xmlns:mc="http://schemas.openxmlformats.org/markup-compatibility/2006">
      <mc:Choice Requires="x14">
        <control shapeId="27653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12" name="CommandButton_Print_LS"/>
      </mc:Fallback>
    </mc:AlternateContent>
    <mc:AlternateContent xmlns:mc="http://schemas.openxmlformats.org/markup-compatibility/2006">
      <mc:Choice Requires="x14">
        <control shapeId="27654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14" name="CommandButton_Print_Long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N20" sqref="N20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7" t="s">
        <v>207</v>
      </c>
      <c r="C12" s="698"/>
      <c r="D12" s="697" t="str">
        <f>C4</f>
        <v>W-1</v>
      </c>
      <c r="E12" s="699"/>
      <c r="F12" s="698"/>
      <c r="H12" s="700" t="str">
        <f>C4</f>
        <v>W-1</v>
      </c>
      <c r="I12" s="701"/>
      <c r="J12" s="702"/>
      <c r="L12"/>
      <c r="M12"/>
      <c r="N12"/>
      <c r="O12"/>
      <c r="P12"/>
      <c r="Q12"/>
    </row>
    <row r="13" spans="2:17" s="4" customFormat="1" ht="26.1" customHeight="1">
      <c r="B13" s="532" t="s">
        <v>203</v>
      </c>
      <c r="C13" s="533" t="s">
        <v>208</v>
      </c>
      <c r="D13" s="534" t="s">
        <v>209</v>
      </c>
      <c r="E13" s="535" t="s">
        <v>210</v>
      </c>
      <c r="F13" s="533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0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>$C$6+C21/1440</f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 s="539"/>
      <c r="N21"/>
      <c r="O21" s="539"/>
      <c r="P21" s="540"/>
      <c r="Q21" s="541"/>
    </row>
    <row r="22" spans="2:17" s="49" customFormat="1" ht="26.1" customHeight="1">
      <c r="B22" s="196">
        <f>$C$6+C22/1440</f>
        <v>45727.763888888891</v>
      </c>
      <c r="C22" s="189">
        <v>1920</v>
      </c>
      <c r="D22" s="197">
        <f>$D$20</f>
        <v>15.6</v>
      </c>
      <c r="E22" s="198">
        <f>$E$20</f>
        <v>211</v>
      </c>
      <c r="F22" s="199">
        <f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 s="539"/>
      <c r="P22" s="540"/>
      <c r="Q22" s="541"/>
    </row>
    <row r="23" spans="2:17" s="49" customFormat="1" ht="26.1" customHeight="1" thickBot="1">
      <c r="B23" s="196">
        <f>$C$6+C23/1440</f>
        <v>45728.430555555555</v>
      </c>
      <c r="C23" s="189">
        <v>2880</v>
      </c>
      <c r="D23" s="197">
        <f>$D$20</f>
        <v>15.6</v>
      </c>
      <c r="E23" s="198">
        <f>$E$20</f>
        <v>211</v>
      </c>
      <c r="F23" s="199">
        <f>$F$20</f>
        <v>7.12</v>
      </c>
      <c r="H23" s="200">
        <v>-0.3</v>
      </c>
      <c r="I23" s="201">
        <v>-2</v>
      </c>
      <c r="J23" s="202">
        <v>-0.08</v>
      </c>
      <c r="L23"/>
      <c r="M23"/>
      <c r="N23"/>
      <c r="O23" s="539"/>
      <c r="P23" s="540"/>
      <c r="Q23" s="541"/>
    </row>
    <row r="24" spans="2:17" s="49" customFormat="1" ht="26.1" customHeight="1">
      <c r="B24" s="703" t="s">
        <v>79</v>
      </c>
      <c r="C24" s="704"/>
      <c r="D24" s="534">
        <f>MAX(D14:D23)</f>
        <v>15.700000000000001</v>
      </c>
      <c r="E24" s="535">
        <f t="shared" ref="E24:F24" si="4">MAX(E14:E23)</f>
        <v>216</v>
      </c>
      <c r="F24" s="533">
        <f t="shared" si="4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703" t="s">
        <v>212</v>
      </c>
      <c r="C25" s="704"/>
      <c r="D25" s="534">
        <f>MIN(D14:D23)</f>
        <v>15.1</v>
      </c>
      <c r="E25" s="535">
        <f t="shared" ref="E25:F25" si="5">MIN(E14:E23)</f>
        <v>210</v>
      </c>
      <c r="F25" s="533">
        <f t="shared" si="5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95" t="s">
        <v>213</v>
      </c>
      <c r="C26" s="696"/>
      <c r="D26" s="536">
        <f>D24-D25</f>
        <v>0.60000000000000142</v>
      </c>
      <c r="E26" s="537">
        <f t="shared" ref="E26:F26" si="6">E24-E25</f>
        <v>6</v>
      </c>
      <c r="F26" s="538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J1440</vt:lpstr>
      <vt:lpstr>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2025-04-29T08:34:27Z</dcterms:modified>
</cp:coreProperties>
</file>