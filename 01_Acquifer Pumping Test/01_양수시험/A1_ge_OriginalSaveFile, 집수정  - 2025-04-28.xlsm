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D10D8DE-DA57-46AF-87E6-826FCEFE57F2}" xr6:coauthVersionLast="47" xr6:coauthVersionMax="47" xr10:uidLastSave="{00000000-0000-0000-0000-000000000000}"/>
  <bookViews>
    <workbookView xWindow="7815" yWindow="255" windowWidth="29340" windowHeight="1971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C5" i="15"/>
  <c r="C5" i="20"/>
  <c r="E21" i="2"/>
  <c r="B3" i="12"/>
  <c r="B5" i="12"/>
  <c r="A27" i="9"/>
  <c r="D23" i="2"/>
  <c r="D11" i="4"/>
  <c r="D10" i="4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<sst xmlns="http://schemas.openxmlformats.org/spreadsheetml/2006/main" count="1424" uniqueCount="355">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</sst>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94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26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" fontId="9" fillId="0" borderId="13" xfId="2" applyNumberFormat="1" applyFont="1" applyBorder="1" applyAlignment="1">
      <alignment horizontal="center" vertical="center"/>
    </xf>
    <xf numFmtId="1" fontId="9" fillId="0" borderId="22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2" fontId="8" fillId="26" borderId="37" xfId="5" applyNumberFormat="1" applyFont="1" applyFill="1" applyBorder="1" applyAlignment="1">
      <alignment horizontal="center" vertical="center"/>
    </xf>
    <xf numFmtId="2" fontId="8" fillId="26" borderId="55" xfId="5" applyNumberFormat="1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196" fontId="8" fillId="0" borderId="67" xfId="5" applyNumberFormat="1" applyFont="1" applyBorder="1" applyAlignment="1">
      <alignment horizontal="center" vertical="center"/>
    </xf>
    <xf numFmtId="196" fontId="8" fillId="0" borderId="17" xfId="5" applyNumberFormat="1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0" borderId="49" xfId="2" applyFont="1" applyBorder="1" applyAlignment="1">
      <alignment horizontal="center" vertical="center"/>
    </xf>
    <xf numFmtId="0" fontId="6" fillId="0" borderId="50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4.emf"/><Relationship Id="rId4" Type="http://schemas.openxmlformats.org/officeDocument/2006/relationships/control" Target="../activeX/activeX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349</v>
      </c>
    </row>
    <row r="22" spans="4:10" ht="18" customHeight="1">
      <c r="D22" s="3" t="s">
        <v>256</v>
      </c>
      <c r="E22" s="3" t="s">
        <v>274</v>
      </c>
      <c r="J22" s="3" t="s">
        <v>350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50">
        <v>5</v>
      </c>
      <c r="B5" s="1">
        <f>F5</f>
        <v>4.45</v>
      </c>
      <c r="E5" s="1">
        <v>5</v>
      </c>
      <c r="F5" s="1">
        <f>StepTest!G16</f>
        <v>4.45</v>
      </c>
    </row>
    <row r="6" spans="1:6">
      <c r="A6" s="50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50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50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50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50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50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50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50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50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50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50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50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50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50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51">
        <v>120</v>
      </c>
      <c r="B20" s="52">
        <f t="shared" si="0"/>
        <v>11.26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11.26</v>
      </c>
    </row>
    <row r="21" spans="1:6">
      <c r="A21" s="50">
        <v>121</v>
      </c>
      <c r="B21" s="54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50">
        <v>122</v>
      </c>
      <c r="B22" s="54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50">
        <v>123</v>
      </c>
      <c r="B23" s="54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50">
        <v>124</v>
      </c>
      <c r="B24" s="54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50">
        <v>125</v>
      </c>
      <c r="B25" s="54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50">
        <v>130</v>
      </c>
      <c r="B26" s="52">
        <f>F21</f>
        <v>13.51</v>
      </c>
      <c r="C26" s="52">
        <f>B28-B26</f>
        <v>0.38000000000000078</v>
      </c>
      <c r="D26" s="52">
        <f>C26/2</f>
        <v>0.19000000000000039</v>
      </c>
      <c r="E26" s="1">
        <v>250</v>
      </c>
      <c r="F26" s="1">
        <f>StepTest!G37</f>
        <v>17.55</v>
      </c>
    </row>
    <row r="27" spans="1:6">
      <c r="A27" s="50">
        <v>135</v>
      </c>
      <c r="B27" s="54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50">
        <v>140</v>
      </c>
      <c r="B28" s="52">
        <f>F22</f>
        <v>13.89</v>
      </c>
      <c r="C28" s="52">
        <f>B30-B28</f>
        <v>0.36999999999999922</v>
      </c>
      <c r="D28" s="52">
        <f>C28/2</f>
        <v>0.18499999999999961</v>
      </c>
      <c r="E28" s="1">
        <v>270</v>
      </c>
      <c r="F28" s="1">
        <f>StepTest!G39</f>
        <v>18.39</v>
      </c>
    </row>
    <row r="29" spans="1:6">
      <c r="A29" s="50">
        <v>145</v>
      </c>
      <c r="B29" s="54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50">
        <v>150</v>
      </c>
      <c r="B30" s="52">
        <f>F23</f>
        <v>14.26</v>
      </c>
      <c r="C30" s="52">
        <f>B36-B30</f>
        <v>0.38000000000000078</v>
      </c>
      <c r="D30" s="55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50">
        <v>155</v>
      </c>
      <c r="B31" s="54">
        <f>B30+D31</f>
        <v>14.32</v>
      </c>
      <c r="D31" s="1">
        <v>0.06</v>
      </c>
    </row>
    <row r="32" spans="1:6">
      <c r="A32" s="50">
        <v>160</v>
      </c>
      <c r="B32" s="54">
        <f t="shared" ref="B32:B39" si="1">B31+D32</f>
        <v>14.370000000000001</v>
      </c>
      <c r="D32" s="1">
        <v>0.05</v>
      </c>
    </row>
    <row r="33" spans="1:4">
      <c r="A33" s="50">
        <v>165</v>
      </c>
      <c r="B33" s="54">
        <f t="shared" si="1"/>
        <v>14.41</v>
      </c>
      <c r="D33" s="1">
        <v>0.04</v>
      </c>
    </row>
    <row r="34" spans="1:4">
      <c r="A34" s="50">
        <v>170</v>
      </c>
      <c r="B34" s="54">
        <f t="shared" si="1"/>
        <v>14.44</v>
      </c>
      <c r="D34" s="1">
        <v>0.03</v>
      </c>
    </row>
    <row r="35" spans="1:4">
      <c r="A35" s="50">
        <v>175</v>
      </c>
      <c r="B35" s="54">
        <f t="shared" si="1"/>
        <v>14.459999999999999</v>
      </c>
      <c r="D35" s="1">
        <v>0.02</v>
      </c>
    </row>
    <row r="36" spans="1:4">
      <c r="A36" s="50">
        <v>180</v>
      </c>
      <c r="B36" s="52">
        <f>F24</f>
        <v>14.64</v>
      </c>
      <c r="C36" s="52">
        <f>B40-B36</f>
        <v>0.37999999999999901</v>
      </c>
      <c r="D36" s="52">
        <f>C36/4</f>
        <v>9.4999999999999751E-2</v>
      </c>
    </row>
    <row r="37" spans="1:4">
      <c r="A37" s="50">
        <v>195</v>
      </c>
      <c r="B37" s="54">
        <f t="shared" si="1"/>
        <v>14.71</v>
      </c>
      <c r="D37" s="1">
        <v>7.0000000000000007E-2</v>
      </c>
    </row>
    <row r="38" spans="1:4">
      <c r="A38" s="50">
        <v>210</v>
      </c>
      <c r="B38" s="54">
        <f t="shared" si="1"/>
        <v>14.770000000000001</v>
      </c>
      <c r="D38" s="1">
        <v>0.06</v>
      </c>
    </row>
    <row r="39" spans="1:4">
      <c r="A39" s="50">
        <v>225</v>
      </c>
      <c r="B39" s="54">
        <f t="shared" si="1"/>
        <v>14.820000000000002</v>
      </c>
      <c r="D39" s="1">
        <v>0.05</v>
      </c>
    </row>
    <row r="40" spans="1:4">
      <c r="A40" s="51">
        <v>240</v>
      </c>
      <c r="B40" s="52">
        <f>F25</f>
        <v>15.02</v>
      </c>
      <c r="C40" s="52">
        <f>B46-B40</f>
        <v>2.5300000000000011</v>
      </c>
      <c r="D40" s="53">
        <f>C40/10</f>
        <v>0.25300000000000011</v>
      </c>
    </row>
    <row r="41" spans="1:4">
      <c r="A41" s="50">
        <v>241</v>
      </c>
      <c r="B41" s="54">
        <f>B40+D41</f>
        <v>15.2</v>
      </c>
      <c r="D41" s="1">
        <v>0.18</v>
      </c>
    </row>
    <row r="42" spans="1:4">
      <c r="A42" s="50">
        <v>242</v>
      </c>
      <c r="B42" s="54">
        <f>B41+D42</f>
        <v>15.36</v>
      </c>
      <c r="D42" s="1">
        <v>0.16</v>
      </c>
    </row>
    <row r="43" spans="1:4">
      <c r="A43" s="50">
        <v>243</v>
      </c>
      <c r="B43" s="54">
        <f>B42+D43</f>
        <v>15.51</v>
      </c>
      <c r="D43" s="1">
        <v>0.15</v>
      </c>
    </row>
    <row r="44" spans="1:4">
      <c r="A44" s="50">
        <v>244</v>
      </c>
      <c r="B44" s="54">
        <f>B43+D44</f>
        <v>15.65</v>
      </c>
      <c r="D44" s="1">
        <v>0.14000000000000001</v>
      </c>
    </row>
    <row r="45" spans="1:4">
      <c r="A45" s="50">
        <v>245</v>
      </c>
      <c r="B45" s="54">
        <f>B44+D45</f>
        <v>15.780000000000001</v>
      </c>
      <c r="D45" s="1">
        <v>0.13</v>
      </c>
    </row>
    <row r="46" spans="1:4">
      <c r="A46" s="50">
        <v>250</v>
      </c>
      <c r="B46" s="52">
        <f>F26</f>
        <v>17.55</v>
      </c>
      <c r="C46" s="52">
        <f>B48-B46</f>
        <v>0.41999999999999815</v>
      </c>
      <c r="D46" s="52">
        <f>C46/2</f>
        <v>0.20999999999999908</v>
      </c>
    </row>
    <row r="47" spans="1:4">
      <c r="A47" s="50">
        <v>255</v>
      </c>
      <c r="B47" s="54">
        <f>B46+D47</f>
        <v>17.66</v>
      </c>
      <c r="D47" s="1">
        <v>0.11</v>
      </c>
    </row>
    <row r="48" spans="1:4">
      <c r="A48" s="50">
        <v>260</v>
      </c>
      <c r="B48" s="52">
        <f>F27</f>
        <v>17.97</v>
      </c>
      <c r="C48" s="52">
        <f>B50-B48</f>
        <v>0.42000000000000171</v>
      </c>
      <c r="D48" s="52">
        <f>C48/2</f>
        <v>0.21000000000000085</v>
      </c>
    </row>
    <row r="49" spans="1:6">
      <c r="A49" s="50">
        <v>265</v>
      </c>
      <c r="B49" s="54">
        <f>B48+D49</f>
        <v>18.079999999999998</v>
      </c>
      <c r="D49" s="1">
        <v>0.11</v>
      </c>
    </row>
    <row r="50" spans="1:6">
      <c r="A50" s="50">
        <v>270</v>
      </c>
      <c r="B50" s="52">
        <f>F28</f>
        <v>18.39</v>
      </c>
      <c r="C50" s="52">
        <f>B56-B50</f>
        <v>0.41999999999999815</v>
      </c>
      <c r="D50" s="55">
        <f>C50/6</f>
        <v>6.9999999999999687E-2</v>
      </c>
    </row>
    <row r="51" spans="1:6">
      <c r="A51" s="50">
        <v>275</v>
      </c>
      <c r="B51" s="54">
        <f>B50+D51</f>
        <v>18.46</v>
      </c>
      <c r="D51" s="1">
        <v>7.0000000000000007E-2</v>
      </c>
    </row>
    <row r="52" spans="1:6">
      <c r="A52" s="50">
        <v>280</v>
      </c>
      <c r="B52" s="54">
        <f>B51+D52</f>
        <v>18.510000000000002</v>
      </c>
      <c r="D52" s="1">
        <v>0.05</v>
      </c>
    </row>
    <row r="53" spans="1:6">
      <c r="A53" s="50">
        <v>285</v>
      </c>
      <c r="B53" s="54">
        <f>B52+D53</f>
        <v>18.55</v>
      </c>
      <c r="D53" s="1">
        <v>0.04</v>
      </c>
    </row>
    <row r="54" spans="1:6">
      <c r="A54" s="50">
        <v>290</v>
      </c>
      <c r="B54" s="54">
        <f>B53+D54</f>
        <v>18.580000000000002</v>
      </c>
      <c r="D54" s="1">
        <v>0.03</v>
      </c>
    </row>
    <row r="55" spans="1:6">
      <c r="A55" s="50">
        <v>295</v>
      </c>
      <c r="B55" s="54">
        <f>B54+D55</f>
        <v>18.600000000000001</v>
      </c>
      <c r="D55" s="1">
        <v>0.02</v>
      </c>
    </row>
    <row r="56" spans="1:6">
      <c r="A56" s="50">
        <v>300</v>
      </c>
      <c r="B56" s="52">
        <f>F29</f>
        <v>18.809999999999999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18.889999999999997</v>
      </c>
      <c r="D57" s="1">
        <v>0.08</v>
      </c>
    </row>
    <row r="58" spans="1:6">
      <c r="A58" s="50">
        <v>330</v>
      </c>
      <c r="B58" s="54">
        <f>B57+D58</f>
        <v>18.949999999999996</v>
      </c>
      <c r="D58" s="1">
        <v>0.06</v>
      </c>
    </row>
    <row r="59" spans="1:6">
      <c r="A59" s="50">
        <v>345</v>
      </c>
      <c r="B59" s="54">
        <f>B58+D59</f>
        <v>18.999999999999996</v>
      </c>
      <c r="D59" s="1">
        <v>0.05</v>
      </c>
    </row>
    <row r="60" spans="1:6">
      <c r="A60" s="51">
        <v>360</v>
      </c>
      <c r="B60" s="52">
        <f>F30</f>
        <v>19.239999999999998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19.43</v>
      </c>
      <c r="D61" s="1">
        <v>0.19</v>
      </c>
    </row>
    <row r="62" spans="1:6">
      <c r="A62" s="50">
        <v>362</v>
      </c>
      <c r="B62" s="54">
        <f>B61+D62</f>
        <v>19.600000000000001</v>
      </c>
      <c r="D62" s="1">
        <v>0.17</v>
      </c>
    </row>
    <row r="63" spans="1:6">
      <c r="A63" s="50">
        <v>363</v>
      </c>
      <c r="B63" s="54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50">
        <v>364</v>
      </c>
      <c r="B64" s="54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50">
        <v>365</v>
      </c>
      <c r="B65" s="54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50">
        <v>370</v>
      </c>
      <c r="B66" s="52">
        <f>F63</f>
        <v>22.06</v>
      </c>
      <c r="C66" s="56">
        <f>B68-B66</f>
        <v>0.47000000000000242</v>
      </c>
      <c r="D66" s="52">
        <f>C66/2</f>
        <v>0.23500000000000121</v>
      </c>
      <c r="E66" s="1">
        <v>420</v>
      </c>
      <c r="F66" s="1">
        <f>StepTest!G45</f>
        <v>23.47</v>
      </c>
    </row>
    <row r="67" spans="1:6">
      <c r="A67" s="50">
        <v>375</v>
      </c>
      <c r="B67" s="54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50">
        <v>380</v>
      </c>
      <c r="B68" s="57">
        <f>F64</f>
        <v>22.53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26.82</v>
      </c>
    </row>
    <row r="69" spans="1:6">
      <c r="A69" s="50">
        <v>385</v>
      </c>
      <c r="B69" s="54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50">
        <v>390</v>
      </c>
      <c r="B70" s="57">
        <f>F65</f>
        <v>23</v>
      </c>
      <c r="C70" s="52">
        <f>B76-B70</f>
        <v>0.46999999999999886</v>
      </c>
      <c r="D70" s="55">
        <f>C70/6</f>
        <v>7.8333333333333144E-2</v>
      </c>
      <c r="E70" s="1">
        <v>510</v>
      </c>
      <c r="F70" s="1">
        <f>StepTest!G49</f>
        <v>28.97</v>
      </c>
    </row>
    <row r="71" spans="1:6">
      <c r="A71" s="50">
        <v>395</v>
      </c>
      <c r="B71" s="54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50">
        <v>400</v>
      </c>
      <c r="B72" s="54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50">
        <v>405</v>
      </c>
      <c r="B73" s="54">
        <f>B72+D73</f>
        <v>23.16</v>
      </c>
      <c r="D73" s="1">
        <v>0.04</v>
      </c>
    </row>
    <row r="74" spans="1:6">
      <c r="A74" s="50">
        <v>410</v>
      </c>
      <c r="B74" s="54">
        <f>B73+D74</f>
        <v>23.19</v>
      </c>
      <c r="D74" s="1">
        <v>0.03</v>
      </c>
    </row>
    <row r="75" spans="1:6">
      <c r="A75" s="50">
        <v>415</v>
      </c>
      <c r="B75" s="54">
        <f>B74+D75</f>
        <v>23.220000000000002</v>
      </c>
      <c r="D75" s="1">
        <v>0.03</v>
      </c>
    </row>
    <row r="76" spans="1:6">
      <c r="A76" s="50">
        <v>420</v>
      </c>
      <c r="B76" s="57">
        <f>F66</f>
        <v>23.47</v>
      </c>
      <c r="C76" s="52">
        <f>B80-B76</f>
        <v>0.48000000000000043</v>
      </c>
      <c r="D76" s="52">
        <f>C76/4</f>
        <v>0.12000000000000011</v>
      </c>
    </row>
    <row r="77" spans="1:6">
      <c r="A77" s="50">
        <v>435</v>
      </c>
      <c r="B77" s="54">
        <f>B76+D77</f>
        <v>23.56</v>
      </c>
      <c r="D77" s="1">
        <v>0.09</v>
      </c>
    </row>
    <row r="78" spans="1:6">
      <c r="A78" s="50">
        <v>450</v>
      </c>
      <c r="B78" s="54">
        <f>B77+D78</f>
        <v>23.63</v>
      </c>
      <c r="D78" s="1">
        <v>7.0000000000000007E-2</v>
      </c>
    </row>
    <row r="79" spans="1:6">
      <c r="A79" s="50">
        <v>465</v>
      </c>
      <c r="B79" s="54">
        <f>B78+D79</f>
        <v>23.68</v>
      </c>
      <c r="D79" s="1">
        <v>0.05</v>
      </c>
    </row>
    <row r="80" spans="1:6">
      <c r="A80" s="51">
        <v>480</v>
      </c>
      <c r="B80" s="57">
        <f>F67</f>
        <v>23.95</v>
      </c>
      <c r="C80" s="52">
        <f>B86-B80</f>
        <v>2.870000000000001</v>
      </c>
      <c r="D80" s="53">
        <f>C80/10</f>
        <v>0.28700000000000009</v>
      </c>
    </row>
    <row r="81" spans="1:4">
      <c r="A81" s="50">
        <v>481</v>
      </c>
      <c r="B81" s="54">
        <f>B80+D81</f>
        <v>24.16</v>
      </c>
      <c r="D81" s="1">
        <v>0.21</v>
      </c>
    </row>
    <row r="82" spans="1:4">
      <c r="A82" s="50">
        <v>482</v>
      </c>
      <c r="B82" s="54">
        <f>B81+D82</f>
        <v>24.35</v>
      </c>
      <c r="D82" s="1">
        <v>0.19</v>
      </c>
    </row>
    <row r="83" spans="1:4">
      <c r="A83" s="50">
        <v>483</v>
      </c>
      <c r="B83" s="54">
        <f>B82+D83</f>
        <v>24.520000000000003</v>
      </c>
      <c r="D83" s="1">
        <v>0.17</v>
      </c>
    </row>
    <row r="84" spans="1:4">
      <c r="A84" s="50">
        <v>484</v>
      </c>
      <c r="B84" s="54">
        <f>B83+D84</f>
        <v>24.680000000000003</v>
      </c>
      <c r="D84" s="1">
        <v>0.16</v>
      </c>
    </row>
    <row r="85" spans="1:4">
      <c r="A85" s="50">
        <v>485</v>
      </c>
      <c r="B85" s="54">
        <f>B84+D85</f>
        <v>24.820000000000004</v>
      </c>
      <c r="D85" s="1">
        <v>0.14000000000000001</v>
      </c>
    </row>
    <row r="86" spans="1:4">
      <c r="A86" s="50">
        <v>490</v>
      </c>
      <c r="B86" s="57">
        <f>F68</f>
        <v>26.82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27.13</v>
      </c>
      <c r="D87" s="1">
        <v>0.31</v>
      </c>
    </row>
    <row r="88" spans="1:4">
      <c r="A88" s="50">
        <v>500</v>
      </c>
      <c r="B88" s="57">
        <f>F69</f>
        <v>27.89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28.19</v>
      </c>
      <c r="D89" s="1">
        <v>0.3</v>
      </c>
    </row>
    <row r="90" spans="1:4">
      <c r="A90" s="50">
        <v>510</v>
      </c>
      <c r="B90" s="57">
        <f>F70</f>
        <v>28.97</v>
      </c>
      <c r="C90" s="52">
        <f>B96-B90</f>
        <v>1.0800000000000018</v>
      </c>
      <c r="D90" s="55">
        <f>C90/6</f>
        <v>0.1800000000000003</v>
      </c>
    </row>
    <row r="91" spans="1:4">
      <c r="A91" s="50">
        <v>515</v>
      </c>
      <c r="B91" s="54">
        <f>B90+D91</f>
        <v>29.119999999999997</v>
      </c>
      <c r="D91" s="1">
        <v>0.15</v>
      </c>
    </row>
    <row r="92" spans="1:4">
      <c r="A92" s="50">
        <v>520</v>
      </c>
      <c r="B92" s="54">
        <f>B91+D92</f>
        <v>29.249999999999996</v>
      </c>
      <c r="D92" s="1">
        <v>0.13</v>
      </c>
    </row>
    <row r="93" spans="1:4">
      <c r="A93" s="50">
        <v>525</v>
      </c>
      <c r="B93" s="54">
        <f>B92+D93</f>
        <v>29.359999999999996</v>
      </c>
      <c r="D93" s="1">
        <v>0.11</v>
      </c>
    </row>
    <row r="94" spans="1:4">
      <c r="A94" s="50">
        <v>530</v>
      </c>
      <c r="B94" s="54">
        <f>B93+D94</f>
        <v>29.439999999999994</v>
      </c>
      <c r="D94" s="1">
        <v>0.08</v>
      </c>
    </row>
    <row r="95" spans="1:4">
      <c r="A95" s="50">
        <v>535</v>
      </c>
      <c r="B95" s="54">
        <f>B94+D95</f>
        <v>29.509999999999994</v>
      </c>
      <c r="D95" s="1">
        <v>7.0000000000000007E-2</v>
      </c>
    </row>
    <row r="96" spans="1:4">
      <c r="A96" s="50">
        <v>540</v>
      </c>
      <c r="B96" s="57">
        <f>F71</f>
        <v>30.05</v>
      </c>
      <c r="C96" s="52">
        <f>B100-B96</f>
        <v>1.0799999999999983</v>
      </c>
      <c r="D96" s="52">
        <f>C96/4</f>
        <v>0.26999999999999957</v>
      </c>
    </row>
    <row r="97" spans="1:4">
      <c r="A97" s="50">
        <v>555</v>
      </c>
      <c r="B97" s="54">
        <f>B96+D97</f>
        <v>30.240000000000002</v>
      </c>
      <c r="D97" s="1">
        <v>0.19</v>
      </c>
    </row>
    <row r="98" spans="1:4">
      <c r="A98" s="50">
        <v>570</v>
      </c>
      <c r="B98" s="54">
        <f>B97+D98</f>
        <v>30.400000000000002</v>
      </c>
      <c r="D98" s="1">
        <v>0.16</v>
      </c>
    </row>
    <row r="99" spans="1:4">
      <c r="A99" s="50">
        <v>585</v>
      </c>
      <c r="B99" s="54">
        <f>B98+D99</f>
        <v>30.540000000000003</v>
      </c>
      <c r="D99" s="1">
        <v>0.14000000000000001</v>
      </c>
    </row>
    <row r="100" spans="1:4">
      <c r="A100" s="51">
        <v>600</v>
      </c>
      <c r="B100" s="34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7" zoomScaleNormal="100" workbookViewId="0">
      <selection activeCell="S26" sqref="S26"/>
    </sheetView>
  </sheetViews>
  <sheetFormatPr defaultColWidth="9" defaultRowHeight="16.5"/>
  <cols>
    <col min="1" max="1" width="13.875" style="310" customWidth="1"/>
    <col min="2" max="2" width="10.125" style="310" customWidth="1"/>
    <col min="3" max="3" width="12.25" style="310" bestFit="1" customWidth="1"/>
    <col min="4" max="4" width="8.375" style="310" customWidth="1"/>
    <col min="5" max="5" width="7.125" style="310" customWidth="1"/>
    <col min="6" max="6" width="6" style="310" bestFit="1" customWidth="1"/>
    <col min="7" max="7" width="9.75" style="310" bestFit="1" customWidth="1"/>
    <col min="8" max="8" width="10.375" style="311" customWidth="1"/>
    <col min="9" max="9" width="11.625" style="311" bestFit="1" customWidth="1"/>
    <col min="10" max="10" width="9" style="311"/>
    <col min="11" max="11" width="11.875" style="311" customWidth="1"/>
    <col min="12" max="12" width="10.375" style="311" customWidth="1"/>
    <col min="13" max="14" width="9" style="311"/>
    <col min="15" max="15" width="13.375" style="311" customWidth="1"/>
    <col min="16" max="16" width="9" style="311" customWidth="1"/>
    <col min="17" max="17" width="11.375" style="311" bestFit="1" customWidth="1"/>
    <col min="18" max="18" width="10.875" style="311" customWidth="1"/>
    <col min="19" max="19" width="12.75" style="311" customWidth="1"/>
    <col min="20" max="21" width="10.375" style="311" bestFit="1" customWidth="1"/>
    <col min="22" max="24" width="9.75" style="311" customWidth="1"/>
    <col min="25" max="16384" width="9" style="311"/>
  </cols>
  <sheetData>
    <row r="1" spans="1:19" s="6" customFormat="1">
      <c r="A1" s="262"/>
      <c r="B1" s="262"/>
      <c r="C1" s="262"/>
      <c r="D1" s="262"/>
      <c r="E1" s="273">
        <f>SUM(E3:E6)</f>
        <v>59.05416666666666</v>
      </c>
      <c r="F1" s="273"/>
      <c r="G1" s="273">
        <f>E1/E2</f>
        <v>0.88581249999999989</v>
      </c>
    </row>
    <row r="2" spans="1:19" s="6" customFormat="1">
      <c r="A2" s="538" t="s">
        <v>0</v>
      </c>
      <c r="B2" s="538" t="s">
        <v>236</v>
      </c>
      <c r="C2" s="262"/>
      <c r="D2" s="265">
        <f>D19</f>
        <v>112</v>
      </c>
      <c r="E2" s="273">
        <f>M51/3</f>
        <v>66.666666666666671</v>
      </c>
      <c r="F2" s="275" t="s">
        <v>2</v>
      </c>
      <c r="G2" s="536" t="s">
        <v>3</v>
      </c>
    </row>
    <row r="3" spans="1:19" s="6" customFormat="1">
      <c r="A3" s="276">
        <f>B3+$M$48</f>
        <v>22.61</v>
      </c>
      <c r="B3" s="277">
        <f>B20</f>
        <v>11.26</v>
      </c>
      <c r="C3" s="268"/>
      <c r="D3" s="278">
        <f t="shared" ref="D3:D7" si="0">D20</f>
        <v>125</v>
      </c>
      <c r="E3" s="262">
        <f>D3/12</f>
        <v>10.416666666666666</v>
      </c>
      <c r="F3" s="279">
        <f>B3/D3</f>
        <v>9.0079999999999993E-2</v>
      </c>
      <c r="G3" s="279">
        <f>1/F3</f>
        <v>11.101243339253998</v>
      </c>
    </row>
    <row r="4" spans="1:19" s="6" customFormat="1">
      <c r="A4" s="276">
        <f>B4+$M$48</f>
        <v>26.369999999999997</v>
      </c>
      <c r="B4" s="268">
        <f>B21</f>
        <v>15.02</v>
      </c>
      <c r="C4" s="268"/>
      <c r="D4" s="265">
        <f t="shared" si="0"/>
        <v>160</v>
      </c>
      <c r="E4" s="262">
        <f>D4/12</f>
        <v>13.333333333333334</v>
      </c>
      <c r="F4" s="279">
        <f t="shared" ref="F4:F7" si="1">B4/D4</f>
        <v>9.3875E-2</v>
      </c>
      <c r="G4" s="279">
        <f t="shared" ref="G4:G7" si="2">1/F4</f>
        <v>10.652463382157125</v>
      </c>
    </row>
    <row r="5" spans="1:19" s="6" customFormat="1">
      <c r="A5" s="276">
        <f>B5+$M$48</f>
        <v>30.589999999999996</v>
      </c>
      <c r="B5" s="268">
        <f>B22</f>
        <v>19.239999999999998</v>
      </c>
      <c r="C5" s="268"/>
      <c r="D5" s="265">
        <f t="shared" si="0"/>
        <v>194.65</v>
      </c>
      <c r="E5" s="262">
        <f>D5/12</f>
        <v>16.220833333333335</v>
      </c>
      <c r="F5" s="279">
        <f t="shared" si="1"/>
        <v>9.8844079116362685E-2</v>
      </c>
      <c r="G5" s="279">
        <f t="shared" si="2"/>
        <v>10.116943866943869</v>
      </c>
    </row>
    <row r="6" spans="1:19" s="6" customFormat="1">
      <c r="A6" s="276">
        <f>B6+$M$48</f>
        <v>35.299999999999997</v>
      </c>
      <c r="B6" s="277">
        <f>B23</f>
        <v>23.95</v>
      </c>
      <c r="C6" s="268"/>
      <c r="D6" s="265">
        <f>D23</f>
        <v>229</v>
      </c>
      <c r="E6" s="262">
        <f>D6/12</f>
        <v>19.083333333333332</v>
      </c>
      <c r="F6" s="279">
        <f t="shared" si="1"/>
        <v>0.10458515283842794</v>
      </c>
      <c r="G6" s="279">
        <f t="shared" si="2"/>
        <v>9.5615866388308977</v>
      </c>
    </row>
    <row r="7" spans="1:19" s="6" customFormat="1">
      <c r="A7" s="276">
        <f>B7+$M$48</f>
        <v>42.48</v>
      </c>
      <c r="B7" s="268">
        <f>B24</f>
        <v>31.13</v>
      </c>
      <c r="C7" s="268"/>
      <c r="D7" s="265">
        <f t="shared" si="0"/>
        <v>263.34999999999997</v>
      </c>
      <c r="E7" s="262">
        <f>D7/12</f>
        <v>21.945833333333329</v>
      </c>
      <c r="F7" s="279">
        <f t="shared" si="1"/>
        <v>0.1182077083728878</v>
      </c>
      <c r="G7" s="279">
        <f t="shared" si="2"/>
        <v>8.4596851911339535</v>
      </c>
    </row>
    <row r="8" spans="1:19" s="6" customFormat="1">
      <c r="A8" s="262"/>
      <c r="B8" s="262" t="s">
        <v>4</v>
      </c>
      <c r="C8" s="262"/>
      <c r="D8" s="262"/>
      <c r="E8" s="579" t="s">
        <v>5</v>
      </c>
      <c r="F8" s="579"/>
      <c r="G8" s="579"/>
    </row>
    <row r="9" spans="1:19" s="6" customFormat="1">
      <c r="A9" s="539" t="s">
        <v>6</v>
      </c>
      <c r="B9" s="539" t="s">
        <v>2</v>
      </c>
      <c r="C9" s="262"/>
      <c r="D9" s="262"/>
      <c r="E9" s="264">
        <v>0.98</v>
      </c>
      <c r="F9" s="580" t="s">
        <v>7</v>
      </c>
      <c r="G9" s="580"/>
    </row>
    <row r="10" spans="1:19" s="6" customFormat="1">
      <c r="A10" s="280">
        <f>D20/B20</f>
        <v>11.101243339253998</v>
      </c>
      <c r="B10" s="280">
        <f>B20/D20</f>
        <v>9.0079999999999993E-2</v>
      </c>
      <c r="C10" s="262"/>
      <c r="D10" s="262"/>
      <c r="E10" s="264">
        <v>0.98</v>
      </c>
      <c r="F10" s="580" t="s">
        <v>8</v>
      </c>
      <c r="G10" s="580"/>
    </row>
    <row r="11" spans="1:19" s="6" customFormat="1">
      <c r="A11" s="280">
        <f t="shared" ref="A11:A14" si="3">D21/B21</f>
        <v>10.652463382157125</v>
      </c>
      <c r="B11" s="280">
        <f t="shared" ref="B11:B14" si="4">B21/D21</f>
        <v>9.3875E-2</v>
      </c>
      <c r="C11" s="262"/>
      <c r="D11" s="262" t="s">
        <v>4</v>
      </c>
      <c r="E11" s="264">
        <v>0.98</v>
      </c>
      <c r="F11" s="580" t="s">
        <v>9</v>
      </c>
      <c r="G11" s="580"/>
    </row>
    <row r="12" spans="1:19" s="6" customFormat="1">
      <c r="A12" s="280">
        <f t="shared" si="3"/>
        <v>10.116943866943869</v>
      </c>
      <c r="B12" s="280">
        <f t="shared" si="4"/>
        <v>9.8844079116362685E-2</v>
      </c>
      <c r="C12" s="262"/>
      <c r="D12" s="262"/>
      <c r="E12" s="264">
        <v>1</v>
      </c>
      <c r="F12" s="580" t="s">
        <v>10</v>
      </c>
      <c r="G12" s="580"/>
    </row>
    <row r="13" spans="1:19" s="6" customFormat="1">
      <c r="A13" s="280">
        <f t="shared" si="3"/>
        <v>9.5615866388308977</v>
      </c>
      <c r="B13" s="280">
        <f t="shared" si="4"/>
        <v>0.10458515283842794</v>
      </c>
      <c r="C13" s="262"/>
      <c r="D13" s="262" t="s">
        <v>4</v>
      </c>
      <c r="E13" s="579" t="s">
        <v>11</v>
      </c>
      <c r="F13" s="579"/>
      <c r="G13" s="579"/>
    </row>
    <row r="14" spans="1:19" s="6" customFormat="1">
      <c r="A14" s="280">
        <f t="shared" si="3"/>
        <v>8.4596851911339535</v>
      </c>
      <c r="B14" s="280">
        <f t="shared" si="4"/>
        <v>0.1182077083728878</v>
      </c>
      <c r="C14" s="262"/>
      <c r="D14" s="262"/>
      <c r="E14" s="264">
        <v>1</v>
      </c>
      <c r="F14" s="580" t="s">
        <v>7</v>
      </c>
      <c r="G14" s="580"/>
    </row>
    <row r="15" spans="1:19" s="6" customFormat="1" ht="17.25" thickBot="1">
      <c r="A15" s="262"/>
      <c r="B15" s="262"/>
      <c r="C15" s="262"/>
      <c r="D15" s="262"/>
      <c r="E15" s="264">
        <v>1</v>
      </c>
      <c r="F15" s="580" t="s">
        <v>8</v>
      </c>
      <c r="G15" s="580"/>
    </row>
    <row r="16" spans="1:19" s="6" customFormat="1">
      <c r="A16" s="262"/>
      <c r="B16" s="535" t="s">
        <v>12</v>
      </c>
      <c r="C16" s="262"/>
      <c r="D16" s="535" t="s">
        <v>13</v>
      </c>
      <c r="E16" s="533">
        <v>1</v>
      </c>
      <c r="F16" s="580" t="s">
        <v>9</v>
      </c>
      <c r="G16" s="580"/>
      <c r="Q16" s="540" t="s">
        <v>337</v>
      </c>
      <c r="R16" s="541"/>
      <c r="S16" s="542"/>
    </row>
    <row r="17" spans="1:21" s="6" customFormat="1" ht="17.25" thickBot="1">
      <c r="A17" s="262"/>
      <c r="B17" s="532">
        <f>M52</f>
        <v>23.95</v>
      </c>
      <c r="C17" s="262"/>
      <c r="D17" s="534">
        <f>M47</f>
        <v>229</v>
      </c>
      <c r="E17" s="533">
        <v>1</v>
      </c>
      <c r="F17" s="580" t="s">
        <v>10</v>
      </c>
      <c r="G17" s="580"/>
      <c r="P17" s="285"/>
      <c r="Q17" s="286"/>
    </row>
    <row r="18" spans="1:21" s="6" customFormat="1" ht="17.25" thickBot="1">
      <c r="A18" s="262"/>
      <c r="B18" s="262"/>
      <c r="C18" s="262"/>
      <c r="D18" s="262"/>
      <c r="E18" s="262"/>
      <c r="F18" s="268"/>
      <c r="G18" s="268"/>
      <c r="P18" s="285"/>
    </row>
    <row r="19" spans="1:21" s="6" customFormat="1" ht="17.25" thickBot="1">
      <c r="A19" s="262"/>
      <c r="B19" s="268"/>
      <c r="C19" s="268"/>
      <c r="D19" s="537">
        <f>INT(D20*0.9)</f>
        <v>112</v>
      </c>
      <c r="E19" s="262"/>
      <c r="F19" s="268"/>
      <c r="G19" s="268"/>
    </row>
    <row r="20" spans="1:21" s="6" customFormat="1">
      <c r="A20" s="274" t="s">
        <v>241</v>
      </c>
      <c r="B20" s="529">
        <f>INT(B$17*C20*100)/100</f>
        <v>11.26</v>
      </c>
      <c r="C20" s="262">
        <f>0.48*E9</f>
        <v>0.47039999999999998</v>
      </c>
      <c r="D20" s="526">
        <f>INT(D$17*E20)</f>
        <v>125</v>
      </c>
      <c r="E20" s="281">
        <f>0.55*E14</f>
        <v>0.55000000000000004</v>
      </c>
      <c r="F20" s="279">
        <f>B20/D20</f>
        <v>9.0079999999999993E-2</v>
      </c>
      <c r="G20" s="262">
        <f>F20-F19</f>
        <v>9.0079999999999993E-2</v>
      </c>
    </row>
    <row r="21" spans="1:21" s="6" customFormat="1">
      <c r="A21" s="268">
        <f>B21-B20</f>
        <v>3.76</v>
      </c>
      <c r="B21" s="530">
        <f>INT(B$17*C21*100)/100</f>
        <v>15.02</v>
      </c>
      <c r="C21" s="262">
        <f>0.64*E10</f>
        <v>0.62719999999999998</v>
      </c>
      <c r="D21" s="526">
        <f>INT(D$17*E21)</f>
        <v>160</v>
      </c>
      <c r="E21" s="281">
        <f>0.7*E15</f>
        <v>0.7</v>
      </c>
      <c r="F21" s="279">
        <f>B21/D21</f>
        <v>9.3875E-2</v>
      </c>
      <c r="G21" s="262">
        <f>F21-F20</f>
        <v>3.7950000000000067E-3</v>
      </c>
      <c r="O21" s="287"/>
      <c r="P21" s="287"/>
      <c r="Q21" s="287"/>
      <c r="R21" s="287"/>
      <c r="S21" s="287"/>
      <c r="T21" s="287"/>
    </row>
    <row r="22" spans="1:21" s="6" customFormat="1">
      <c r="A22" s="268">
        <f>B22-B21</f>
        <v>4.2199999999999989</v>
      </c>
      <c r="B22" s="530">
        <f>INT(B$17*C22*100)/100</f>
        <v>19.239999999999998</v>
      </c>
      <c r="C22" s="262">
        <f>0.82*E11</f>
        <v>0.80359999999999998</v>
      </c>
      <c r="D22" s="527">
        <f>(D$17*E22)</f>
        <v>194.65</v>
      </c>
      <c r="E22" s="281">
        <f>0.85*E16</f>
        <v>0.85</v>
      </c>
      <c r="F22" s="279">
        <f>B22/D22</f>
        <v>9.8844079116362685E-2</v>
      </c>
      <c r="G22" s="408">
        <f>F22-F21</f>
        <v>4.9690791163626846E-3</v>
      </c>
    </row>
    <row r="23" spans="1:21" s="6" customFormat="1">
      <c r="A23" s="268">
        <f>B23-B22</f>
        <v>4.7100000000000009</v>
      </c>
      <c r="B23" s="530">
        <f>INT(B$17*C23*100)/100</f>
        <v>23.95</v>
      </c>
      <c r="C23" s="262">
        <v>1</v>
      </c>
      <c r="D23" s="526">
        <f>D$17*E23</f>
        <v>229</v>
      </c>
      <c r="E23" s="281">
        <v>1</v>
      </c>
      <c r="F23" s="279">
        <f>B23/D23</f>
        <v>0.10458515283842794</v>
      </c>
      <c r="G23" s="262">
        <f>F23-F22</f>
        <v>5.7410737220652541E-3</v>
      </c>
      <c r="O23" s="288"/>
      <c r="Q23" s="288"/>
      <c r="S23" s="288"/>
      <c r="U23" s="288"/>
    </row>
    <row r="24" spans="1:21" s="6" customFormat="1" ht="17.25" thickBot="1">
      <c r="A24" s="268">
        <f>B24-B23</f>
        <v>7.18</v>
      </c>
      <c r="B24" s="531">
        <f>INT(B$17*C24*100)/100</f>
        <v>31.13</v>
      </c>
      <c r="C24" s="262">
        <f>1.3*E12</f>
        <v>1.3</v>
      </c>
      <c r="D24" s="528">
        <f>D$17*E24</f>
        <v>263.34999999999997</v>
      </c>
      <c r="E24" s="281">
        <v>1.1499999999999999</v>
      </c>
      <c r="F24" s="279"/>
      <c r="G24" s="268"/>
      <c r="O24" s="288"/>
      <c r="Q24" s="288"/>
      <c r="S24" s="288"/>
      <c r="U24" s="288"/>
    </row>
    <row r="25" spans="1:21" s="6" customFormat="1">
      <c r="A25" s="262"/>
      <c r="B25" s="262"/>
      <c r="C25" s="262"/>
      <c r="D25" s="262"/>
      <c r="E25" s="262"/>
      <c r="F25" s="279">
        <f>B24/D24</f>
        <v>0.1182077083728878</v>
      </c>
      <c r="G25" s="268"/>
      <c r="O25" s="288"/>
      <c r="Q25" s="288"/>
      <c r="S25" s="288"/>
      <c r="U25" s="288"/>
    </row>
    <row r="26" spans="1:21" s="6" customFormat="1">
      <c r="A26" s="565" t="s">
        <v>14</v>
      </c>
      <c r="B26" s="565"/>
      <c r="C26" s="282">
        <f>INT(M51*1)</f>
        <v>200</v>
      </c>
      <c r="D26" s="262"/>
      <c r="E26" s="262"/>
      <c r="F26" s="283">
        <f>M50/M51</f>
        <v>0.1346</v>
      </c>
      <c r="G26" s="262"/>
      <c r="O26" s="288"/>
      <c r="Q26" s="288"/>
      <c r="S26" s="288"/>
      <c r="U26" s="288"/>
    </row>
    <row r="27" spans="1:21" s="6" customFormat="1">
      <c r="A27" s="565" t="s">
        <v>15</v>
      </c>
      <c r="B27" s="565"/>
      <c r="C27" s="284">
        <f>SafeYield!B7</f>
        <v>206.73853344516303</v>
      </c>
      <c r="D27" s="268">
        <f>(C27/D6)*100</f>
        <v>90.278835565573374</v>
      </c>
      <c r="E27" s="262"/>
      <c r="F27" s="262"/>
      <c r="G27" s="262"/>
      <c r="O27" s="288"/>
      <c r="Q27" s="288"/>
      <c r="S27" s="288"/>
      <c r="U27" s="288"/>
    </row>
    <row r="28" spans="1:21" s="6" customFormat="1">
      <c r="A28" s="262"/>
      <c r="B28" s="262"/>
      <c r="C28" s="262"/>
      <c r="D28" s="262"/>
      <c r="E28" s="262"/>
      <c r="F28" s="262"/>
      <c r="G28" s="262"/>
      <c r="O28" s="288"/>
      <c r="Q28" s="288"/>
      <c r="S28" s="288"/>
      <c r="U28" s="288"/>
    </row>
    <row r="29" spans="1:21" s="6" customFormat="1" ht="13.5" customHeight="1">
      <c r="A29" s="262"/>
      <c r="B29" s="262"/>
      <c r="C29" s="262"/>
      <c r="D29" s="262"/>
      <c r="E29" s="262"/>
      <c r="F29" s="262"/>
      <c r="G29" s="262"/>
      <c r="O29" s="288"/>
      <c r="Q29" s="288"/>
      <c r="S29" s="288"/>
      <c r="U29" s="288"/>
    </row>
    <row r="30" spans="1:21" s="6" customFormat="1" ht="13.5" customHeight="1">
      <c r="A30" s="421" t="s">
        <v>16</v>
      </c>
      <c r="B30" s="421" t="s">
        <v>17</v>
      </c>
      <c r="C30" s="262"/>
      <c r="D30" s="262"/>
      <c r="E30" s="263">
        <f>ROUNDUP(F32,-1)</f>
        <v>90</v>
      </c>
      <c r="F30" s="263">
        <f>ROUNDDOWN(F35,-1)</f>
        <v>60</v>
      </c>
      <c r="G30" s="262"/>
      <c r="O30" s="288"/>
      <c r="Q30" s="288"/>
      <c r="S30" s="288"/>
      <c r="U30" s="288"/>
    </row>
    <row r="31" spans="1:21" s="6" customFormat="1" ht="13.5" customHeight="1">
      <c r="A31" s="426">
        <v>1.3980000000000001E-4</v>
      </c>
      <c r="B31" s="426">
        <v>7.2076799999999996E-2</v>
      </c>
      <c r="C31" s="262"/>
      <c r="D31" s="265">
        <f t="shared" ref="D31:D36" si="5">D19</f>
        <v>112</v>
      </c>
      <c r="E31" s="262"/>
      <c r="F31" s="263"/>
      <c r="G31" s="263"/>
      <c r="O31" s="288"/>
      <c r="Q31" s="288"/>
      <c r="S31" s="288"/>
      <c r="U31" s="288"/>
    </row>
    <row r="32" spans="1:21" s="6" customFormat="1" ht="13.5" customHeight="1">
      <c r="A32" s="262">
        <f t="shared" ref="A32:B34" si="6">A31</f>
        <v>1.3980000000000001E-4</v>
      </c>
      <c r="B32" s="262">
        <f t="shared" si="6"/>
        <v>7.2076799999999996E-2</v>
      </c>
      <c r="C32" s="262"/>
      <c r="D32" s="265">
        <f t="shared" si="5"/>
        <v>125</v>
      </c>
      <c r="E32" s="262"/>
      <c r="F32" s="263">
        <f>B32*D32/(B32*D32+A32*D32*D32)*100</f>
        <v>80.486154382156471</v>
      </c>
      <c r="G32" s="263"/>
      <c r="O32" s="288"/>
      <c r="Q32" s="288"/>
      <c r="S32" s="288"/>
      <c r="U32" s="288"/>
    </row>
    <row r="33" spans="1:21" s="6" customFormat="1" ht="13.5" customHeight="1">
      <c r="A33" s="262">
        <f t="shared" si="6"/>
        <v>1.3980000000000001E-4</v>
      </c>
      <c r="B33" s="262">
        <f t="shared" si="6"/>
        <v>7.2076799999999996E-2</v>
      </c>
      <c r="C33" s="262"/>
      <c r="D33" s="265">
        <f t="shared" si="5"/>
        <v>160</v>
      </c>
      <c r="E33" s="262"/>
      <c r="F33" s="263">
        <f>B33*D33/(B33*D33+A33*D33*D33)*100</f>
        <v>76.316324456190287</v>
      </c>
      <c r="G33" s="263"/>
      <c r="N33" s="287"/>
      <c r="O33" s="289"/>
      <c r="P33" s="290"/>
      <c r="Q33" s="289"/>
      <c r="R33" s="290"/>
      <c r="S33" s="289"/>
      <c r="T33" s="290"/>
      <c r="U33" s="289"/>
    </row>
    <row r="34" spans="1:21" s="6" customFormat="1" ht="13.5" customHeight="1">
      <c r="A34" s="262">
        <f t="shared" si="6"/>
        <v>1.3980000000000001E-4</v>
      </c>
      <c r="B34" s="262">
        <f t="shared" si="6"/>
        <v>7.2076799999999996E-2</v>
      </c>
      <c r="C34" s="262"/>
      <c r="D34" s="265">
        <f t="shared" si="5"/>
        <v>194.65</v>
      </c>
      <c r="E34" s="262"/>
      <c r="F34" s="263">
        <f>B34*D34/(B34*D34+A34*D34*D34)*100</f>
        <v>72.593030820070766</v>
      </c>
      <c r="G34" s="263"/>
      <c r="N34" s="287"/>
      <c r="O34" s="289"/>
      <c r="P34" s="291"/>
      <c r="Q34" s="289"/>
      <c r="R34" s="291"/>
      <c r="S34" s="289"/>
      <c r="T34" s="291"/>
      <c r="U34" s="289"/>
    </row>
    <row r="35" spans="1:21" s="6" customFormat="1" ht="13.5" customHeight="1">
      <c r="A35" s="262">
        <f>A34</f>
        <v>1.3980000000000001E-4</v>
      </c>
      <c r="B35" s="262">
        <f>B34</f>
        <v>7.2076799999999996E-2</v>
      </c>
      <c r="C35" s="262"/>
      <c r="D35" s="265">
        <f t="shared" si="5"/>
        <v>229</v>
      </c>
      <c r="E35" s="262"/>
      <c r="F35" s="263">
        <f>B35*D35/(B35*D35+A35*D35*D35)*100</f>
        <v>69.244026861111905</v>
      </c>
      <c r="G35" s="263"/>
      <c r="N35" s="287"/>
    </row>
    <row r="36" spans="1:21" s="6" customFormat="1" ht="13.5" customHeight="1">
      <c r="A36" s="262"/>
      <c r="B36" s="262"/>
      <c r="C36" s="262"/>
      <c r="D36" s="265">
        <f t="shared" si="5"/>
        <v>263.34999999999997</v>
      </c>
      <c r="E36" s="262"/>
      <c r="F36" s="263"/>
      <c r="G36" s="263"/>
      <c r="N36" s="287"/>
    </row>
    <row r="37" spans="1:21" s="6" customFormat="1" ht="13.5" customHeight="1">
      <c r="A37" s="261" t="s">
        <v>18</v>
      </c>
      <c r="B37" s="261" t="s">
        <v>19</v>
      </c>
      <c r="C37" s="261" t="s">
        <v>20</v>
      </c>
      <c r="D37" s="262" t="s">
        <v>21</v>
      </c>
      <c r="E37" s="262" t="s">
        <v>21</v>
      </c>
      <c r="F37" s="263">
        <f>AVERAGE(F32:F35)</f>
        <v>74.659884129882357</v>
      </c>
      <c r="G37" s="262"/>
      <c r="P37" s="108"/>
      <c r="Q37" s="108"/>
    </row>
    <row r="38" spans="1:21" s="6" customFormat="1" ht="13.5" customHeight="1">
      <c r="A38" s="266">
        <v>72.203000000000003</v>
      </c>
      <c r="B38" s="264">
        <v>0.108</v>
      </c>
      <c r="C38" s="264">
        <v>93.802999999999997</v>
      </c>
      <c r="D38" s="262"/>
      <c r="E38" s="262" t="s">
        <v>21</v>
      </c>
      <c r="F38" s="262"/>
      <c r="G38" s="262"/>
      <c r="P38" s="108"/>
      <c r="Q38" s="108"/>
    </row>
    <row r="39" spans="1:21" s="6" customFormat="1" ht="13.5" customHeight="1">
      <c r="A39" s="267"/>
      <c r="B39" s="262" t="s">
        <v>22</v>
      </c>
      <c r="C39" s="268">
        <f>(C38-A38)/B38</f>
        <v>199.99999999999994</v>
      </c>
      <c r="D39" s="262">
        <f>C38-B38*M51</f>
        <v>72.203000000000003</v>
      </c>
      <c r="E39" s="262"/>
      <c r="F39" s="262"/>
      <c r="G39" s="262"/>
    </row>
    <row r="40" spans="1:21" s="6" customFormat="1" ht="13.5" customHeight="1">
      <c r="A40" s="267" t="s">
        <v>23</v>
      </c>
      <c r="B40" s="262" t="s">
        <v>22</v>
      </c>
      <c r="C40" s="262">
        <f>INT(C39)</f>
        <v>200</v>
      </c>
      <c r="D40" s="262"/>
      <c r="E40" s="262"/>
      <c r="F40" s="262"/>
      <c r="G40" s="262"/>
    </row>
    <row r="41" spans="1:21" s="6" customFormat="1" ht="13.5" customHeight="1">
      <c r="A41" s="262"/>
      <c r="B41" s="262"/>
      <c r="C41" s="262"/>
      <c r="D41" s="262"/>
      <c r="E41" s="262"/>
      <c r="F41" s="262"/>
      <c r="G41" s="262"/>
    </row>
    <row r="42" spans="1:21" s="6" customFormat="1" ht="17.25" customHeight="1" thickBot="1">
      <c r="A42" s="269" t="s">
        <v>24</v>
      </c>
      <c r="B42" s="270"/>
      <c r="C42" s="262"/>
      <c r="D42" s="262"/>
      <c r="E42" s="262"/>
      <c r="F42" s="262"/>
      <c r="G42" s="262"/>
    </row>
    <row r="43" spans="1:21" s="6" customFormat="1" ht="21" customHeight="1" thickBot="1">
      <c r="A43" s="269" t="s">
        <v>25</v>
      </c>
      <c r="B43" s="271">
        <f>INT(SQRT((2.25*A44*A47)/(A45*10^(5.46*A44*A46)))*1000)/1000</f>
        <v>2.7450000000000001</v>
      </c>
      <c r="C43" s="262" t="s">
        <v>26</v>
      </c>
      <c r="D43" s="262"/>
      <c r="E43" s="262"/>
      <c r="F43" s="262"/>
      <c r="G43" s="262"/>
      <c r="Q43" s="292" t="s">
        <v>27</v>
      </c>
      <c r="R43" s="293" t="s">
        <v>0</v>
      </c>
      <c r="S43" s="293" t="s">
        <v>1</v>
      </c>
      <c r="T43" s="293" t="s">
        <v>3</v>
      </c>
      <c r="U43" s="294" t="s">
        <v>2</v>
      </c>
    </row>
    <row r="44" spans="1:21" s="6" customFormat="1">
      <c r="A44" s="272">
        <f>B58</f>
        <v>6.3520341974657759</v>
      </c>
      <c r="B44" s="108" t="s">
        <v>28</v>
      </c>
      <c r="C44" s="262"/>
      <c r="D44" s="262"/>
      <c r="E44" s="262"/>
      <c r="F44" s="262"/>
      <c r="G44" s="262"/>
      <c r="H44" s="390" t="s">
        <v>29</v>
      </c>
      <c r="I44" s="566" t="s">
        <v>341</v>
      </c>
      <c r="J44" s="567"/>
      <c r="K44" s="568"/>
      <c r="L44" s="391" t="s">
        <v>30</v>
      </c>
      <c r="M44" s="399">
        <v>250</v>
      </c>
      <c r="N44" s="411" t="s">
        <v>31</v>
      </c>
      <c r="Q44" s="406">
        <v>125</v>
      </c>
      <c r="R44" s="296">
        <v>22.61</v>
      </c>
      <c r="S44" s="296">
        <v>11.26</v>
      </c>
      <c r="T44" s="297">
        <v>11.101000000000001</v>
      </c>
      <c r="U44" s="298">
        <v>9.0079999999999993E-2</v>
      </c>
    </row>
    <row r="45" spans="1:21" s="6" customFormat="1" ht="17.25" thickBot="1">
      <c r="A45" s="264">
        <v>5.0000000000000001E-4</v>
      </c>
      <c r="B45" s="108" t="s">
        <v>32</v>
      </c>
      <c r="C45" s="262"/>
      <c r="D45" s="262"/>
      <c r="E45" s="262"/>
      <c r="F45" s="262"/>
      <c r="G45" s="262"/>
      <c r="H45" s="392" t="s">
        <v>33</v>
      </c>
      <c r="I45" s="570" t="s">
        <v>342</v>
      </c>
      <c r="J45" s="571"/>
      <c r="K45" s="572"/>
      <c r="L45" s="398" t="s">
        <v>34</v>
      </c>
      <c r="M45" s="412">
        <v>158</v>
      </c>
      <c r="N45" s="410">
        <f>M44</f>
        <v>250</v>
      </c>
      <c r="Q45" s="406">
        <v>160</v>
      </c>
      <c r="R45" s="296">
        <v>26.369999999999997</v>
      </c>
      <c r="S45" s="296">
        <v>15.02</v>
      </c>
      <c r="T45" s="297">
        <v>10.651999999999999</v>
      </c>
      <c r="U45" s="298">
        <v>9.3875E-2</v>
      </c>
    </row>
    <row r="46" spans="1:21" s="6" customFormat="1">
      <c r="A46" s="262">
        <f>B34</f>
        <v>7.2076799999999996E-2</v>
      </c>
      <c r="B46" s="108" t="s">
        <v>35</v>
      </c>
      <c r="C46" s="569" t="s">
        <v>36</v>
      </c>
      <c r="D46" s="569"/>
      <c r="E46" s="262"/>
      <c r="F46" s="262"/>
      <c r="G46" s="262"/>
      <c r="H46" s="392" t="s">
        <v>37</v>
      </c>
      <c r="I46" s="576" t="s">
        <v>340</v>
      </c>
      <c r="J46" s="577"/>
      <c r="K46" s="578"/>
      <c r="L46" s="398" t="s">
        <v>38</v>
      </c>
      <c r="M46" s="413">
        <f>IF(I52&gt;M48, M45-I52,M45-M48)</f>
        <v>138</v>
      </c>
      <c r="Q46" s="406">
        <v>195</v>
      </c>
      <c r="R46" s="296">
        <v>30.589999999999996</v>
      </c>
      <c r="S46" s="296">
        <v>19.239999999999998</v>
      </c>
      <c r="T46" s="297">
        <v>10.117000000000001</v>
      </c>
      <c r="U46" s="298">
        <v>9.8844079116362685E-2</v>
      </c>
    </row>
    <row r="47" spans="1:21" s="6" customFormat="1">
      <c r="A47" s="262">
        <f>120/1440</f>
        <v>8.3333333333333329E-2</v>
      </c>
      <c r="B47" s="108" t="s">
        <v>336</v>
      </c>
      <c r="C47" s="569" t="s">
        <v>40</v>
      </c>
      <c r="D47" s="569"/>
      <c r="E47" s="262"/>
      <c r="F47" s="262"/>
      <c r="G47" s="262"/>
      <c r="H47" s="392" t="s">
        <v>41</v>
      </c>
      <c r="I47" s="573" t="s">
        <v>343</v>
      </c>
      <c r="J47" s="574"/>
      <c r="K47" s="575"/>
      <c r="L47" s="424" t="s">
        <v>42</v>
      </c>
      <c r="M47" s="425">
        <f>INT((M51*100)/M53)</f>
        <v>229</v>
      </c>
      <c r="Q47" s="406">
        <v>229</v>
      </c>
      <c r="R47" s="296">
        <v>35.299999999999997</v>
      </c>
      <c r="S47" s="296">
        <v>23.95</v>
      </c>
      <c r="T47" s="297">
        <v>9.5619999999999994</v>
      </c>
      <c r="U47" s="298">
        <v>0.10458515283842794</v>
      </c>
    </row>
    <row r="48" spans="1:21" s="6" customFormat="1" ht="17.25" thickBot="1">
      <c r="A48" s="262"/>
      <c r="B48" s="262"/>
      <c r="C48" s="262"/>
      <c r="D48" s="262"/>
      <c r="E48" s="262"/>
      <c r="F48" s="262"/>
      <c r="G48" s="262"/>
      <c r="H48" s="401" t="s">
        <v>43</v>
      </c>
      <c r="I48" s="299">
        <v>7.5</v>
      </c>
      <c r="J48" s="554" t="s">
        <v>290</v>
      </c>
      <c r="K48" s="554"/>
      <c r="L48" s="405" t="s">
        <v>44</v>
      </c>
      <c r="M48" s="412">
        <v>11.35</v>
      </c>
      <c r="Q48" s="407">
        <v>263</v>
      </c>
      <c r="R48" s="300">
        <v>42.48</v>
      </c>
      <c r="S48" s="300">
        <v>31.13</v>
      </c>
      <c r="T48" s="301">
        <v>8.4600000000000009</v>
      </c>
      <c r="U48" s="302">
        <v>0.1182077083728878</v>
      </c>
    </row>
    <row r="49" spans="1:24" s="6" customFormat="1">
      <c r="A49" s="262" t="s">
        <v>45</v>
      </c>
      <c r="B49" s="303">
        <f>INT(SQRT(B54)*1000)/1000</f>
        <v>2.7450000000000001</v>
      </c>
      <c r="C49" s="108" t="s">
        <v>46</v>
      </c>
      <c r="D49" s="304" t="s">
        <v>21</v>
      </c>
      <c r="E49" s="262"/>
      <c r="F49" s="262"/>
      <c r="G49" s="262"/>
      <c r="H49" s="392" t="s">
        <v>47</v>
      </c>
      <c r="I49" s="555">
        <f>LongTest!C10</f>
        <v>45726.430555555555</v>
      </c>
      <c r="J49" s="555"/>
      <c r="K49" s="555"/>
      <c r="L49" s="398" t="s">
        <v>48</v>
      </c>
      <c r="M49" s="412">
        <v>38.270000000000003</v>
      </c>
    </row>
    <row r="50" spans="1:24" s="6" customFormat="1">
      <c r="A50" s="262" t="s">
        <v>49</v>
      </c>
      <c r="B50" s="108">
        <f>2.25*A44*A47</f>
        <v>1.1910064120248329</v>
      </c>
      <c r="C50" s="108">
        <f>B50</f>
        <v>1.1910064120248329</v>
      </c>
      <c r="D50" s="262"/>
      <c r="E50" s="262"/>
      <c r="F50" s="262"/>
      <c r="G50" s="262"/>
      <c r="H50" s="392" t="s">
        <v>314</v>
      </c>
      <c r="I50" s="389">
        <v>48</v>
      </c>
      <c r="J50" s="295" t="s">
        <v>338</v>
      </c>
      <c r="K50" s="389">
        <v>50</v>
      </c>
      <c r="L50" s="398" t="s">
        <v>50</v>
      </c>
      <c r="M50" s="414">
        <f>M49-M48</f>
        <v>26.92</v>
      </c>
    </row>
    <row r="51" spans="1:24" s="6" customFormat="1">
      <c r="A51" s="262" t="s">
        <v>51</v>
      </c>
      <c r="B51" s="108">
        <f>A45</f>
        <v>5.0000000000000001E-4</v>
      </c>
      <c r="C51" s="108" t="s">
        <v>35</v>
      </c>
      <c r="D51" s="268" t="s">
        <v>21</v>
      </c>
      <c r="E51" s="262"/>
      <c r="F51" s="262"/>
      <c r="G51" s="262"/>
      <c r="H51" s="392" t="s">
        <v>339</v>
      </c>
      <c r="I51" s="404">
        <v>483</v>
      </c>
      <c r="J51" s="388"/>
      <c r="K51" s="388"/>
      <c r="L51" s="400" t="s">
        <v>52</v>
      </c>
      <c r="M51" s="412">
        <v>200</v>
      </c>
      <c r="P51" s="305"/>
    </row>
    <row r="52" spans="1:24" s="6" customFormat="1" ht="17.25" thickBot="1">
      <c r="A52" s="267" t="s">
        <v>53</v>
      </c>
      <c r="B52" s="108">
        <f>10^(5.46*A44*A46)</f>
        <v>316.0641727823359</v>
      </c>
      <c r="C52" s="306">
        <f>B52*B51</f>
        <v>0.15803208639116795</v>
      </c>
      <c r="D52" s="262"/>
      <c r="E52" s="262"/>
      <c r="F52" s="262"/>
      <c r="G52" s="262"/>
      <c r="H52" s="402" t="s">
        <v>54</v>
      </c>
      <c r="I52" s="393">
        <v>20</v>
      </c>
      <c r="J52" s="403" t="s">
        <v>55</v>
      </c>
      <c r="K52" s="394">
        <v>0</v>
      </c>
      <c r="L52" s="409" t="s">
        <v>56</v>
      </c>
      <c r="M52" s="415">
        <f>INT(M50*0.89*100)/100</f>
        <v>23.95</v>
      </c>
      <c r="N52" s="308"/>
      <c r="P52" s="305"/>
    </row>
    <row r="53" spans="1:24" s="6" customFormat="1" ht="17.25" thickBot="1">
      <c r="A53" s="262"/>
      <c r="B53" s="262"/>
      <c r="C53" s="262"/>
      <c r="D53" s="262"/>
      <c r="E53" s="262"/>
      <c r="F53" s="262"/>
      <c r="G53" s="262"/>
      <c r="I53" s="564" t="s">
        <v>240</v>
      </c>
      <c r="J53" s="564"/>
      <c r="K53" s="564"/>
      <c r="L53" s="564"/>
      <c r="M53" s="397">
        <v>87</v>
      </c>
      <c r="R53"/>
    </row>
    <row r="54" spans="1:24" ht="18.75" customHeight="1" thickBot="1">
      <c r="A54" s="309" t="s">
        <v>57</v>
      </c>
      <c r="B54" s="108">
        <f>INT(C50/C52*1000)/1000</f>
        <v>7.5359999999999996</v>
      </c>
      <c r="H54" s="395" t="s">
        <v>58</v>
      </c>
      <c r="I54" s="396" t="s">
        <v>59</v>
      </c>
      <c r="J54" s="305"/>
      <c r="K54" s="305"/>
      <c r="L54" s="305"/>
      <c r="M54" s="305"/>
      <c r="N54" s="305"/>
      <c r="R54"/>
    </row>
    <row r="55" spans="1:24">
      <c r="A55" s="309" t="s">
        <v>45</v>
      </c>
      <c r="B55" s="306">
        <f>SQRT(B54)</f>
        <v>2.7451775898837583</v>
      </c>
      <c r="P55" s="311">
        <f>INT((M51*100)/M53)*1.15</f>
        <v>263.34999999999997</v>
      </c>
      <c r="R55"/>
    </row>
    <row r="56" spans="1:24" ht="17.25" thickBot="1">
      <c r="A56" s="309"/>
      <c r="R56"/>
    </row>
    <row r="57" spans="1:24" s="6" customFormat="1" ht="18" customHeight="1">
      <c r="A57" s="111"/>
      <c r="B57" s="312" t="s">
        <v>60</v>
      </c>
      <c r="C57" s="312" t="s">
        <v>61</v>
      </c>
      <c r="D57" s="549" t="s">
        <v>62</v>
      </c>
      <c r="E57" s="550"/>
      <c r="F57" s="549" t="s">
        <v>61</v>
      </c>
      <c r="G57" s="550"/>
      <c r="H57" s="312" t="s">
        <v>63</v>
      </c>
      <c r="I57" s="313">
        <f>M50</f>
        <v>26.92</v>
      </c>
      <c r="J57" s="312" t="s">
        <v>64</v>
      </c>
      <c r="K57" s="312" t="s">
        <v>65</v>
      </c>
      <c r="L57" s="549" t="s">
        <v>66</v>
      </c>
      <c r="M57" s="551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4">
        <f>SkinFactor!D4</f>
        <v>6.3520341974657759</v>
      </c>
      <c r="C58" s="307"/>
      <c r="D58" s="552">
        <f>SkinFactor!E10</f>
        <v>5.1830000000000001E-2</v>
      </c>
      <c r="E58" s="553"/>
      <c r="F58" s="543"/>
      <c r="G58" s="544"/>
      <c r="H58" s="307" t="s">
        <v>68</v>
      </c>
      <c r="I58" s="315">
        <f>C62/M46</f>
        <v>2.1270289855072462E-2</v>
      </c>
      <c r="J58" s="307" t="s">
        <v>69</v>
      </c>
      <c r="K58" s="316">
        <f>SQRT(6*I57*I58*I60/I59)</f>
        <v>85.051804292284373</v>
      </c>
      <c r="L58" s="307" t="s">
        <v>70</v>
      </c>
      <c r="M58" s="317" t="s">
        <v>71</v>
      </c>
      <c r="R58"/>
    </row>
    <row r="59" spans="1:24" s="6" customFormat="1" ht="18" customHeight="1">
      <c r="A59" s="109" t="s">
        <v>72</v>
      </c>
      <c r="B59" s="314">
        <f>SkinFactor!D5</f>
        <v>2.8875999999999999</v>
      </c>
      <c r="C59" s="556">
        <f>B59</f>
        <v>2.8875999999999999</v>
      </c>
      <c r="D59" s="558">
        <f>SkinFactor!I16</f>
        <v>1.7809999999999999E-4</v>
      </c>
      <c r="E59" s="559"/>
      <c r="F59" s="560">
        <f>INT((D59+D60)/1*10000000)/10000000</f>
        <v>1.7809999999999999E-4</v>
      </c>
      <c r="G59" s="561"/>
      <c r="H59" s="307" t="s">
        <v>32</v>
      </c>
      <c r="I59" s="307">
        <f>F62</f>
        <v>1.7809999999999999E-4</v>
      </c>
      <c r="J59" s="307" t="s">
        <v>73</v>
      </c>
      <c r="K59" s="316">
        <f>3*SQRT((I57*I58*I60/I59))</f>
        <v>104.16676110957644</v>
      </c>
      <c r="L59" s="316"/>
      <c r="M59" s="318"/>
      <c r="R59"/>
    </row>
    <row r="60" spans="1:24" s="6" customFormat="1" ht="18" customHeight="1">
      <c r="A60" s="109" t="s">
        <v>74</v>
      </c>
      <c r="B60" s="314"/>
      <c r="C60" s="557"/>
      <c r="D60" s="558"/>
      <c r="E60" s="559"/>
      <c r="F60" s="562"/>
      <c r="G60" s="563"/>
      <c r="H60" s="319">
        <f>LongTest!AE33</f>
        <v>720</v>
      </c>
      <c r="I60" s="315">
        <f>SkinFactor!H16</f>
        <v>0.375</v>
      </c>
      <c r="J60" s="307" t="s">
        <v>75</v>
      </c>
      <c r="K60" s="316">
        <f>SQRT(2.25*I61*I60/I59)</f>
        <v>117.92372259849978</v>
      </c>
      <c r="L60" s="316"/>
      <c r="M60" s="318"/>
    </row>
    <row r="61" spans="1:24" s="6" customFormat="1" ht="18" customHeight="1">
      <c r="A61" s="109" t="s">
        <v>76</v>
      </c>
      <c r="B61" s="387">
        <f>SkinFactor!H13</f>
        <v>2.9830000000000001</v>
      </c>
      <c r="C61" s="386">
        <f>B61</f>
        <v>2.9830000000000001</v>
      </c>
      <c r="D61" s="543"/>
      <c r="E61" s="544"/>
      <c r="F61" s="543"/>
      <c r="G61" s="544"/>
      <c r="H61" s="307" t="s">
        <v>28</v>
      </c>
      <c r="I61" s="307">
        <f>C62</f>
        <v>2.9352999999999998</v>
      </c>
      <c r="J61" s="307" t="s">
        <v>77</v>
      </c>
      <c r="K61" s="316">
        <f>((K58+K59+K60)/3)</f>
        <v>102.38076266678688</v>
      </c>
      <c r="L61" s="316"/>
      <c r="M61" s="318"/>
    </row>
    <row r="62" spans="1:24" s="6" customFormat="1" ht="18" customHeight="1" thickBot="1">
      <c r="A62" s="110" t="s">
        <v>61</v>
      </c>
      <c r="B62" s="320"/>
      <c r="C62" s="385">
        <f>(C58+C59+C61)/2</f>
        <v>2.9352999999999998</v>
      </c>
      <c r="D62" s="545"/>
      <c r="E62" s="546"/>
      <c r="F62" s="547">
        <f>F59</f>
        <v>1.7809999999999999E-4</v>
      </c>
      <c r="G62" s="548"/>
      <c r="H62" s="321" t="s">
        <v>78</v>
      </c>
      <c r="I62" s="322">
        <v>70.33</v>
      </c>
      <c r="J62" s="321" t="s">
        <v>79</v>
      </c>
      <c r="K62" s="323">
        <f>MAX(K58:K60)</f>
        <v>117.92372259849978</v>
      </c>
      <c r="L62" s="324"/>
      <c r="M62" s="325"/>
    </row>
    <row r="63" spans="1:24" s="6" customFormat="1" ht="18" customHeight="1" thickBot="1">
      <c r="A63" s="262"/>
      <c r="B63" s="262"/>
      <c r="C63" s="262"/>
      <c r="D63" s="262"/>
      <c r="E63" s="262"/>
      <c r="F63" s="262"/>
      <c r="G63" s="262"/>
    </row>
    <row r="64" spans="1:24" s="327" customFormat="1" ht="97.5" customHeight="1" thickBot="1">
      <c r="A64" s="326"/>
      <c r="B64" s="326"/>
      <c r="C64" s="326"/>
      <c r="D64" s="326"/>
      <c r="E64" s="326"/>
      <c r="F64" s="326"/>
      <c r="G64" s="326"/>
      <c r="Q64" s="328" t="s">
        <v>344</v>
      </c>
      <c r="R64" s="329" t="s">
        <v>345</v>
      </c>
      <c r="S64" s="329" t="s">
        <v>346</v>
      </c>
      <c r="T64" s="329" t="s">
        <v>347</v>
      </c>
      <c r="U64" s="329" t="s">
        <v>348</v>
      </c>
      <c r="V64" s="329" t="s">
        <v>218</v>
      </c>
      <c r="W64" s="329" t="s">
        <v>219</v>
      </c>
      <c r="X64" s="330" t="s">
        <v>220</v>
      </c>
    </row>
    <row r="69" spans="17:17">
      <c r="Q69" s="331"/>
    </row>
    <row r="70" spans="17:17">
      <c r="Q70" s="331"/>
    </row>
    <row r="71" spans="17:17">
      <c r="Q71" s="331"/>
    </row>
    <row r="72" spans="17:17">
      <c r="Q72" s="331"/>
    </row>
    <row r="73" spans="17:17">
      <c r="Q73" s="331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topLeftCell="A5" zoomScaleNormal="100" workbookViewId="0">
      <selection activeCell="L26" sqref="L2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9" t="s">
        <v>116</v>
      </c>
      <c r="C3" s="470" t="s">
        <v>13</v>
      </c>
      <c r="D3" s="470" t="s">
        <v>28</v>
      </c>
      <c r="E3" s="470" t="s">
        <v>117</v>
      </c>
      <c r="F3" s="470" t="s">
        <v>32</v>
      </c>
      <c r="G3" s="470" t="s">
        <v>118</v>
      </c>
      <c r="H3" s="470" t="s">
        <v>35</v>
      </c>
      <c r="I3" s="471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72">
        <f>LongTest!G10</f>
        <v>2.8236119197465186</v>
      </c>
      <c r="C4" s="473">
        <f>LongTest!B10</f>
        <v>200</v>
      </c>
      <c r="D4" s="474">
        <v>6.3520341974657759</v>
      </c>
      <c r="E4" s="475">
        <f>Input!M44/2000</f>
        <v>0.125</v>
      </c>
      <c r="F4" s="476">
        <v>5.0000000000000001E-4</v>
      </c>
      <c r="G4" s="476">
        <f>PI()</f>
        <v>3.1415926535897931</v>
      </c>
      <c r="H4" s="476">
        <f>Input!$A$46</f>
        <v>7.2076799999999996E-2</v>
      </c>
      <c r="I4" s="477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8"/>
      <c r="C5" s="479"/>
      <c r="D5" s="480">
        <v>2.8875999999999999</v>
      </c>
      <c r="E5" s="481" t="s">
        <v>235</v>
      </c>
      <c r="F5" s="479"/>
      <c r="G5" s="479"/>
      <c r="H5" s="476"/>
      <c r="I5" s="482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83" t="s">
        <v>120</v>
      </c>
      <c r="C6" s="484">
        <f>(2*G4*B4*D5)/(C4)</f>
        <v>0.25614855627676847</v>
      </c>
      <c r="D6" s="485"/>
      <c r="E6" s="484">
        <f>1.15*LOG((2.25*D5*(1/1440))/(F4*E4^2))</f>
        <v>3.1758020831260767</v>
      </c>
      <c r="F6" s="486" t="s">
        <v>121</v>
      </c>
      <c r="G6" s="487">
        <f>C6-E6</f>
        <v>-2.9196535268493085</v>
      </c>
      <c r="H6" s="476"/>
      <c r="I6" s="477">
        <f>Input!M49</f>
        <v>38.270000000000003</v>
      </c>
      <c r="J6" s="116">
        <f>MAX(C13,C18,C23)</f>
        <v>117.9</v>
      </c>
      <c r="K6" s="114" t="s">
        <v>214</v>
      </c>
      <c r="M6" s="12"/>
      <c r="N6" s="7"/>
      <c r="O6" s="7"/>
    </row>
    <row r="7" spans="1:15" ht="23.1" customHeight="1">
      <c r="A7" s="7"/>
      <c r="B7" s="488" t="s">
        <v>122</v>
      </c>
      <c r="C7" s="476">
        <f>2.25*D4*(120/1440)</f>
        <v>1.1910064120248329</v>
      </c>
      <c r="D7" s="479"/>
      <c r="E7" s="489" t="s">
        <v>123</v>
      </c>
      <c r="F7" s="476">
        <f>F4*10^(5.46*D4*H4)</f>
        <v>0.15803208639116795</v>
      </c>
      <c r="G7" s="489" t="s">
        <v>124</v>
      </c>
      <c r="H7" s="476">
        <f>F4*EXP(4*G4*D4*H4)</f>
        <v>0.15761704003858396</v>
      </c>
      <c r="I7" s="482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90" t="s">
        <v>126</v>
      </c>
      <c r="C8" s="491">
        <f>ROUND(E4*EXP(-1*G6),3)</f>
        <v>2.3170000000000002</v>
      </c>
      <c r="D8" s="492"/>
      <c r="E8" s="492"/>
      <c r="F8" s="493"/>
      <c r="G8" s="492"/>
      <c r="H8" s="494"/>
      <c r="I8" s="495">
        <f>Input!M45</f>
        <v>158</v>
      </c>
      <c r="J8" s="112" t="s">
        <v>237</v>
      </c>
      <c r="K8" s="118">
        <f>ROUND(SQRT(C7/F7),4)</f>
        <v>2.7452999999999999</v>
      </c>
      <c r="L8" s="7"/>
      <c r="M8" s="7"/>
      <c r="N8" s="13"/>
      <c r="O8" s="7"/>
    </row>
    <row r="9" spans="1:15" ht="23.1" customHeight="1" thickBot="1">
      <c r="A9" s="7"/>
      <c r="B9" s="417" t="s">
        <v>351</v>
      </c>
      <c r="C9" s="418">
        <v>1440</v>
      </c>
      <c r="D9" s="7"/>
      <c r="E9" s="7"/>
      <c r="F9" s="7"/>
      <c r="G9" s="7"/>
      <c r="H9" s="8"/>
      <c r="I9" s="496" t="s">
        <v>127</v>
      </c>
      <c r="J9" s="112" t="s">
        <v>238</v>
      </c>
      <c r="K9" s="119">
        <f>ROUND(SQRT(C7/H7),4)</f>
        <v>2.7488999999999999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422">
        <f>LongTest!F101</f>
        <v>13.282035095417495</v>
      </c>
      <c r="D10" s="419">
        <f>LongTest!F97</f>
        <v>14.961846389631328</v>
      </c>
      <c r="E10" s="416">
        <v>5.1830000000000001E-2</v>
      </c>
      <c r="F10" s="427" t="s">
        <v>352</v>
      </c>
      <c r="H10" s="260" t="s">
        <v>84</v>
      </c>
      <c r="I10" s="497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423">
        <f>I6-C10</f>
        <v>24.987964904582508</v>
      </c>
      <c r="D11" s="420">
        <f>I6-D10</f>
        <v>23.308153610368677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8" t="s">
        <v>130</v>
      </c>
      <c r="C13" s="499">
        <f>ROUND(SQRT(6*B16*E16*H16/I16),1)</f>
        <v>85.1</v>
      </c>
      <c r="D13" s="500"/>
      <c r="E13" s="501" t="s">
        <v>248</v>
      </c>
      <c r="F13" s="502">
        <f>D5</f>
        <v>2.8875999999999999</v>
      </c>
      <c r="G13" s="501" t="s">
        <v>247</v>
      </c>
      <c r="H13" s="503">
        <v>2.9830000000000001</v>
      </c>
      <c r="I13" s="504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8"/>
      <c r="C14" s="479"/>
      <c r="D14" s="479"/>
      <c r="E14" s="479"/>
      <c r="F14" s="479"/>
      <c r="G14" s="479"/>
      <c r="H14" s="476"/>
      <c r="I14" s="505"/>
      <c r="J14" s="7"/>
      <c r="K14" s="7"/>
      <c r="L14" s="7"/>
      <c r="M14" s="7"/>
      <c r="N14" s="7"/>
      <c r="O14" s="7"/>
    </row>
    <row r="15" spans="1:15" ht="23.1" customHeight="1">
      <c r="A15" s="7"/>
      <c r="B15" s="506" t="s">
        <v>131</v>
      </c>
      <c r="C15" s="476" t="s">
        <v>132</v>
      </c>
      <c r="D15" s="476" t="s">
        <v>133</v>
      </c>
      <c r="E15" s="476" t="s">
        <v>68</v>
      </c>
      <c r="F15" s="476" t="s">
        <v>134</v>
      </c>
      <c r="G15" s="476" t="s">
        <v>135</v>
      </c>
      <c r="H15" s="476" t="s">
        <v>136</v>
      </c>
      <c r="I15" s="507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8">
        <f>I6-I4</f>
        <v>26.92</v>
      </c>
      <c r="C16" s="509">
        <f>I8-IF(I4&gt;I10,I4,I10)</f>
        <v>138</v>
      </c>
      <c r="D16" s="510">
        <f>(F13+H13)/2</f>
        <v>2.9352999999999998</v>
      </c>
      <c r="E16" s="511">
        <f>INT(D16/C16*100000)/100000</f>
        <v>2.1270000000000001E-2</v>
      </c>
      <c r="F16" s="512">
        <v>1440</v>
      </c>
      <c r="G16" s="513">
        <v>540</v>
      </c>
      <c r="H16" s="510">
        <f>INT(G16/F16*10000)/10000</f>
        <v>0.375</v>
      </c>
      <c r="I16" s="514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8" t="s">
        <v>137</v>
      </c>
      <c r="C18" s="499">
        <f>ROUND(3*SQRT(B21*E21*H21/I21),1)</f>
        <v>104.2</v>
      </c>
      <c r="D18" s="500"/>
      <c r="E18" s="500"/>
      <c r="F18" s="500"/>
      <c r="G18" s="500"/>
      <c r="H18" s="515"/>
      <c r="I18" s="516"/>
      <c r="J18" s="7"/>
      <c r="K18" s="7"/>
      <c r="L18" s="7"/>
      <c r="M18" s="7"/>
      <c r="N18" s="7"/>
      <c r="O18" s="7"/>
    </row>
    <row r="19" spans="1:15" ht="23.1" customHeight="1">
      <c r="A19" s="7"/>
      <c r="B19" s="478"/>
      <c r="C19" s="479"/>
      <c r="D19" s="479"/>
      <c r="E19" s="479"/>
      <c r="F19" s="479"/>
      <c r="G19" s="479"/>
      <c r="H19" s="476"/>
      <c r="I19" s="505"/>
      <c r="J19" s="7"/>
      <c r="K19" s="7"/>
      <c r="L19" s="7"/>
      <c r="M19" s="7"/>
      <c r="N19" s="7"/>
      <c r="O19" s="7"/>
    </row>
    <row r="20" spans="1:15" ht="23.1" customHeight="1">
      <c r="A20" s="7"/>
      <c r="B20" s="506" t="s">
        <v>138</v>
      </c>
      <c r="C20" s="476" t="s">
        <v>38</v>
      </c>
      <c r="D20" s="476" t="s">
        <v>139</v>
      </c>
      <c r="E20" s="517" t="s">
        <v>68</v>
      </c>
      <c r="F20" s="476" t="s">
        <v>134</v>
      </c>
      <c r="G20" s="476" t="s">
        <v>140</v>
      </c>
      <c r="H20" s="476" t="s">
        <v>39</v>
      </c>
      <c r="I20" s="505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8">
        <f t="shared" ref="B21:I21" si="0">B16</f>
        <v>26.92</v>
      </c>
      <c r="C21" s="519">
        <f t="shared" si="0"/>
        <v>138</v>
      </c>
      <c r="D21" s="512">
        <f t="shared" si="0"/>
        <v>2.9352999999999998</v>
      </c>
      <c r="E21" s="510">
        <f t="shared" si="0"/>
        <v>2.1270000000000001E-2</v>
      </c>
      <c r="F21" s="512">
        <f t="shared" si="0"/>
        <v>1440</v>
      </c>
      <c r="G21" s="512">
        <f t="shared" si="0"/>
        <v>540</v>
      </c>
      <c r="H21" s="512">
        <f t="shared" si="0"/>
        <v>0.375</v>
      </c>
      <c r="I21" s="520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8" t="s">
        <v>141</v>
      </c>
      <c r="C23" s="499">
        <f>ROUND(SQRT((2.25*D26*H26)/I26),1)</f>
        <v>117.9</v>
      </c>
      <c r="D23" s="500"/>
      <c r="E23" s="500"/>
      <c r="F23" s="500"/>
      <c r="G23" s="500"/>
      <c r="H23" s="515"/>
      <c r="I23" s="516"/>
      <c r="J23" s="7"/>
      <c r="K23" s="7"/>
      <c r="L23" s="7"/>
      <c r="M23" s="7"/>
      <c r="N23" s="7"/>
      <c r="O23" s="7"/>
    </row>
    <row r="24" spans="1:15" ht="23.1" customHeight="1">
      <c r="A24" s="7"/>
      <c r="B24" s="478"/>
      <c r="C24" s="479"/>
      <c r="D24" s="479"/>
      <c r="E24" s="479"/>
      <c r="F24" s="479"/>
      <c r="G24" s="479"/>
      <c r="H24" s="476"/>
      <c r="I24" s="505"/>
      <c r="J24" s="7"/>
      <c r="K24" s="7"/>
      <c r="L24" s="7"/>
      <c r="M24" s="7"/>
      <c r="N24" s="104"/>
      <c r="O24" s="7"/>
    </row>
    <row r="25" spans="1:15" ht="23.1" customHeight="1">
      <c r="A25" s="7"/>
      <c r="B25" s="506" t="s">
        <v>138</v>
      </c>
      <c r="C25" s="476" t="s">
        <v>38</v>
      </c>
      <c r="D25" s="476" t="s">
        <v>139</v>
      </c>
      <c r="E25" s="476" t="s">
        <v>68</v>
      </c>
      <c r="F25" s="476" t="s">
        <v>134</v>
      </c>
      <c r="G25" s="476" t="s">
        <v>140</v>
      </c>
      <c r="H25" s="517" t="s">
        <v>39</v>
      </c>
      <c r="I25" s="505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8">
        <f t="shared" ref="B26:G26" si="1">B21</f>
        <v>26.92</v>
      </c>
      <c r="C26" s="512">
        <f t="shared" si="1"/>
        <v>138</v>
      </c>
      <c r="D26" s="512">
        <f t="shared" si="1"/>
        <v>2.9352999999999998</v>
      </c>
      <c r="E26" s="511">
        <f t="shared" si="1"/>
        <v>2.1270000000000001E-2</v>
      </c>
      <c r="F26" s="512">
        <f t="shared" si="1"/>
        <v>1440</v>
      </c>
      <c r="G26" s="512">
        <f t="shared" si="1"/>
        <v>540</v>
      </c>
      <c r="H26" s="510">
        <f>INT(G16/F16*10000)/10000</f>
        <v>0.375</v>
      </c>
      <c r="I26" s="520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2.9352999999999998</v>
      </c>
      <c r="D28" s="175">
        <f>(C28/C16)*(1/86400)</f>
        <v>2.4618391035963499E-7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102.40000000000002</v>
      </c>
      <c r="D30" s="7"/>
      <c r="E30" s="169">
        <f>(C13+C18)/2</f>
        <v>94.65</v>
      </c>
      <c r="F30" s="170">
        <f>MAX(C13,C18)</f>
        <v>104.2</v>
      </c>
      <c r="G30" s="171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11.26</v>
      </c>
    </row>
    <row r="4" spans="1:2" ht="20.100000000000001" customHeight="1">
      <c r="A4" s="19" t="s">
        <v>147</v>
      </c>
      <c r="B4" s="99">
        <f>StepTest!G46</f>
        <v>23.95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206.73853344516303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G30" sqref="G30:H30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4" bestFit="1" customWidth="1"/>
    <col min="19" max="19" width="4.125" style="344" bestFit="1" customWidth="1"/>
    <col min="20" max="20" width="5.5" style="344" bestFit="1" customWidth="1"/>
    <col min="21" max="21" width="7.5" style="356" bestFit="1" customWidth="1"/>
    <col min="22" max="23" width="8.75" style="344" customWidth="1"/>
    <col min="24" max="24" width="9.125" style="344" customWidth="1"/>
    <col min="25" max="25" width="7.375" style="344" customWidth="1"/>
    <col min="26" max="26" width="9.125" style="311" bestFit="1" customWidth="1"/>
    <col min="27" max="27" width="6.5" style="311" bestFit="1" customWidth="1"/>
    <col min="28" max="28" width="7.25" style="311" customWidth="1"/>
    <col min="29" max="29" width="6.625" style="311" customWidth="1"/>
    <col min="30" max="30" width="6.875" style="311" bestFit="1" customWidth="1"/>
    <col min="31" max="31" width="7.125" style="311" customWidth="1"/>
    <col min="32" max="32" width="6.875" style="311" customWidth="1"/>
    <col min="33" max="33" width="6.25" style="311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6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7"/>
      <c r="S2" s="357"/>
      <c r="T2" s="358" t="s">
        <v>155</v>
      </c>
      <c r="U2" s="359"/>
      <c r="V2" s="358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357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60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85" t="s">
        <v>160</v>
      </c>
      <c r="B4" s="586"/>
      <c r="C4" s="428" t="str">
        <f>Input!I44</f>
        <v>예산군 마전 등 5지구 농업용관정 지하수영향조사 용역</v>
      </c>
      <c r="D4" s="429"/>
      <c r="E4" s="429"/>
      <c r="F4" s="429"/>
      <c r="G4" s="429"/>
      <c r="H4" s="430"/>
      <c r="I4" s="431"/>
      <c r="J4" s="28"/>
      <c r="P4" s="38">
        <v>1</v>
      </c>
      <c r="Q4" s="168">
        <v>-0.29999999999999971</v>
      </c>
      <c r="R4" s="332">
        <f>B12</f>
        <v>125</v>
      </c>
      <c r="S4" s="149">
        <f>$R$4</f>
        <v>125</v>
      </c>
      <c r="T4" s="379">
        <v>4.6376330991384025</v>
      </c>
      <c r="U4" s="361">
        <f>Input!M44/2/1000</f>
        <v>0.125</v>
      </c>
      <c r="V4" s="362">
        <v>5.0000000000000001E-4</v>
      </c>
      <c r="W4" s="149">
        <f t="shared" ref="W4:W43" si="0">X4/1440</f>
        <v>6.9444444444444447E-4</v>
      </c>
      <c r="X4" s="333">
        <f>D12</f>
        <v>1</v>
      </c>
      <c r="Y4" s="159">
        <f t="shared" ref="Y4:Y43" si="1">2.3*S4/(4*PI()*T4)*LOG10((2.25*T4*W4)/(U4*U4*V4))</f>
        <v>14.638511423475466</v>
      </c>
      <c r="Z4" s="161">
        <f>Z22</f>
        <v>13.635596252399631</v>
      </c>
      <c r="AA4" s="159">
        <f>$Z$4</f>
        <v>13.635596252399631</v>
      </c>
      <c r="AB4" s="159">
        <f>X4</f>
        <v>1</v>
      </c>
      <c r="AC4" s="159">
        <f>Y4-AA4</f>
        <v>1.0029151710758342</v>
      </c>
      <c r="AD4" s="363">
        <f>INT((AC4-AE4)*100)/100</f>
        <v>1.3</v>
      </c>
      <c r="AE4" s="364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87" t="s">
        <v>161</v>
      </c>
      <c r="B5" s="588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33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4.6376330991384025</v>
      </c>
      <c r="U5" s="365">
        <f>$U4</f>
        <v>0.125</v>
      </c>
      <c r="V5" s="149">
        <f>$V4</f>
        <v>5.0000000000000001E-4</v>
      </c>
      <c r="W5" s="149">
        <f t="shared" si="0"/>
        <v>1.3888888888888889E-3</v>
      </c>
      <c r="X5" s="333">
        <f t="shared" ref="X5:X43" si="4">D13</f>
        <v>2</v>
      </c>
      <c r="Y5" s="159">
        <f t="shared" si="1"/>
        <v>16.123562429704773</v>
      </c>
      <c r="Z5" s="149"/>
      <c r="AA5" s="159">
        <f t="shared" ref="AA5:AA23" si="5">$Z$4</f>
        <v>13.635596252399631</v>
      </c>
      <c r="AB5" s="159">
        <f t="shared" ref="AB5:AB43" si="6">X5</f>
        <v>2</v>
      </c>
      <c r="AC5" s="159">
        <f t="shared" ref="AC5:AC43" si="7">Y5-AA5</f>
        <v>2.4879661773051414</v>
      </c>
      <c r="AD5" s="363">
        <f t="shared" ref="AD5:AD16" si="8">INT((AC5-AE5)*100)/100</f>
        <v>2.48</v>
      </c>
      <c r="AE5" s="364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87" t="s">
        <v>162</v>
      </c>
      <c r="B6" s="588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34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4.6376330991384025</v>
      </c>
      <c r="U6" s="365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3">
        <f t="shared" si="4"/>
        <v>3</v>
      </c>
      <c r="Y6" s="159">
        <f t="shared" si="1"/>
        <v>16.992261580007138</v>
      </c>
      <c r="Z6" s="149"/>
      <c r="AA6" s="159">
        <f t="shared" si="5"/>
        <v>13.635596252399631</v>
      </c>
      <c r="AB6" s="159">
        <f t="shared" si="6"/>
        <v>3</v>
      </c>
      <c r="AC6" s="159">
        <f t="shared" si="7"/>
        <v>3.3566653276075069</v>
      </c>
      <c r="AD6" s="363">
        <f t="shared" si="8"/>
        <v>3.35</v>
      </c>
      <c r="AE6" s="364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87" t="s">
        <v>163</v>
      </c>
      <c r="B7" s="588"/>
      <c r="C7" s="136" t="str">
        <f>Input!I47</f>
        <v>다다건설(주)</v>
      </c>
      <c r="D7" s="435"/>
      <c r="E7" s="130"/>
      <c r="F7" s="137"/>
      <c r="G7" s="138">
        <f>Input!I49</f>
        <v>45726.430555555555</v>
      </c>
      <c r="H7" s="139"/>
      <c r="I7" s="436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4.6376330991384025</v>
      </c>
      <c r="U7" s="365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3">
        <f t="shared" si="4"/>
        <v>4</v>
      </c>
      <c r="Y7" s="159">
        <f t="shared" si="1"/>
        <v>17.608613435934082</v>
      </c>
      <c r="Z7" s="149"/>
      <c r="AA7" s="159">
        <f t="shared" si="5"/>
        <v>13.635596252399631</v>
      </c>
      <c r="AB7" s="159">
        <f t="shared" si="6"/>
        <v>4</v>
      </c>
      <c r="AC7" s="159">
        <f t="shared" si="7"/>
        <v>3.9730171835344503</v>
      </c>
      <c r="AD7" s="363">
        <f t="shared" si="8"/>
        <v>3.97</v>
      </c>
      <c r="AE7" s="364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37" t="s">
        <v>164</v>
      </c>
      <c r="B8" s="140"/>
      <c r="C8" s="589">
        <f>Input!I48</f>
        <v>7.5</v>
      </c>
      <c r="D8" s="590"/>
      <c r="E8" s="591"/>
      <c r="F8" s="141" t="s">
        <v>165</v>
      </c>
      <c r="G8" s="138">
        <f>G7</f>
        <v>45726.430555555555</v>
      </c>
      <c r="H8" s="139"/>
      <c r="I8" s="438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4.6376330991384025</v>
      </c>
      <c r="U8" s="365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3">
        <f t="shared" si="4"/>
        <v>5</v>
      </c>
      <c r="Y8" s="159">
        <f t="shared" si="1"/>
        <v>18.08669307718004</v>
      </c>
      <c r="Z8" s="149"/>
      <c r="AA8" s="159">
        <f t="shared" si="5"/>
        <v>13.635596252399631</v>
      </c>
      <c r="AB8" s="159">
        <f t="shared" si="6"/>
        <v>5</v>
      </c>
      <c r="AC8" s="159">
        <f t="shared" si="7"/>
        <v>4.451096824780409</v>
      </c>
      <c r="AD8" s="363">
        <f t="shared" si="8"/>
        <v>4.45</v>
      </c>
      <c r="AE8" s="364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37" t="s">
        <v>166</v>
      </c>
      <c r="B9" s="140"/>
      <c r="C9" s="142" t="s">
        <v>167</v>
      </c>
      <c r="D9" s="592">
        <f>Input!M44</f>
        <v>250</v>
      </c>
      <c r="E9" s="592"/>
      <c r="F9" s="129" t="s">
        <v>168</v>
      </c>
      <c r="G9" s="593">
        <f>Input!M45</f>
        <v>158</v>
      </c>
      <c r="H9" s="593"/>
      <c r="I9" s="439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4.6376330991384025</v>
      </c>
      <c r="U9" s="365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3">
        <f t="shared" si="4"/>
        <v>10</v>
      </c>
      <c r="Y9" s="159">
        <f t="shared" si="1"/>
        <v>19.571744083409349</v>
      </c>
      <c r="Z9" s="149"/>
      <c r="AA9" s="159">
        <f t="shared" si="5"/>
        <v>13.635596252399631</v>
      </c>
      <c r="AB9" s="159">
        <f t="shared" si="6"/>
        <v>10</v>
      </c>
      <c r="AC9" s="159">
        <f t="shared" si="7"/>
        <v>5.936147831009718</v>
      </c>
      <c r="AD9" s="363">
        <f t="shared" si="8"/>
        <v>5.93</v>
      </c>
      <c r="AE9" s="364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37" t="s">
        <v>169</v>
      </c>
      <c r="B10" s="140"/>
      <c r="C10" s="142" t="s">
        <v>216</v>
      </c>
      <c r="D10" s="594">
        <f>Input!M48</f>
        <v>11.35</v>
      </c>
      <c r="E10" s="595"/>
      <c r="F10" s="143" t="s">
        <v>4</v>
      </c>
      <c r="G10" s="596" t="s">
        <v>4</v>
      </c>
      <c r="H10" s="596"/>
      <c r="I10" s="433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4.6376330991384025</v>
      </c>
      <c r="U10" s="365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3">
        <f t="shared" si="4"/>
        <v>15</v>
      </c>
      <c r="Y10" s="159">
        <f t="shared" si="1"/>
        <v>20.440443233711711</v>
      </c>
      <c r="Z10" s="149"/>
      <c r="AA10" s="159">
        <f t="shared" si="5"/>
        <v>13.635596252399631</v>
      </c>
      <c r="AB10" s="159">
        <f t="shared" si="6"/>
        <v>15</v>
      </c>
      <c r="AC10" s="159">
        <f t="shared" si="7"/>
        <v>6.80484698131208</v>
      </c>
      <c r="AD10" s="363">
        <f t="shared" si="8"/>
        <v>6.8</v>
      </c>
      <c r="AE10" s="364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32" t="s">
        <v>170</v>
      </c>
      <c r="B11" s="144" t="s">
        <v>171</v>
      </c>
      <c r="C11" s="142" t="s">
        <v>172</v>
      </c>
      <c r="D11" s="597" t="s">
        <v>173</v>
      </c>
      <c r="E11" s="597"/>
      <c r="F11" s="144" t="s">
        <v>174</v>
      </c>
      <c r="G11" s="598" t="s">
        <v>175</v>
      </c>
      <c r="H11" s="598"/>
      <c r="I11" s="439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4.6376330991384025</v>
      </c>
      <c r="U11" s="365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3">
        <f t="shared" si="4"/>
        <v>20</v>
      </c>
      <c r="Y11" s="159">
        <f t="shared" si="1"/>
        <v>21.056795089638655</v>
      </c>
      <c r="Z11" s="149"/>
      <c r="AA11" s="159">
        <f t="shared" si="5"/>
        <v>13.635596252399631</v>
      </c>
      <c r="AB11" s="159">
        <f t="shared" si="6"/>
        <v>20</v>
      </c>
      <c r="AC11" s="159">
        <f t="shared" si="7"/>
        <v>7.4211988372390234</v>
      </c>
      <c r="AD11" s="363">
        <f t="shared" si="8"/>
        <v>7.42</v>
      </c>
      <c r="AE11" s="364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40">
        <v>1</v>
      </c>
      <c r="B12" s="146">
        <f>Input!D20</f>
        <v>125</v>
      </c>
      <c r="C12" s="147">
        <v>45725.430555555555</v>
      </c>
      <c r="D12" s="581">
        <v>1</v>
      </c>
      <c r="E12" s="581"/>
      <c r="F12" s="148">
        <f>G12+$D$10</f>
        <v>12.65</v>
      </c>
      <c r="G12" s="582">
        <f>AD4</f>
        <v>1.3</v>
      </c>
      <c r="H12" s="582"/>
      <c r="I12" s="439" t="s">
        <v>177</v>
      </c>
      <c r="J12" s="377"/>
      <c r="P12" s="38">
        <v>25</v>
      </c>
      <c r="Q12" s="168"/>
      <c r="R12" s="149"/>
      <c r="S12" s="149">
        <f t="shared" si="3"/>
        <v>125</v>
      </c>
      <c r="T12" s="149">
        <f t="shared" si="10"/>
        <v>4.6376330991384025</v>
      </c>
      <c r="U12" s="365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3">
        <f t="shared" si="4"/>
        <v>25</v>
      </c>
      <c r="Y12" s="159">
        <f t="shared" si="1"/>
        <v>21.534874730884617</v>
      </c>
      <c r="Z12" s="149"/>
      <c r="AA12" s="159">
        <f t="shared" si="5"/>
        <v>13.635596252399631</v>
      </c>
      <c r="AB12" s="159">
        <f t="shared" si="6"/>
        <v>25</v>
      </c>
      <c r="AC12" s="159">
        <f t="shared" si="7"/>
        <v>7.8992784784849857</v>
      </c>
      <c r="AD12" s="363">
        <f t="shared" si="8"/>
        <v>7.89</v>
      </c>
      <c r="AE12" s="364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40"/>
      <c r="B13" s="145"/>
      <c r="C13" s="147"/>
      <c r="D13" s="581">
        <v>2</v>
      </c>
      <c r="E13" s="581"/>
      <c r="F13" s="148">
        <f t="shared" ref="F13:F51" si="13">G13+$D$10</f>
        <v>13.83</v>
      </c>
      <c r="G13" s="582">
        <f t="shared" ref="G13:G51" si="14">AD5</f>
        <v>2.48</v>
      </c>
      <c r="H13" s="582"/>
      <c r="I13" s="441"/>
      <c r="J13" s="378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4.6376330991384025</v>
      </c>
      <c r="U13" s="365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3">
        <f t="shared" si="4"/>
        <v>30</v>
      </c>
      <c r="Y13" s="159">
        <f t="shared" si="1"/>
        <v>21.925494239941017</v>
      </c>
      <c r="Z13" s="149"/>
      <c r="AA13" s="159">
        <f t="shared" si="5"/>
        <v>13.635596252399631</v>
      </c>
      <c r="AB13" s="159">
        <f t="shared" si="6"/>
        <v>30</v>
      </c>
      <c r="AC13" s="159">
        <f t="shared" si="7"/>
        <v>8.2898979875413854</v>
      </c>
      <c r="AD13" s="363">
        <f t="shared" si="8"/>
        <v>8.2799999999999994</v>
      </c>
      <c r="AE13" s="364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40"/>
      <c r="B14" s="145"/>
      <c r="C14" s="147"/>
      <c r="D14" s="581">
        <v>3</v>
      </c>
      <c r="E14" s="581"/>
      <c r="F14" s="148">
        <f t="shared" si="13"/>
        <v>14.7</v>
      </c>
      <c r="G14" s="582">
        <f t="shared" si="14"/>
        <v>3.35</v>
      </c>
      <c r="H14" s="582"/>
      <c r="I14" s="441"/>
      <c r="J14" s="378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4.6376330991384025</v>
      </c>
      <c r="U14" s="365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3">
        <f t="shared" si="4"/>
        <v>35</v>
      </c>
      <c r="Y14" s="159">
        <f t="shared" si="1"/>
        <v>22.255758329024488</v>
      </c>
      <c r="Z14" s="149"/>
      <c r="AA14" s="159">
        <f t="shared" si="5"/>
        <v>13.635596252399631</v>
      </c>
      <c r="AB14" s="159">
        <f t="shared" si="6"/>
        <v>35</v>
      </c>
      <c r="AC14" s="159">
        <f t="shared" si="7"/>
        <v>8.6201620766248563</v>
      </c>
      <c r="AD14" s="363">
        <f t="shared" si="8"/>
        <v>8.6199999999999992</v>
      </c>
      <c r="AE14" s="364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40"/>
      <c r="B15" s="145"/>
      <c r="C15" s="147"/>
      <c r="D15" s="581">
        <v>4</v>
      </c>
      <c r="E15" s="581"/>
      <c r="F15" s="148">
        <f t="shared" si="13"/>
        <v>15.32</v>
      </c>
      <c r="G15" s="582">
        <f t="shared" si="14"/>
        <v>3.97</v>
      </c>
      <c r="H15" s="582"/>
      <c r="I15" s="441"/>
      <c r="J15" s="378">
        <f t="shared" si="15"/>
        <v>0.62000000000000011</v>
      </c>
      <c r="P15" s="38"/>
      <c r="Q15" s="168"/>
      <c r="R15" s="149"/>
      <c r="S15" s="149">
        <f t="shared" si="3"/>
        <v>125</v>
      </c>
      <c r="T15" s="149">
        <f t="shared" si="10"/>
        <v>4.6376330991384025</v>
      </c>
      <c r="U15" s="365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3">
        <f t="shared" si="4"/>
        <v>40</v>
      </c>
      <c r="Y15" s="159">
        <f t="shared" si="1"/>
        <v>22.54184609586796</v>
      </c>
      <c r="Z15" s="149"/>
      <c r="AA15" s="159">
        <f t="shared" si="5"/>
        <v>13.635596252399631</v>
      </c>
      <c r="AB15" s="159">
        <f t="shared" si="6"/>
        <v>40</v>
      </c>
      <c r="AC15" s="159">
        <f t="shared" si="7"/>
        <v>8.9062498434683288</v>
      </c>
      <c r="AD15" s="363">
        <f t="shared" si="8"/>
        <v>8.9</v>
      </c>
      <c r="AE15" s="364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40"/>
      <c r="B16" s="145"/>
      <c r="C16" s="147"/>
      <c r="D16" s="581">
        <v>5</v>
      </c>
      <c r="E16" s="581"/>
      <c r="F16" s="148">
        <f t="shared" si="13"/>
        <v>15.8</v>
      </c>
      <c r="G16" s="582">
        <f t="shared" si="14"/>
        <v>4.45</v>
      </c>
      <c r="H16" s="582"/>
      <c r="I16" s="441"/>
      <c r="J16" s="378">
        <f t="shared" si="15"/>
        <v>0.48</v>
      </c>
      <c r="K16" s="380" t="s">
        <v>244</v>
      </c>
      <c r="L16" s="381" t="s">
        <v>178</v>
      </c>
      <c r="M16" s="381" t="s">
        <v>179</v>
      </c>
      <c r="N16" s="381" t="s">
        <v>242</v>
      </c>
      <c r="O16" s="381" t="s">
        <v>243</v>
      </c>
      <c r="P16" s="382" t="s">
        <v>245</v>
      </c>
      <c r="R16" s="149"/>
      <c r="S16" s="149">
        <f t="shared" si="3"/>
        <v>125</v>
      </c>
      <c r="T16" s="149">
        <f t="shared" si="10"/>
        <v>4.6376330991384025</v>
      </c>
      <c r="U16" s="365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3">
        <f t="shared" si="4"/>
        <v>45</v>
      </c>
      <c r="Y16" s="159">
        <f t="shared" si="1"/>
        <v>22.794193390243382</v>
      </c>
      <c r="Z16" s="149"/>
      <c r="AA16" s="159">
        <f t="shared" si="5"/>
        <v>13.635596252399631</v>
      </c>
      <c r="AB16" s="159">
        <f t="shared" si="6"/>
        <v>45</v>
      </c>
      <c r="AC16" s="159">
        <f t="shared" si="7"/>
        <v>9.158597137843751</v>
      </c>
      <c r="AD16" s="363">
        <f t="shared" si="8"/>
        <v>9.15</v>
      </c>
      <c r="AE16" s="364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40"/>
      <c r="B17" s="145"/>
      <c r="C17" s="147"/>
      <c r="D17" s="581">
        <v>10</v>
      </c>
      <c r="E17" s="581"/>
      <c r="F17" s="148">
        <f t="shared" si="13"/>
        <v>17.28</v>
      </c>
      <c r="G17" s="582">
        <f t="shared" si="14"/>
        <v>5.93</v>
      </c>
      <c r="H17" s="582"/>
      <c r="I17" s="441"/>
      <c r="J17" s="378">
        <f t="shared" si="15"/>
        <v>1.4799999999999995</v>
      </c>
      <c r="K17" s="366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7">
        <f>INT((G12-O17)*100)/100</f>
        <v>-0.46</v>
      </c>
      <c r="R17" s="149"/>
      <c r="S17" s="149">
        <f t="shared" si="3"/>
        <v>125</v>
      </c>
      <c r="T17" s="149">
        <f t="shared" si="10"/>
        <v>4.6376330991384025</v>
      </c>
      <c r="U17" s="365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3">
        <f t="shared" si="4"/>
        <v>50</v>
      </c>
      <c r="Y17" s="159">
        <f t="shared" si="1"/>
        <v>23.019925737113926</v>
      </c>
      <c r="Z17" s="149"/>
      <c r="AA17" s="159">
        <f t="shared" si="5"/>
        <v>13.635596252399631</v>
      </c>
      <c r="AB17" s="159">
        <f t="shared" si="6"/>
        <v>50</v>
      </c>
      <c r="AC17" s="159">
        <f t="shared" si="7"/>
        <v>9.3843294847142946</v>
      </c>
      <c r="AD17" s="363">
        <f t="shared" ref="AD17:AD22" si="16">INT(AC17*100)/100</f>
        <v>9.3800000000000008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40"/>
      <c r="B18" s="145"/>
      <c r="C18" s="147"/>
      <c r="D18" s="581">
        <v>15</v>
      </c>
      <c r="E18" s="581"/>
      <c r="F18" s="148">
        <f t="shared" si="13"/>
        <v>18.149999999999999</v>
      </c>
      <c r="G18" s="582">
        <f t="shared" si="14"/>
        <v>6.8</v>
      </c>
      <c r="H18" s="582"/>
      <c r="I18" s="441"/>
      <c r="J18" s="378">
        <f t="shared" si="15"/>
        <v>0.87000000000000011</v>
      </c>
      <c r="K18" s="366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7">
        <f>INT((G13-O18)*100*0.98)/100</f>
        <v>-1.03</v>
      </c>
      <c r="R18" s="149"/>
      <c r="S18" s="149">
        <f t="shared" si="3"/>
        <v>125</v>
      </c>
      <c r="T18" s="149">
        <f t="shared" si="10"/>
        <v>4.6376330991384025</v>
      </c>
      <c r="U18" s="365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3">
        <f t="shared" si="4"/>
        <v>55</v>
      </c>
      <c r="Y18" s="159">
        <f t="shared" si="1"/>
        <v>23.224125483418838</v>
      </c>
      <c r="Z18" s="149"/>
      <c r="AA18" s="159">
        <f t="shared" si="5"/>
        <v>13.635596252399631</v>
      </c>
      <c r="AB18" s="159">
        <f t="shared" si="6"/>
        <v>55</v>
      </c>
      <c r="AC18" s="159">
        <f t="shared" si="7"/>
        <v>9.5885292310192067</v>
      </c>
      <c r="AD18" s="363">
        <f t="shared" si="16"/>
        <v>9.58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40"/>
      <c r="B19" s="145"/>
      <c r="C19" s="147"/>
      <c r="D19" s="581">
        <v>20</v>
      </c>
      <c r="E19" s="581"/>
      <c r="F19" s="148">
        <f t="shared" si="13"/>
        <v>18.77</v>
      </c>
      <c r="G19" s="582">
        <f t="shared" si="14"/>
        <v>7.42</v>
      </c>
      <c r="H19" s="582"/>
      <c r="I19" s="441"/>
      <c r="J19" s="378">
        <f t="shared" si="15"/>
        <v>0.62000000000000011</v>
      </c>
      <c r="K19" s="366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7">
        <f>INT((G14-O19)*100*0.95)/100</f>
        <v>-1.86</v>
      </c>
      <c r="R19" s="149"/>
      <c r="S19" s="149">
        <f t="shared" si="3"/>
        <v>125</v>
      </c>
      <c r="T19" s="149">
        <f t="shared" si="10"/>
        <v>4.6376330991384025</v>
      </c>
      <c r="U19" s="365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3">
        <f t="shared" si="4"/>
        <v>60</v>
      </c>
      <c r="Y19" s="159">
        <f t="shared" si="1"/>
        <v>23.410545246170326</v>
      </c>
      <c r="Z19" s="149"/>
      <c r="AA19" s="159">
        <f t="shared" si="5"/>
        <v>13.635596252399631</v>
      </c>
      <c r="AB19" s="159">
        <f t="shared" si="6"/>
        <v>60</v>
      </c>
      <c r="AC19" s="159">
        <f t="shared" si="7"/>
        <v>9.7749489937706944</v>
      </c>
      <c r="AD19" s="363">
        <f t="shared" si="16"/>
        <v>9.77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40"/>
      <c r="B20" s="145"/>
      <c r="C20" s="147"/>
      <c r="D20" s="581">
        <v>25</v>
      </c>
      <c r="E20" s="581"/>
      <c r="F20" s="148">
        <f t="shared" si="13"/>
        <v>19.239999999999998</v>
      </c>
      <c r="G20" s="582">
        <f t="shared" si="14"/>
        <v>7.89</v>
      </c>
      <c r="H20" s="582"/>
      <c r="I20" s="441"/>
      <c r="J20" s="378">
        <f t="shared" si="15"/>
        <v>0.46999999999999975</v>
      </c>
      <c r="K20" s="366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7">
        <f>INT((G15-O20)*100*0.91)/100</f>
        <v>-2.83</v>
      </c>
      <c r="R20" s="149"/>
      <c r="S20" s="149">
        <f t="shared" si="3"/>
        <v>125</v>
      </c>
      <c r="T20" s="149">
        <f t="shared" si="10"/>
        <v>4.6376330991384025</v>
      </c>
      <c r="U20" s="365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3">
        <f t="shared" si="4"/>
        <v>75</v>
      </c>
      <c r="Y20" s="159">
        <f t="shared" si="1"/>
        <v>23.888624887416292</v>
      </c>
      <c r="Z20" s="149"/>
      <c r="AA20" s="159">
        <f t="shared" si="5"/>
        <v>13.635596252399631</v>
      </c>
      <c r="AB20" s="159">
        <f t="shared" si="6"/>
        <v>75</v>
      </c>
      <c r="AC20" s="159">
        <f t="shared" si="7"/>
        <v>10.25302863501666</v>
      </c>
      <c r="AD20" s="363">
        <f t="shared" si="16"/>
        <v>10.25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40"/>
      <c r="B21" s="145"/>
      <c r="C21" s="147"/>
      <c r="D21" s="581">
        <v>30</v>
      </c>
      <c r="E21" s="581"/>
      <c r="F21" s="148">
        <f t="shared" si="13"/>
        <v>19.63</v>
      </c>
      <c r="G21" s="582">
        <f t="shared" si="14"/>
        <v>8.2799999999999994</v>
      </c>
      <c r="H21" s="582"/>
      <c r="I21" s="441"/>
      <c r="J21" s="378">
        <f t="shared" si="15"/>
        <v>0.38999999999999968</v>
      </c>
      <c r="K21" s="366">
        <f t="shared" si="18"/>
        <v>5</v>
      </c>
      <c r="L21" s="383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3">
        <f>INT(M21/N21*100)/100</f>
        <v>8.84</v>
      </c>
      <c r="P21" s="367">
        <f>INT((G16-O21)*100*0.86)/100</f>
        <v>-3.78</v>
      </c>
      <c r="R21" s="149"/>
      <c r="S21" s="149">
        <f t="shared" si="3"/>
        <v>125</v>
      </c>
      <c r="T21" s="149">
        <f t="shared" si="10"/>
        <v>4.6376330991384025</v>
      </c>
      <c r="U21" s="365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3">
        <f t="shared" si="4"/>
        <v>90</v>
      </c>
      <c r="Y21" s="159">
        <f t="shared" si="1"/>
        <v>24.279244396472691</v>
      </c>
      <c r="Z21" s="149"/>
      <c r="AA21" s="159">
        <f t="shared" si="5"/>
        <v>13.635596252399631</v>
      </c>
      <c r="AB21" s="159">
        <f t="shared" si="6"/>
        <v>90</v>
      </c>
      <c r="AC21" s="159">
        <f t="shared" si="7"/>
        <v>10.64364814407306</v>
      </c>
      <c r="AD21" s="363">
        <f t="shared" si="16"/>
        <v>10.64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40"/>
      <c r="B22" s="145"/>
      <c r="C22" s="147"/>
      <c r="D22" s="581">
        <v>35</v>
      </c>
      <c r="E22" s="581"/>
      <c r="F22" s="148">
        <f t="shared" si="13"/>
        <v>19.97</v>
      </c>
      <c r="G22" s="582">
        <f t="shared" si="14"/>
        <v>8.6199999999999992</v>
      </c>
      <c r="H22" s="582"/>
      <c r="I22" s="439"/>
      <c r="J22" s="378">
        <f t="shared" si="15"/>
        <v>0.33999999999999986</v>
      </c>
      <c r="K22" s="366">
        <f t="shared" si="18"/>
        <v>10</v>
      </c>
      <c r="L22" s="383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3">
        <f t="shared" ref="O22:O30" si="21">INT(M22/N22*100)/100</f>
        <v>17.68</v>
      </c>
      <c r="P22" s="367">
        <f>INT((G17-O22)*100*0.8)/100</f>
        <v>-9.4</v>
      </c>
      <c r="R22" s="149"/>
      <c r="S22" s="149">
        <f t="shared" si="3"/>
        <v>125</v>
      </c>
      <c r="T22" s="149">
        <f t="shared" si="10"/>
        <v>4.6376330991384025</v>
      </c>
      <c r="U22" s="365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3">
        <f t="shared" si="4"/>
        <v>105</v>
      </c>
      <c r="Y22" s="159">
        <f t="shared" si="1"/>
        <v>24.609508485556155</v>
      </c>
      <c r="Z22" s="159">
        <f>Y23-Z23</f>
        <v>13.635596252399631</v>
      </c>
      <c r="AA22" s="159">
        <f t="shared" si="5"/>
        <v>13.635596252399631</v>
      </c>
      <c r="AB22" s="159">
        <f t="shared" si="6"/>
        <v>105</v>
      </c>
      <c r="AC22" s="159">
        <f t="shared" si="7"/>
        <v>10.973912233156524</v>
      </c>
      <c r="AD22" s="363">
        <f t="shared" si="16"/>
        <v>10.97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40"/>
      <c r="B23" s="145"/>
      <c r="C23" s="147"/>
      <c r="D23" s="581">
        <v>40</v>
      </c>
      <c r="E23" s="581"/>
      <c r="F23" s="148">
        <f t="shared" si="13"/>
        <v>20.25</v>
      </c>
      <c r="G23" s="582">
        <f t="shared" si="14"/>
        <v>8.9</v>
      </c>
      <c r="H23" s="582"/>
      <c r="I23" s="439"/>
      <c r="J23" s="378">
        <f t="shared" si="15"/>
        <v>0.28000000000000114</v>
      </c>
      <c r="K23" s="366">
        <f t="shared" si="18"/>
        <v>15</v>
      </c>
      <c r="L23" s="383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3">
        <f t="shared" si="21"/>
        <v>26.52</v>
      </c>
      <c r="P23" s="367">
        <f t="shared" ref="P23:P32" si="22">INT((G18-O23)*100)/100</f>
        <v>-19.72</v>
      </c>
      <c r="R23" s="149"/>
      <c r="S23" s="149">
        <f t="shared" si="3"/>
        <v>125</v>
      </c>
      <c r="T23" s="149">
        <f t="shared" si="10"/>
        <v>4.6376330991384025</v>
      </c>
      <c r="U23" s="365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3">
        <f t="shared" si="4"/>
        <v>120</v>
      </c>
      <c r="Y23" s="159">
        <f t="shared" si="1"/>
        <v>24.895596252399631</v>
      </c>
      <c r="Z23" s="159">
        <f>Input!B20</f>
        <v>11.26</v>
      </c>
      <c r="AA23" s="159">
        <f t="shared" si="5"/>
        <v>13.635596252399631</v>
      </c>
      <c r="AB23" s="159">
        <f t="shared" si="6"/>
        <v>120</v>
      </c>
      <c r="AC23" s="159">
        <f t="shared" si="7"/>
        <v>11.26</v>
      </c>
      <c r="AD23" s="363">
        <f>INT((AC$3+AE23)*100)/100</f>
        <v>11.26</v>
      </c>
      <c r="AE23" s="159">
        <f>AG$23*AF23</f>
        <v>11.26</v>
      </c>
      <c r="AF23" s="159">
        <v>1</v>
      </c>
      <c r="AG23" s="159">
        <f>AC23-AC3</f>
        <v>11.26</v>
      </c>
      <c r="AH23" s="29"/>
      <c r="AI23" s="29"/>
      <c r="EF23" s="27">
        <v>10.02</v>
      </c>
    </row>
    <row r="24" spans="1:136" s="27" customFormat="1" ht="23.1" customHeight="1">
      <c r="A24" s="440"/>
      <c r="B24" s="145"/>
      <c r="C24" s="147"/>
      <c r="D24" s="581">
        <v>45</v>
      </c>
      <c r="E24" s="581"/>
      <c r="F24" s="148">
        <f t="shared" si="13"/>
        <v>20.5</v>
      </c>
      <c r="G24" s="582">
        <f t="shared" si="14"/>
        <v>9.15</v>
      </c>
      <c r="H24" s="582"/>
      <c r="I24" s="439"/>
      <c r="J24" s="378">
        <f t="shared" si="15"/>
        <v>0.25</v>
      </c>
      <c r="K24" s="366">
        <f t="shared" si="18"/>
        <v>20</v>
      </c>
      <c r="L24" s="383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3">
        <f t="shared" si="21"/>
        <v>35.369999999999997</v>
      </c>
      <c r="P24" s="367">
        <f t="shared" si="22"/>
        <v>-27.95</v>
      </c>
      <c r="R24" s="332">
        <f>B32</f>
        <v>160</v>
      </c>
      <c r="S24" s="149">
        <f>$R$24</f>
        <v>160</v>
      </c>
      <c r="T24" s="149">
        <f t="shared" si="10"/>
        <v>4.6376330991384025</v>
      </c>
      <c r="U24" s="365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3">
        <f t="shared" si="4"/>
        <v>130</v>
      </c>
      <c r="Y24" s="159">
        <f t="shared" si="1"/>
        <v>32.085869837216862</v>
      </c>
      <c r="Z24" s="159">
        <f>Z27</f>
        <v>18.747228491045046</v>
      </c>
      <c r="AA24" s="159">
        <f>$Z$24</f>
        <v>18.747228491045046</v>
      </c>
      <c r="AB24" s="159">
        <f t="shared" si="6"/>
        <v>130</v>
      </c>
      <c r="AC24" s="159">
        <f t="shared" si="7"/>
        <v>13.338641346171816</v>
      </c>
      <c r="AD24" s="363">
        <f>INT((AC$23+AE24)*100)/100</f>
        <v>13.51</v>
      </c>
      <c r="AE24" s="159">
        <f>AF24*AG$28</f>
        <v>2.2559999999999998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40"/>
      <c r="B25" s="145"/>
      <c r="C25" s="147"/>
      <c r="D25" s="581">
        <v>50</v>
      </c>
      <c r="E25" s="581"/>
      <c r="F25" s="148">
        <f t="shared" si="13"/>
        <v>20.73</v>
      </c>
      <c r="G25" s="582">
        <f t="shared" si="14"/>
        <v>9.3800000000000008</v>
      </c>
      <c r="H25" s="582"/>
      <c r="I25" s="439"/>
      <c r="J25" s="378">
        <f t="shared" si="15"/>
        <v>0.23000000000000043</v>
      </c>
      <c r="K25" s="366">
        <f t="shared" si="18"/>
        <v>25</v>
      </c>
      <c r="L25" s="383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3">
        <f t="shared" si="21"/>
        <v>44.21</v>
      </c>
      <c r="P25" s="367">
        <f t="shared" si="22"/>
        <v>-36.32</v>
      </c>
      <c r="R25" s="149"/>
      <c r="S25" s="149">
        <f>$R$24</f>
        <v>160</v>
      </c>
      <c r="T25" s="149">
        <f t="shared" si="10"/>
        <v>4.6376330991384025</v>
      </c>
      <c r="U25" s="365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3">
        <f t="shared" si="4"/>
        <v>140</v>
      </c>
      <c r="Y25" s="159">
        <f t="shared" si="1"/>
        <v>32.289101237098365</v>
      </c>
      <c r="Z25" s="149"/>
      <c r="AA25" s="159">
        <f>$Z$24</f>
        <v>18.747228491045046</v>
      </c>
      <c r="AB25" s="159">
        <f t="shared" si="6"/>
        <v>140</v>
      </c>
      <c r="AC25" s="159">
        <f t="shared" si="7"/>
        <v>13.541872746053318</v>
      </c>
      <c r="AD25" s="363">
        <f>INT((AC$23+AE25)*100)/100</f>
        <v>13.89</v>
      </c>
      <c r="AE25" s="159">
        <f>AF25*AG$28</f>
        <v>2.6319999999999997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40"/>
      <c r="B26" s="145"/>
      <c r="C26" s="147"/>
      <c r="D26" s="581">
        <v>55</v>
      </c>
      <c r="E26" s="581"/>
      <c r="F26" s="148">
        <f t="shared" si="13"/>
        <v>20.93</v>
      </c>
      <c r="G26" s="582">
        <f t="shared" si="14"/>
        <v>9.58</v>
      </c>
      <c r="H26" s="582"/>
      <c r="I26" s="439"/>
      <c r="J26" s="378">
        <f t="shared" si="15"/>
        <v>0.19999999999999929</v>
      </c>
      <c r="K26" s="366">
        <f t="shared" si="18"/>
        <v>30</v>
      </c>
      <c r="L26" s="383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7">
        <f t="shared" si="22"/>
        <v>-44.77</v>
      </c>
      <c r="R26" s="149"/>
      <c r="S26" s="149">
        <f>$R$24</f>
        <v>160</v>
      </c>
      <c r="T26" s="149">
        <f t="shared" si="10"/>
        <v>4.6376330991384025</v>
      </c>
      <c r="U26" s="365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3">
        <f t="shared" si="4"/>
        <v>150</v>
      </c>
      <c r="Y26" s="159">
        <f t="shared" si="1"/>
        <v>32.478305143866365</v>
      </c>
      <c r="Z26" s="149"/>
      <c r="AA26" s="159">
        <f>$Z$24</f>
        <v>18.747228491045046</v>
      </c>
      <c r="AB26" s="159">
        <f t="shared" si="6"/>
        <v>150</v>
      </c>
      <c r="AC26" s="159">
        <f t="shared" si="7"/>
        <v>13.731076652821319</v>
      </c>
      <c r="AD26" s="363">
        <f>INT((AC$23+AE26)*100)/100</f>
        <v>14.26</v>
      </c>
      <c r="AE26" s="159">
        <f>AF26*AG$28</f>
        <v>3.008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40"/>
      <c r="B27" s="145"/>
      <c r="C27" s="147">
        <f>$C$12+D27/1440</f>
        <v>45725.472222222219</v>
      </c>
      <c r="D27" s="581">
        <v>60</v>
      </c>
      <c r="E27" s="581"/>
      <c r="F27" s="148">
        <f t="shared" si="13"/>
        <v>21.119999999999997</v>
      </c>
      <c r="G27" s="582">
        <f t="shared" si="14"/>
        <v>9.77</v>
      </c>
      <c r="H27" s="582"/>
      <c r="I27" s="439"/>
      <c r="J27" s="378">
        <f t="shared" si="15"/>
        <v>0.1899999999999995</v>
      </c>
      <c r="K27" s="366">
        <f t="shared" si="18"/>
        <v>35</v>
      </c>
      <c r="L27" s="383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7">
        <f t="shared" si="22"/>
        <v>-53.27</v>
      </c>
      <c r="R27" s="149"/>
      <c r="S27" s="149">
        <f>$R$24</f>
        <v>160</v>
      </c>
      <c r="T27" s="149">
        <f t="shared" si="10"/>
        <v>4.6376330991384025</v>
      </c>
      <c r="U27" s="365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3">
        <f t="shared" si="4"/>
        <v>180</v>
      </c>
      <c r="Y27" s="159">
        <f t="shared" si="1"/>
        <v>32.978298115458557</v>
      </c>
      <c r="Z27" s="159">
        <f>Y28-Z28</f>
        <v>18.747228491045046</v>
      </c>
      <c r="AA27" s="159">
        <f>$Z$24</f>
        <v>18.747228491045046</v>
      </c>
      <c r="AB27" s="159">
        <f t="shared" si="6"/>
        <v>180</v>
      </c>
      <c r="AC27" s="159">
        <f t="shared" si="7"/>
        <v>14.231069624413511</v>
      </c>
      <c r="AD27" s="363">
        <f>INT((AC$23+AE27)*100)/100</f>
        <v>14.64</v>
      </c>
      <c r="AE27" s="159">
        <f>AF27*AG$28</f>
        <v>3.3839999999999999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40"/>
      <c r="B28" s="145"/>
      <c r="C28" s="147"/>
      <c r="D28" s="581">
        <v>75</v>
      </c>
      <c r="E28" s="581"/>
      <c r="F28" s="148">
        <f t="shared" si="13"/>
        <v>21.6</v>
      </c>
      <c r="G28" s="582">
        <f t="shared" si="14"/>
        <v>10.25</v>
      </c>
      <c r="H28" s="582"/>
      <c r="I28" s="439"/>
      <c r="J28" s="378">
        <f t="shared" si="15"/>
        <v>0.48000000000000043</v>
      </c>
      <c r="K28" s="366">
        <f t="shared" si="18"/>
        <v>40</v>
      </c>
      <c r="L28" s="383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7">
        <f t="shared" si="22"/>
        <v>-61.84</v>
      </c>
      <c r="R28" s="149"/>
      <c r="S28" s="149">
        <f>$R$24</f>
        <v>160</v>
      </c>
      <c r="T28" s="149">
        <f t="shared" si="10"/>
        <v>4.6376330991384025</v>
      </c>
      <c r="U28" s="365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3">
        <f t="shared" si="4"/>
        <v>240</v>
      </c>
      <c r="Y28" s="159">
        <f t="shared" si="1"/>
        <v>33.767228491045046</v>
      </c>
      <c r="Z28" s="159">
        <f>Input!B21</f>
        <v>15.02</v>
      </c>
      <c r="AA28" s="159">
        <f>$Z$24</f>
        <v>18.747228491045046</v>
      </c>
      <c r="AB28" s="159">
        <f t="shared" si="6"/>
        <v>240</v>
      </c>
      <c r="AC28" s="159">
        <f t="shared" si="7"/>
        <v>15.02</v>
      </c>
      <c r="AD28" s="363">
        <f>INT((AC$23+AE28)*100)/100</f>
        <v>15.02</v>
      </c>
      <c r="AE28" s="159">
        <f>AF28*AG$28</f>
        <v>3.76</v>
      </c>
      <c r="AF28" s="159">
        <v>1</v>
      </c>
      <c r="AG28" s="159">
        <f>AC28-AC23</f>
        <v>3.76</v>
      </c>
      <c r="AH28" s="29"/>
      <c r="EF28" s="27">
        <v>10.15</v>
      </c>
    </row>
    <row r="29" spans="1:136" s="27" customFormat="1" ht="23.1" customHeight="1">
      <c r="A29" s="440"/>
      <c r="B29" s="145"/>
      <c r="C29" s="147"/>
      <c r="D29" s="581">
        <v>90</v>
      </c>
      <c r="E29" s="581"/>
      <c r="F29" s="148">
        <f t="shared" si="13"/>
        <v>21.990000000000002</v>
      </c>
      <c r="G29" s="582">
        <f t="shared" si="14"/>
        <v>10.64</v>
      </c>
      <c r="H29" s="582"/>
      <c r="I29" s="439"/>
      <c r="J29" s="378">
        <f t="shared" si="15"/>
        <v>0.39000000000000057</v>
      </c>
      <c r="K29" s="366">
        <f t="shared" si="18"/>
        <v>45</v>
      </c>
      <c r="L29" s="383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7">
        <f t="shared" si="22"/>
        <v>-70.430000000000007</v>
      </c>
      <c r="R29" s="332">
        <f>B37</f>
        <v>194.65</v>
      </c>
      <c r="S29" s="149">
        <f>$R$29</f>
        <v>194.65</v>
      </c>
      <c r="T29" s="149">
        <f t="shared" si="10"/>
        <v>4.6376330991384025</v>
      </c>
      <c r="U29" s="365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3">
        <f t="shared" si="4"/>
        <v>250</v>
      </c>
      <c r="Y29" s="159">
        <f t="shared" si="1"/>
        <v>41.21613682898257</v>
      </c>
      <c r="Z29" s="159">
        <f>Z32</f>
        <v>23.192682227987834</v>
      </c>
      <c r="AA29" s="159">
        <f>$Z$29</f>
        <v>23.192682227987834</v>
      </c>
      <c r="AB29" s="159">
        <f t="shared" si="6"/>
        <v>250</v>
      </c>
      <c r="AC29" s="159">
        <f t="shared" si="7"/>
        <v>18.023454600994736</v>
      </c>
      <c r="AD29" s="363">
        <f>INT((AC$28+AE29)*100)/100</f>
        <v>17.55</v>
      </c>
      <c r="AE29" s="159">
        <f>AF29*AG$33</f>
        <v>2.5319999999999991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40"/>
      <c r="B30" s="145"/>
      <c r="C30" s="147"/>
      <c r="D30" s="581">
        <v>105</v>
      </c>
      <c r="E30" s="581"/>
      <c r="F30" s="148">
        <f t="shared" si="13"/>
        <v>22.32</v>
      </c>
      <c r="G30" s="582">
        <f t="shared" si="14"/>
        <v>10.97</v>
      </c>
      <c r="H30" s="582"/>
      <c r="I30" s="439"/>
      <c r="J30" s="378">
        <f t="shared" si="15"/>
        <v>0.33000000000000007</v>
      </c>
      <c r="K30" s="366">
        <f t="shared" si="18"/>
        <v>50</v>
      </c>
      <c r="L30" s="383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7">
        <f t="shared" si="22"/>
        <v>-79.040000000000006</v>
      </c>
      <c r="R30" s="149" t="s">
        <v>21</v>
      </c>
      <c r="S30" s="149">
        <f>$R$29</f>
        <v>194.65</v>
      </c>
      <c r="T30" s="149">
        <f t="shared" si="10"/>
        <v>4.6376330991384025</v>
      </c>
      <c r="U30" s="365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3">
        <f t="shared" si="4"/>
        <v>260</v>
      </c>
      <c r="Y30" s="159">
        <f t="shared" si="1"/>
        <v>41.346987450739412</v>
      </c>
      <c r="Z30" s="149"/>
      <c r="AA30" s="159">
        <f>$Z$29</f>
        <v>23.192682227987834</v>
      </c>
      <c r="AB30" s="159">
        <f t="shared" si="6"/>
        <v>260</v>
      </c>
      <c r="AC30" s="159">
        <f t="shared" si="7"/>
        <v>18.154305222751578</v>
      </c>
      <c r="AD30" s="363">
        <f>INT((AC$28+AE30)*100)/100</f>
        <v>17.97</v>
      </c>
      <c r="AE30" s="159">
        <f>AF30*AG$33</f>
        <v>2.9539999999999988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40"/>
      <c r="B31" s="145"/>
      <c r="C31" s="147"/>
      <c r="D31" s="581">
        <v>120</v>
      </c>
      <c r="E31" s="581"/>
      <c r="F31" s="148">
        <f t="shared" si="13"/>
        <v>22.61</v>
      </c>
      <c r="G31" s="582">
        <f t="shared" si="14"/>
        <v>11.26</v>
      </c>
      <c r="H31" s="582"/>
      <c r="I31" s="439"/>
      <c r="J31" s="378">
        <f t="shared" si="15"/>
        <v>0.28999999999999915</v>
      </c>
      <c r="K31" s="366">
        <f t="shared" si="18"/>
        <v>55</v>
      </c>
      <c r="L31" s="383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7">
        <f t="shared" si="22"/>
        <v>-87.68</v>
      </c>
      <c r="R31" s="149"/>
      <c r="S31" s="149">
        <f>$R$29</f>
        <v>194.65</v>
      </c>
      <c r="T31" s="149">
        <f t="shared" si="10"/>
        <v>4.6376330991384025</v>
      </c>
      <c r="U31" s="365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3">
        <f t="shared" si="4"/>
        <v>270</v>
      </c>
      <c r="Y31" s="159">
        <f t="shared" si="1"/>
        <v>41.472899117938397</v>
      </c>
      <c r="Z31" s="149"/>
      <c r="AA31" s="159">
        <f>$Z$29</f>
        <v>23.192682227987834</v>
      </c>
      <c r="AB31" s="159">
        <f t="shared" si="6"/>
        <v>270</v>
      </c>
      <c r="AC31" s="159">
        <f t="shared" si="7"/>
        <v>18.280216889950562</v>
      </c>
      <c r="AD31" s="363">
        <f>INT((AC$28+AE31)*100)/100</f>
        <v>18.39</v>
      </c>
      <c r="AE31" s="159">
        <f>AF31*AG$33</f>
        <v>3.3759999999999994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40">
        <v>2</v>
      </c>
      <c r="B32" s="146">
        <f>Input!D21</f>
        <v>160</v>
      </c>
      <c r="C32" s="147">
        <f>$C$12+D32/1440</f>
        <v>45725.520833333336</v>
      </c>
      <c r="D32" s="581">
        <v>130</v>
      </c>
      <c r="E32" s="581"/>
      <c r="F32" s="148">
        <f t="shared" si="13"/>
        <v>24.86</v>
      </c>
      <c r="G32" s="582">
        <f t="shared" si="14"/>
        <v>13.51</v>
      </c>
      <c r="H32" s="582"/>
      <c r="I32" s="439"/>
      <c r="J32" s="378">
        <f t="shared" si="15"/>
        <v>2.25</v>
      </c>
      <c r="K32" s="368">
        <f t="shared" si="18"/>
        <v>60</v>
      </c>
      <c r="L32" s="384">
        <f t="shared" si="20"/>
        <v>8.6800000000000002E-2</v>
      </c>
      <c r="M32" s="369">
        <f t="shared" si="17"/>
        <v>5.2080000000000002</v>
      </c>
      <c r="N32" s="369">
        <f t="shared" si="19"/>
        <v>4.9079999999999999E-2</v>
      </c>
      <c r="O32" s="369">
        <f>INT(M32/N32*100)/100</f>
        <v>106.11</v>
      </c>
      <c r="P32" s="370">
        <f t="shared" si="22"/>
        <v>-96.34</v>
      </c>
      <c r="R32" s="149"/>
      <c r="S32" s="149">
        <f>$R$29</f>
        <v>194.65</v>
      </c>
      <c r="T32" s="149">
        <f t="shared" si="10"/>
        <v>4.6376330991384025</v>
      </c>
      <c r="U32" s="365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3">
        <f t="shared" si="4"/>
        <v>300</v>
      </c>
      <c r="Y32" s="159">
        <f t="shared" si="1"/>
        <v>41.824409528485198</v>
      </c>
      <c r="Z32" s="159">
        <f>Y33-Z33</f>
        <v>23.192682227987834</v>
      </c>
      <c r="AA32" s="159">
        <f>$Z$29</f>
        <v>23.192682227987834</v>
      </c>
      <c r="AB32" s="159">
        <f t="shared" si="6"/>
        <v>300</v>
      </c>
      <c r="AC32" s="159">
        <f t="shared" si="7"/>
        <v>18.631727300497364</v>
      </c>
      <c r="AD32" s="363">
        <f>INT((AC$28+AE32)*100)/100</f>
        <v>18.809999999999999</v>
      </c>
      <c r="AE32" s="159">
        <f>AF32*AG$33</f>
        <v>3.7979999999999992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40"/>
      <c r="B33" s="145"/>
      <c r="C33" s="147"/>
      <c r="D33" s="581">
        <v>140</v>
      </c>
      <c r="E33" s="581"/>
      <c r="F33" s="148">
        <f t="shared" si="13"/>
        <v>25.240000000000002</v>
      </c>
      <c r="G33" s="582">
        <f t="shared" si="14"/>
        <v>13.89</v>
      </c>
      <c r="H33" s="582"/>
      <c r="I33" s="439"/>
      <c r="J33" s="378">
        <f t="shared" si="15"/>
        <v>0.38000000000000078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4.6376330991384025</v>
      </c>
      <c r="U33" s="365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3">
        <f t="shared" si="4"/>
        <v>360</v>
      </c>
      <c r="Y33" s="159">
        <f t="shared" si="1"/>
        <v>42.432682227987833</v>
      </c>
      <c r="Z33" s="159">
        <f>Input!B22</f>
        <v>19.239999999999998</v>
      </c>
      <c r="AA33" s="159">
        <f>$Z$29</f>
        <v>23.192682227987834</v>
      </c>
      <c r="AB33" s="159">
        <f t="shared" si="6"/>
        <v>360</v>
      </c>
      <c r="AC33" s="159">
        <f t="shared" si="7"/>
        <v>19.239999999999998</v>
      </c>
      <c r="AD33" s="363">
        <f>INT((AC$28+AE33)*100)/100</f>
        <v>19.239999999999998</v>
      </c>
      <c r="AE33" s="159">
        <f>AF33*AG$33</f>
        <v>4.2199999999999989</v>
      </c>
      <c r="AF33" s="159">
        <v>1</v>
      </c>
      <c r="AG33" s="159">
        <f>AC33-AC28</f>
        <v>4.2199999999999989</v>
      </c>
      <c r="AH33" s="29"/>
      <c r="EF33" s="27">
        <v>15.41</v>
      </c>
    </row>
    <row r="34" spans="1:136" s="27" customFormat="1" ht="23.1" customHeight="1">
      <c r="A34" s="440"/>
      <c r="B34" s="145"/>
      <c r="C34" s="147"/>
      <c r="D34" s="581">
        <v>150</v>
      </c>
      <c r="E34" s="581"/>
      <c r="F34" s="148">
        <f t="shared" si="13"/>
        <v>25.61</v>
      </c>
      <c r="G34" s="582">
        <f t="shared" si="14"/>
        <v>14.26</v>
      </c>
      <c r="H34" s="582"/>
      <c r="I34" s="439"/>
      <c r="J34" s="378">
        <f t="shared" si="15"/>
        <v>0.36999999999999922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4.6376330991384025</v>
      </c>
      <c r="U34" s="365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3">
        <f t="shared" si="4"/>
        <v>370</v>
      </c>
      <c r="Y34" s="159">
        <f t="shared" si="1"/>
        <v>50.028344020164411</v>
      </c>
      <c r="Z34" s="159">
        <f>Z37</f>
        <v>27.099959221220313</v>
      </c>
      <c r="AA34" s="159">
        <f>$Z$34</f>
        <v>27.099959221220313</v>
      </c>
      <c r="AB34" s="159">
        <f t="shared" si="6"/>
        <v>370</v>
      </c>
      <c r="AC34" s="159">
        <f t="shared" si="7"/>
        <v>22.928384798944098</v>
      </c>
      <c r="AD34" s="363">
        <f>INT((AC$33+AE34)*100)/100</f>
        <v>22.06</v>
      </c>
      <c r="AE34" s="159">
        <f>AG$38*AF34</f>
        <v>2.8260000000000005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40"/>
      <c r="B35" s="145"/>
      <c r="C35" s="147"/>
      <c r="D35" s="581">
        <v>180</v>
      </c>
      <c r="E35" s="581"/>
      <c r="F35" s="148">
        <f t="shared" si="13"/>
        <v>25.990000000000002</v>
      </c>
      <c r="G35" s="582">
        <f t="shared" si="14"/>
        <v>14.64</v>
      </c>
      <c r="H35" s="582"/>
      <c r="I35" s="439"/>
      <c r="J35" s="378">
        <f t="shared" si="15"/>
        <v>0.38000000000000078</v>
      </c>
      <c r="L35" s="35" t="s">
        <v>21</v>
      </c>
      <c r="R35" s="149"/>
      <c r="S35" s="149">
        <f>$R$34</f>
        <v>229</v>
      </c>
      <c r="T35" s="149">
        <f t="shared" si="10"/>
        <v>4.6376330991384025</v>
      </c>
      <c r="U35" s="365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3">
        <f t="shared" si="4"/>
        <v>380</v>
      </c>
      <c r="Y35" s="159">
        <f t="shared" si="1"/>
        <v>50.133017303932732</v>
      </c>
      <c r="Z35" s="149"/>
      <c r="AA35" s="159">
        <f>$Z$34</f>
        <v>27.099959221220313</v>
      </c>
      <c r="AB35" s="159">
        <f t="shared" si="6"/>
        <v>380</v>
      </c>
      <c r="AC35" s="159">
        <f t="shared" si="7"/>
        <v>23.033058082712419</v>
      </c>
      <c r="AD35" s="363">
        <f>INT((AC$33+AE35)*100)/100</f>
        <v>22.53</v>
      </c>
      <c r="AE35" s="159">
        <f>AG$38*AF35</f>
        <v>3.2970000000000006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40"/>
      <c r="B36" s="145"/>
      <c r="C36" s="147"/>
      <c r="D36" s="581">
        <v>240</v>
      </c>
      <c r="E36" s="581"/>
      <c r="F36" s="148">
        <f t="shared" si="13"/>
        <v>26.369999999999997</v>
      </c>
      <c r="G36" s="582">
        <f t="shared" si="14"/>
        <v>15.02</v>
      </c>
      <c r="H36" s="582"/>
      <c r="I36" s="439"/>
      <c r="J36" s="378">
        <f t="shared" si="15"/>
        <v>0.37999999999999901</v>
      </c>
      <c r="L36" s="35" t="s">
        <v>21</v>
      </c>
      <c r="R36" s="149"/>
      <c r="S36" s="149">
        <f>$R$34</f>
        <v>229</v>
      </c>
      <c r="T36" s="149">
        <f t="shared" si="10"/>
        <v>4.6376330991384025</v>
      </c>
      <c r="U36" s="365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3">
        <f t="shared" si="4"/>
        <v>390</v>
      </c>
      <c r="Y36" s="159">
        <f t="shared" si="1"/>
        <v>50.23497149128265</v>
      </c>
      <c r="Z36" s="149"/>
      <c r="AA36" s="159">
        <f>$Z$34</f>
        <v>27.099959221220313</v>
      </c>
      <c r="AB36" s="159">
        <f t="shared" si="6"/>
        <v>390</v>
      </c>
      <c r="AC36" s="159">
        <f t="shared" si="7"/>
        <v>23.135012270062337</v>
      </c>
      <c r="AD36" s="363">
        <f>INT((AC$33+AE36)*100)/100</f>
        <v>23</v>
      </c>
      <c r="AE36" s="159">
        <f>AG$38*AF36</f>
        <v>3.7680000000000007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40">
        <v>3</v>
      </c>
      <c r="B37" s="146">
        <f>Input!D22</f>
        <v>194.65</v>
      </c>
      <c r="C37" s="147">
        <f>$C$12+D37/1440</f>
        <v>45725.604166666664</v>
      </c>
      <c r="D37" s="581">
        <v>250</v>
      </c>
      <c r="E37" s="581"/>
      <c r="F37" s="148">
        <f t="shared" si="13"/>
        <v>28.9</v>
      </c>
      <c r="G37" s="582">
        <f t="shared" si="14"/>
        <v>17.55</v>
      </c>
      <c r="H37" s="582"/>
      <c r="I37" s="439"/>
      <c r="J37" s="378">
        <f t="shared" si="15"/>
        <v>2.5300000000000011</v>
      </c>
      <c r="L37" s="35" t="s">
        <v>21</v>
      </c>
      <c r="R37" s="149"/>
      <c r="S37" s="149">
        <f>$R$34</f>
        <v>229</v>
      </c>
      <c r="T37" s="149">
        <f t="shared" si="10"/>
        <v>4.6376330991384025</v>
      </c>
      <c r="U37" s="365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3">
        <f t="shared" si="4"/>
        <v>420</v>
      </c>
      <c r="Y37" s="159">
        <f t="shared" si="1"/>
        <v>50.525846432363053</v>
      </c>
      <c r="Z37" s="159">
        <f>Y38-Z38</f>
        <v>27.099959221220313</v>
      </c>
      <c r="AA37" s="159">
        <f>$Z$34</f>
        <v>27.099959221220313</v>
      </c>
      <c r="AB37" s="159">
        <f t="shared" si="6"/>
        <v>420</v>
      </c>
      <c r="AC37" s="159">
        <f t="shared" si="7"/>
        <v>23.42588721114274</v>
      </c>
      <c r="AD37" s="363">
        <f>INT((AC$33+AE37)*100)/100</f>
        <v>23.47</v>
      </c>
      <c r="AE37" s="159">
        <f>AG$38*AF37</f>
        <v>4.2390000000000008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40"/>
      <c r="B38" s="145"/>
      <c r="C38" s="147"/>
      <c r="D38" s="581">
        <v>260</v>
      </c>
      <c r="E38" s="581"/>
      <c r="F38" s="148">
        <f t="shared" si="13"/>
        <v>29.32</v>
      </c>
      <c r="G38" s="582">
        <f t="shared" si="14"/>
        <v>17.97</v>
      </c>
      <c r="H38" s="582"/>
      <c r="I38" s="439"/>
      <c r="J38" s="378">
        <f t="shared" si="15"/>
        <v>0.41999999999999815</v>
      </c>
      <c r="L38" s="35" t="s">
        <v>21</v>
      </c>
      <c r="R38" s="149"/>
      <c r="S38" s="149">
        <f>$R$34</f>
        <v>229</v>
      </c>
      <c r="T38" s="149">
        <f t="shared" si="10"/>
        <v>4.6376330991384025</v>
      </c>
      <c r="U38" s="365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3">
        <f t="shared" si="4"/>
        <v>480</v>
      </c>
      <c r="Y38" s="159">
        <f t="shared" si="1"/>
        <v>51.049959221220313</v>
      </c>
      <c r="Z38" s="159">
        <f>Input!B23</f>
        <v>23.95</v>
      </c>
      <c r="AA38" s="159">
        <f>$Z$34</f>
        <v>27.099959221220313</v>
      </c>
      <c r="AB38" s="159">
        <f t="shared" si="6"/>
        <v>480</v>
      </c>
      <c r="AC38" s="159">
        <f t="shared" si="7"/>
        <v>23.95</v>
      </c>
      <c r="AD38" s="363">
        <f>INT((AC$33+AE38)*100)/100</f>
        <v>23.95</v>
      </c>
      <c r="AE38" s="159">
        <f>AG$38*AF38</f>
        <v>4.7100000000000009</v>
      </c>
      <c r="AF38" s="159">
        <v>1</v>
      </c>
      <c r="AG38" s="159">
        <f>AC38-AC33</f>
        <v>4.7100000000000009</v>
      </c>
      <c r="AH38" s="29"/>
      <c r="EF38" s="27">
        <v>20.059999999999999</v>
      </c>
    </row>
    <row r="39" spans="1:136" s="27" customFormat="1" ht="23.1" customHeight="1">
      <c r="A39" s="440"/>
      <c r="B39" s="145"/>
      <c r="C39" s="147"/>
      <c r="D39" s="581">
        <v>270</v>
      </c>
      <c r="E39" s="581"/>
      <c r="F39" s="148">
        <f t="shared" si="13"/>
        <v>29.740000000000002</v>
      </c>
      <c r="G39" s="582">
        <f t="shared" si="14"/>
        <v>18.39</v>
      </c>
      <c r="H39" s="582"/>
      <c r="I39" s="439"/>
      <c r="J39" s="378">
        <f t="shared" si="15"/>
        <v>0.42000000000000171</v>
      </c>
      <c r="K39" s="31" t="s">
        <v>21</v>
      </c>
      <c r="L39" s="35" t="s">
        <v>21</v>
      </c>
      <c r="R39" s="332">
        <f>B47</f>
        <v>263.34999999999997</v>
      </c>
      <c r="S39" s="149">
        <f>$R$39</f>
        <v>263.34999999999997</v>
      </c>
      <c r="T39" s="149">
        <f t="shared" si="10"/>
        <v>4.6376330991384025</v>
      </c>
      <c r="U39" s="365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3">
        <f t="shared" si="4"/>
        <v>490</v>
      </c>
      <c r="Y39" s="159">
        <f t="shared" si="1"/>
        <v>58.800523780098551</v>
      </c>
      <c r="Z39" s="159">
        <f>Z42</f>
        <v>28.584671292580342</v>
      </c>
      <c r="AA39" s="159">
        <f>$Z$39</f>
        <v>28.584671292580342</v>
      </c>
      <c r="AB39" s="159">
        <f t="shared" si="6"/>
        <v>490</v>
      </c>
      <c r="AC39" s="159">
        <f t="shared" si="7"/>
        <v>30.215852487518209</v>
      </c>
      <c r="AD39" s="363">
        <f>INT((AC$38+AE39)*100)/100</f>
        <v>26.82</v>
      </c>
      <c r="AE39" s="159">
        <f>AG$43*AF39</f>
        <v>2.8719999999999999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40"/>
      <c r="B40" s="145"/>
      <c r="C40" s="147"/>
      <c r="D40" s="581">
        <v>300</v>
      </c>
      <c r="E40" s="581"/>
      <c r="F40" s="148">
        <f t="shared" si="13"/>
        <v>30.159999999999997</v>
      </c>
      <c r="G40" s="582">
        <f t="shared" si="14"/>
        <v>18.809999999999999</v>
      </c>
      <c r="H40" s="582"/>
      <c r="I40" s="439"/>
      <c r="J40" s="378">
        <f t="shared" si="15"/>
        <v>0.41999999999999815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4.6376330991384025</v>
      </c>
      <c r="U40" s="365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3">
        <f t="shared" si="4"/>
        <v>500</v>
      </c>
      <c r="Y40" s="159">
        <f t="shared" si="1"/>
        <v>58.891714110900317</v>
      </c>
      <c r="Z40" s="149"/>
      <c r="AA40" s="159">
        <f>$Z$39</f>
        <v>28.584671292580342</v>
      </c>
      <c r="AB40" s="159">
        <f t="shared" si="6"/>
        <v>500</v>
      </c>
      <c r="AC40" s="159">
        <f t="shared" si="7"/>
        <v>30.307042818319974</v>
      </c>
      <c r="AD40" s="363">
        <f>INT((AC$38+AE40)*100)/100</f>
        <v>27.89</v>
      </c>
      <c r="AE40" s="159">
        <f>AG$43*AF40</f>
        <v>3.9490000000000003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40"/>
      <c r="B41" s="145"/>
      <c r="C41" s="147"/>
      <c r="D41" s="581">
        <v>360</v>
      </c>
      <c r="E41" s="581"/>
      <c r="F41" s="148">
        <f t="shared" si="13"/>
        <v>30.589999999999996</v>
      </c>
      <c r="G41" s="582">
        <f t="shared" si="14"/>
        <v>19.239999999999998</v>
      </c>
      <c r="H41" s="582"/>
      <c r="I41" s="439"/>
      <c r="J41" s="378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4.6376330991384025</v>
      </c>
      <c r="U41" s="365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3">
        <f t="shared" si="4"/>
        <v>510</v>
      </c>
      <c r="Y41" s="159">
        <f t="shared" si="1"/>
        <v>58.981098573363752</v>
      </c>
      <c r="Z41" s="149"/>
      <c r="AA41" s="159">
        <f>$Z$39</f>
        <v>28.584671292580342</v>
      </c>
      <c r="AB41" s="159">
        <f t="shared" si="6"/>
        <v>510</v>
      </c>
      <c r="AC41" s="159">
        <f t="shared" si="7"/>
        <v>30.39642728078341</v>
      </c>
      <c r="AD41" s="363">
        <f>INT((AC$38+AE41)*100)/100</f>
        <v>28.97</v>
      </c>
      <c r="AE41" s="159">
        <f>AG$43*AF41</f>
        <v>5.0259999999999998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40">
        <v>4</v>
      </c>
      <c r="B42" s="146">
        <f>Input!D23</f>
        <v>229</v>
      </c>
      <c r="C42" s="147">
        <f>$C$12+D42/1440</f>
        <v>45725.6875</v>
      </c>
      <c r="D42" s="581">
        <v>370</v>
      </c>
      <c r="E42" s="581"/>
      <c r="F42" s="148">
        <f t="shared" si="13"/>
        <v>33.409999999999997</v>
      </c>
      <c r="G42" s="582">
        <f t="shared" si="14"/>
        <v>22.06</v>
      </c>
      <c r="H42" s="582"/>
      <c r="I42" s="439"/>
      <c r="J42" s="378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4.6376330991384025</v>
      </c>
      <c r="U42" s="365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3">
        <f t="shared" si="4"/>
        <v>540</v>
      </c>
      <c r="Y42" s="159">
        <f t="shared" si="1"/>
        <v>59.239098384193497</v>
      </c>
      <c r="Z42" s="159">
        <f>Y43-Z43</f>
        <v>28.584671292580342</v>
      </c>
      <c r="AA42" s="159">
        <f>$Z$39</f>
        <v>28.584671292580342</v>
      </c>
      <c r="AB42" s="159">
        <f t="shared" si="6"/>
        <v>540</v>
      </c>
      <c r="AC42" s="159">
        <f t="shared" si="7"/>
        <v>30.654427091613154</v>
      </c>
      <c r="AD42" s="363">
        <f>INT((AC$38+AE42)*100)/100</f>
        <v>30.05</v>
      </c>
      <c r="AE42" s="159">
        <f>AG$43*AF42</f>
        <v>6.1029999999999998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40"/>
      <c r="B43" s="145"/>
      <c r="C43" s="147"/>
      <c r="D43" s="581">
        <v>380</v>
      </c>
      <c r="E43" s="581"/>
      <c r="F43" s="148">
        <f t="shared" si="13"/>
        <v>33.880000000000003</v>
      </c>
      <c r="G43" s="582">
        <f t="shared" si="14"/>
        <v>22.53</v>
      </c>
      <c r="H43" s="582"/>
      <c r="I43" s="439"/>
      <c r="J43" s="378">
        <f t="shared" si="15"/>
        <v>0.47000000000000242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4.6376330991384025</v>
      </c>
      <c r="U43" s="365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3">
        <f t="shared" si="4"/>
        <v>600</v>
      </c>
      <c r="Y43" s="159">
        <f t="shared" si="1"/>
        <v>59.714671292580341</v>
      </c>
      <c r="Z43" s="159">
        <f>Input!B24</f>
        <v>31.13</v>
      </c>
      <c r="AA43" s="159">
        <f>$Z$39</f>
        <v>28.584671292580342</v>
      </c>
      <c r="AB43" s="159">
        <f t="shared" si="6"/>
        <v>600</v>
      </c>
      <c r="AC43" s="159">
        <f t="shared" si="7"/>
        <v>31.13</v>
      </c>
      <c r="AD43" s="363">
        <f>INT((AC$38+AE43)*100)/100</f>
        <v>31.13</v>
      </c>
      <c r="AE43" s="159">
        <f>AG$43*AF43</f>
        <v>7.18</v>
      </c>
      <c r="AF43" s="159">
        <v>1</v>
      </c>
      <c r="AG43" s="159">
        <f>AC43-AC38</f>
        <v>7.18</v>
      </c>
      <c r="AH43" s="29"/>
      <c r="EF43" s="27">
        <v>31.81</v>
      </c>
    </row>
    <row r="44" spans="1:136" s="27" customFormat="1" ht="23.1" customHeight="1">
      <c r="A44" s="440"/>
      <c r="B44" s="145"/>
      <c r="C44" s="147"/>
      <c r="D44" s="581">
        <v>390</v>
      </c>
      <c r="E44" s="581"/>
      <c r="F44" s="148">
        <f t="shared" si="13"/>
        <v>34.35</v>
      </c>
      <c r="G44" s="582">
        <f t="shared" si="14"/>
        <v>23</v>
      </c>
      <c r="H44" s="582"/>
      <c r="I44" s="439"/>
      <c r="J44" s="378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5" t="s">
        <v>21</v>
      </c>
      <c r="V44" s="149" t="s">
        <v>21</v>
      </c>
      <c r="W44" s="149" t="s">
        <v>21</v>
      </c>
      <c r="X44" s="333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40"/>
      <c r="B45" s="145"/>
      <c r="C45" s="147"/>
      <c r="D45" s="581">
        <v>420</v>
      </c>
      <c r="E45" s="581"/>
      <c r="F45" s="148">
        <f t="shared" si="13"/>
        <v>34.82</v>
      </c>
      <c r="G45" s="582">
        <f t="shared" si="14"/>
        <v>23.47</v>
      </c>
      <c r="H45" s="582"/>
      <c r="I45" s="439"/>
      <c r="J45" s="378">
        <f t="shared" si="15"/>
        <v>0.46999999999999886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5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3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40"/>
      <c r="B46" s="145"/>
      <c r="C46" s="147"/>
      <c r="D46" s="581">
        <v>480</v>
      </c>
      <c r="E46" s="581"/>
      <c r="F46" s="148">
        <f t="shared" si="13"/>
        <v>35.299999999999997</v>
      </c>
      <c r="G46" s="582">
        <f t="shared" si="14"/>
        <v>23.95</v>
      </c>
      <c r="H46" s="582"/>
      <c r="I46" s="439"/>
      <c r="J46" s="378">
        <f t="shared" si="15"/>
        <v>0.48000000000000043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5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3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40">
        <v>5</v>
      </c>
      <c r="B47" s="146">
        <f>Input!D24</f>
        <v>263.34999999999997</v>
      </c>
      <c r="C47" s="147">
        <f>$C$12+D47/1440</f>
        <v>45725.770833333336</v>
      </c>
      <c r="D47" s="581">
        <v>490</v>
      </c>
      <c r="E47" s="581"/>
      <c r="F47" s="148">
        <f t="shared" si="13"/>
        <v>38.17</v>
      </c>
      <c r="G47" s="582">
        <f t="shared" si="14"/>
        <v>26.82</v>
      </c>
      <c r="H47" s="582"/>
      <c r="I47" s="439"/>
      <c r="J47" s="378">
        <f t="shared" si="15"/>
        <v>2.870000000000001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5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3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40"/>
      <c r="B48" s="145"/>
      <c r="C48" s="147"/>
      <c r="D48" s="581">
        <v>500</v>
      </c>
      <c r="E48" s="581"/>
      <c r="F48" s="148">
        <f t="shared" si="13"/>
        <v>39.24</v>
      </c>
      <c r="G48" s="582">
        <f t="shared" si="14"/>
        <v>27.89</v>
      </c>
      <c r="H48" s="582"/>
      <c r="I48" s="439"/>
      <c r="J48" s="378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5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3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40"/>
      <c r="B49" s="145"/>
      <c r="C49" s="147"/>
      <c r="D49" s="581">
        <v>510</v>
      </c>
      <c r="E49" s="581"/>
      <c r="F49" s="148">
        <f t="shared" si="13"/>
        <v>40.32</v>
      </c>
      <c r="G49" s="582">
        <f t="shared" si="14"/>
        <v>28.97</v>
      </c>
      <c r="H49" s="582"/>
      <c r="I49" s="439"/>
      <c r="J49" s="378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5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3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40"/>
      <c r="B50" s="145"/>
      <c r="C50" s="147"/>
      <c r="D50" s="581">
        <v>540</v>
      </c>
      <c r="E50" s="581"/>
      <c r="F50" s="148">
        <f t="shared" si="13"/>
        <v>41.4</v>
      </c>
      <c r="G50" s="582">
        <f t="shared" si="14"/>
        <v>30.05</v>
      </c>
      <c r="H50" s="582"/>
      <c r="I50" s="439"/>
      <c r="J50" s="378">
        <f t="shared" si="15"/>
        <v>1.0800000000000018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5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3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42"/>
      <c r="B51" s="443"/>
      <c r="C51" s="444">
        <f>$C$12+D51/1440</f>
        <v>45725.847222222219</v>
      </c>
      <c r="D51" s="583">
        <v>600</v>
      </c>
      <c r="E51" s="583"/>
      <c r="F51" s="445">
        <f t="shared" si="13"/>
        <v>42.48</v>
      </c>
      <c r="G51" s="584">
        <f t="shared" si="14"/>
        <v>31.13</v>
      </c>
      <c r="H51" s="584"/>
      <c r="I51" s="446" t="s">
        <v>180</v>
      </c>
      <c r="J51" s="378">
        <f t="shared" si="15"/>
        <v>1.0799999999999983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5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3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5"/>
      <c r="V52" s="149"/>
      <c r="W52" s="149" t="s">
        <v>21</v>
      </c>
      <c r="X52" s="333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5"/>
      <c r="V53" s="149"/>
      <c r="W53" s="149" t="s">
        <v>21</v>
      </c>
      <c r="X53" s="333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5"/>
      <c r="V54" s="149"/>
      <c r="W54" s="149" t="s">
        <v>21</v>
      </c>
      <c r="X54" s="333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5"/>
      <c r="V55" s="149"/>
      <c r="W55" s="149" t="s">
        <v>21</v>
      </c>
      <c r="X55" s="333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5"/>
      <c r="V56" s="149"/>
      <c r="W56" s="149" t="s">
        <v>21</v>
      </c>
      <c r="X56" s="333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5"/>
      <c r="V57" s="149"/>
      <c r="W57" s="149" t="s">
        <v>21</v>
      </c>
      <c r="X57" s="333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5"/>
      <c r="V58" s="149"/>
      <c r="W58" s="149" t="s">
        <v>21</v>
      </c>
      <c r="X58" s="333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5"/>
      <c r="V59" s="149"/>
      <c r="W59" s="149" t="s">
        <v>21</v>
      </c>
      <c r="X59" s="333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5"/>
      <c r="V60" s="149"/>
      <c r="W60" s="149" t="s">
        <v>21</v>
      </c>
      <c r="X60" s="333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5"/>
      <c r="V61" s="149"/>
      <c r="W61" s="149" t="s">
        <v>21</v>
      </c>
      <c r="X61" s="333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5"/>
      <c r="V62" s="149"/>
      <c r="W62" s="149" t="s">
        <v>21</v>
      </c>
      <c r="X62" s="333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5"/>
      <c r="V63" s="149"/>
      <c r="W63" s="149" t="s">
        <v>21</v>
      </c>
      <c r="X63" s="333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5"/>
      <c r="V64" s="149"/>
      <c r="W64" s="149" t="s">
        <v>21</v>
      </c>
      <c r="X64" s="333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5"/>
      <c r="V65" s="149"/>
      <c r="W65" s="149" t="s">
        <v>21</v>
      </c>
      <c r="X65" s="333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5"/>
      <c r="V66" s="149"/>
      <c r="W66" s="149" t="s">
        <v>21</v>
      </c>
      <c r="X66" s="333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5"/>
      <c r="V67" s="149"/>
      <c r="W67" s="333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5"/>
      <c r="V68" s="149"/>
      <c r="W68" s="149" t="s">
        <v>21</v>
      </c>
      <c r="X68" s="333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5"/>
      <c r="V69" s="149"/>
      <c r="W69" s="149" t="s">
        <v>21</v>
      </c>
      <c r="X69" s="333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5"/>
      <c r="V70" s="149"/>
      <c r="W70" s="149" t="s">
        <v>21</v>
      </c>
      <c r="X70" s="333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5"/>
      <c r="V71" s="149"/>
      <c r="W71" s="149" t="s">
        <v>21</v>
      </c>
      <c r="X71" s="333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5"/>
      <c r="V72" s="149"/>
      <c r="W72" s="149" t="s">
        <v>21</v>
      </c>
      <c r="X72" s="333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5"/>
      <c r="V73" s="149"/>
      <c r="W73" s="149" t="s">
        <v>21</v>
      </c>
      <c r="X73" s="333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5"/>
      <c r="V74" s="149"/>
      <c r="W74" s="149" t="s">
        <v>21</v>
      </c>
      <c r="X74" s="333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5"/>
      <c r="V75" s="149"/>
      <c r="W75" s="149" t="s">
        <v>21</v>
      </c>
      <c r="X75" s="333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5"/>
      <c r="V76" s="149"/>
      <c r="W76" s="149" t="s">
        <v>21</v>
      </c>
      <c r="X76" s="333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5"/>
      <c r="V77" s="149"/>
      <c r="W77" s="149" t="s">
        <v>21</v>
      </c>
      <c r="X77" s="333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5"/>
      <c r="V78" s="149"/>
      <c r="W78" s="149" t="s">
        <v>21</v>
      </c>
      <c r="X78" s="333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5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5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5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5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5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5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5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5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5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5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5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5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5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5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5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5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5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5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5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5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5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5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5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5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5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5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5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5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5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5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5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5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5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5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5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5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5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5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5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5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5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5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5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5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5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5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5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5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5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5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5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5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5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5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5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5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5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5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5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5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5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5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5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5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5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5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5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5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5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5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5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5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5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5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5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5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5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5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5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5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5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5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5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5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5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5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5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5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5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5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5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5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5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5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5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5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5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5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5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5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5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5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5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5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5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5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5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5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5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5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5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5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5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5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5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5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5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5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5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5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5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5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5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5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5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5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5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5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5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5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5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5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5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5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5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5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5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5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5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5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5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5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5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5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5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5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5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5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5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5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5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5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5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5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5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5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5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5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5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5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5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5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5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5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5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5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5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5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5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5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5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5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5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5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5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5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5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5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5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5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5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5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5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5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5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5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5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5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5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5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5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5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5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5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5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5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5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5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5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5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5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5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5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5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5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5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5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5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5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5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5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5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5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5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5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5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5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5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5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5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5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5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5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5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5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5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5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5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5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5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5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5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5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5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5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5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5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5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5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5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5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5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5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5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5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5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5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5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5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5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5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5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5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5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5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5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5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5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5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5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5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5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5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5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5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5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5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5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5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5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5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5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5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5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5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5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5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5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5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5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5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5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5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5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5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5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5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5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5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5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5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5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5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5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5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5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5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5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5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5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5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5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5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5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5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5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5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5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5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5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5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5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5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5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5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5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5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5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5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5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5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5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5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5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5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5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5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5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5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5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5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5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5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5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5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5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5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5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5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5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5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5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5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5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5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5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5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5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5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5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5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5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5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5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5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5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5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5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5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5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5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5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5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5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5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5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5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5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5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5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5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5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5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5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5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5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5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5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5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5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5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5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5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5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5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5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5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5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5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5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5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5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5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5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5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5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5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5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5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5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5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5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5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5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5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5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5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5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5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5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5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5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5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5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5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5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5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5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5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5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5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5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5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5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5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5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5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5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5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5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5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5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5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5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5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5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5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5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5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5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5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5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5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5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5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5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5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5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5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5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5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5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5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5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5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5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5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5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5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5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5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5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5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5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5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5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5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5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5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5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5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5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5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5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5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5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5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5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5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5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5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5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5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5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5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5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5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5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5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5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5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5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5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5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5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5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5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5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5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5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5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5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5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5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5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5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5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5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5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5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5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5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5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5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5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5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5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5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5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5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5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5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5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5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5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5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5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5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5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5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5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5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5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5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5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5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5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5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5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5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5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5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5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5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5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5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5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5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5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5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5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5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5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5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5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5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5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5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5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5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5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5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5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5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5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5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5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5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5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5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5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4" t="s">
        <v>332</v>
      </c>
      <c r="B1" s="254" t="s">
        <v>333</v>
      </c>
      <c r="C1" s="254" t="s">
        <v>334</v>
      </c>
    </row>
    <row r="2" spans="1:3">
      <c r="A2" s="255">
        <v>60</v>
      </c>
      <c r="B2" s="255">
        <v>17</v>
      </c>
      <c r="C2" s="256">
        <v>4.1666666666666664E-2</v>
      </c>
    </row>
    <row r="3" spans="1:3">
      <c r="A3" s="257">
        <v>75</v>
      </c>
      <c r="B3" s="257">
        <v>18</v>
      </c>
      <c r="C3" s="258">
        <v>5.2083333333333336E-2</v>
      </c>
    </row>
    <row r="4" spans="1:3">
      <c r="A4" s="255">
        <v>90</v>
      </c>
      <c r="B4" s="255">
        <v>19</v>
      </c>
      <c r="C4" s="256">
        <v>6.25E-2</v>
      </c>
    </row>
    <row r="5" spans="1:3">
      <c r="A5" s="257">
        <v>105</v>
      </c>
      <c r="B5" s="257">
        <v>20</v>
      </c>
      <c r="C5" s="258">
        <v>7.2916666666666671E-2</v>
      </c>
    </row>
    <row r="6" spans="1:3">
      <c r="A6" s="255">
        <v>120</v>
      </c>
      <c r="B6" s="255">
        <v>21</v>
      </c>
      <c r="C6" s="256">
        <v>8.3333333333333329E-2</v>
      </c>
    </row>
    <row r="7" spans="1:3">
      <c r="A7" s="257">
        <v>140</v>
      </c>
      <c r="B7" s="257">
        <v>22</v>
      </c>
      <c r="C7" s="258">
        <v>9.7222222222222224E-2</v>
      </c>
    </row>
    <row r="8" spans="1:3">
      <c r="A8" s="255">
        <v>160</v>
      </c>
      <c r="B8" s="255">
        <v>23</v>
      </c>
      <c r="C8" s="256">
        <v>0.1111111111111111</v>
      </c>
    </row>
    <row r="9" spans="1:3">
      <c r="A9" s="257">
        <v>180</v>
      </c>
      <c r="B9" s="257">
        <v>24</v>
      </c>
      <c r="C9" s="258">
        <v>0.125</v>
      </c>
    </row>
    <row r="10" spans="1:3">
      <c r="A10" s="255">
        <v>240</v>
      </c>
      <c r="B10" s="255">
        <v>25</v>
      </c>
      <c r="C10" s="256">
        <v>0.16666666666666666</v>
      </c>
    </row>
    <row r="11" spans="1:3">
      <c r="A11" s="257">
        <v>300</v>
      </c>
      <c r="B11" s="257">
        <v>26</v>
      </c>
      <c r="C11" s="258">
        <v>0.20833333333333334</v>
      </c>
    </row>
    <row r="12" spans="1:3">
      <c r="A12" s="255">
        <v>360</v>
      </c>
      <c r="B12" s="255">
        <v>27</v>
      </c>
      <c r="C12" s="256">
        <v>0.25</v>
      </c>
    </row>
    <row r="13" spans="1:3">
      <c r="A13" s="257">
        <v>420</v>
      </c>
      <c r="B13" s="257">
        <v>28</v>
      </c>
      <c r="C13" s="258">
        <v>0.29166666666666669</v>
      </c>
    </row>
    <row r="14" spans="1:3">
      <c r="A14" s="255">
        <v>480</v>
      </c>
      <c r="B14" s="255">
        <v>29</v>
      </c>
      <c r="C14" s="256">
        <v>0.33333333333333331</v>
      </c>
    </row>
    <row r="15" spans="1:3">
      <c r="A15" s="257">
        <v>540</v>
      </c>
      <c r="B15" s="257">
        <v>30</v>
      </c>
      <c r="C15" s="258">
        <v>0.375</v>
      </c>
    </row>
    <row r="16" spans="1:3">
      <c r="A16" s="255">
        <v>600</v>
      </c>
      <c r="B16" s="255">
        <v>31</v>
      </c>
      <c r="C16" s="256">
        <v>0.41666666666666669</v>
      </c>
    </row>
    <row r="17" spans="1:3">
      <c r="A17" s="257">
        <v>660</v>
      </c>
      <c r="B17" s="257">
        <v>32</v>
      </c>
      <c r="C17" s="258">
        <v>0.45833333333333331</v>
      </c>
    </row>
    <row r="18" spans="1:3">
      <c r="A18" s="255">
        <v>720</v>
      </c>
      <c r="B18" s="255">
        <v>33</v>
      </c>
      <c r="C18" s="256">
        <v>0.5</v>
      </c>
    </row>
    <row r="19" spans="1:3">
      <c r="A19" s="257">
        <v>780</v>
      </c>
      <c r="B19" s="257">
        <v>34</v>
      </c>
      <c r="C19" s="258">
        <v>0.54166666666666663</v>
      </c>
    </row>
    <row r="20" spans="1:3">
      <c r="A20" s="255">
        <v>840</v>
      </c>
      <c r="B20" s="255">
        <v>35</v>
      </c>
      <c r="C20" s="256">
        <v>0.58333333333333337</v>
      </c>
    </row>
    <row r="21" spans="1:3">
      <c r="A21" s="257">
        <v>900</v>
      </c>
      <c r="B21" s="257">
        <v>36</v>
      </c>
      <c r="C21" s="258">
        <v>0.625</v>
      </c>
    </row>
    <row r="22" spans="1:3">
      <c r="A22" s="255">
        <v>960</v>
      </c>
      <c r="B22" s="255">
        <v>37</v>
      </c>
      <c r="C22" s="256">
        <v>0.66666666666666663</v>
      </c>
    </row>
    <row r="23" spans="1:3">
      <c r="A23" s="257">
        <v>1020</v>
      </c>
      <c r="B23" s="257">
        <v>38</v>
      </c>
      <c r="C23" s="258">
        <v>0.70833333333333337</v>
      </c>
    </row>
    <row r="24" spans="1:3">
      <c r="A24" s="255">
        <v>1080</v>
      </c>
      <c r="B24" s="255">
        <v>39</v>
      </c>
      <c r="C24" s="256">
        <v>0.75</v>
      </c>
    </row>
    <row r="25" spans="1:3">
      <c r="A25" s="257">
        <v>1140</v>
      </c>
      <c r="B25" s="257">
        <v>40</v>
      </c>
      <c r="C25" s="258">
        <v>0.79166666666666663</v>
      </c>
    </row>
    <row r="26" spans="1:3">
      <c r="A26" s="255">
        <v>1200</v>
      </c>
      <c r="B26" s="255">
        <v>41</v>
      </c>
      <c r="C26" s="256">
        <v>0.83333333333333337</v>
      </c>
    </row>
    <row r="27" spans="1:3">
      <c r="A27" s="257">
        <v>1260</v>
      </c>
      <c r="B27" s="257">
        <v>42</v>
      </c>
      <c r="C27" s="258">
        <v>0.875</v>
      </c>
    </row>
    <row r="28" spans="1:3">
      <c r="A28" s="255">
        <v>1320</v>
      </c>
      <c r="B28" s="255">
        <v>43</v>
      </c>
      <c r="C28" s="256">
        <v>0.91666666666666663</v>
      </c>
    </row>
    <row r="29" spans="1:3">
      <c r="A29" s="257">
        <v>1380</v>
      </c>
      <c r="B29" s="257">
        <v>44</v>
      </c>
      <c r="C29" s="258">
        <v>0.95833333333333337</v>
      </c>
    </row>
    <row r="30" spans="1:3">
      <c r="A30" s="255">
        <v>1440</v>
      </c>
      <c r="B30" s="255">
        <v>45</v>
      </c>
      <c r="C30" s="256">
        <v>1</v>
      </c>
    </row>
    <row r="31" spans="1:3">
      <c r="A31" s="257">
        <v>1500</v>
      </c>
      <c r="B31" s="257">
        <v>46</v>
      </c>
      <c r="C31" s="258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C36" sqref="C36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5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4" customWidth="1"/>
    <col min="23" max="23" width="12.375" style="344" customWidth="1"/>
    <col min="24" max="24" width="5.375" style="344" customWidth="1"/>
    <col min="25" max="25" width="8.375" style="344" customWidth="1"/>
    <col min="26" max="26" width="9.875" style="344" customWidth="1"/>
    <col min="27" max="27" width="12.625" style="344" customWidth="1"/>
    <col min="28" max="28" width="6.375" style="345" customWidth="1"/>
    <col min="29" max="29" width="9" style="344" customWidth="1"/>
    <col min="30" max="30" width="8" style="344" customWidth="1"/>
    <col min="31" max="31" width="10.25" style="344" hidden="1" customWidth="1"/>
    <col min="32" max="33" width="10.125" style="344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-6.1270893697176909</v>
      </c>
      <c r="N1" s="603" t="s">
        <v>183</v>
      </c>
      <c r="O1" s="603"/>
      <c r="P1" s="346">
        <f>StepTest!G41</f>
        <v>19.239999999999998</v>
      </c>
      <c r="Q1" s="347" t="s">
        <v>184</v>
      </c>
      <c r="R1" s="348">
        <f>G35</f>
        <v>25.367089369717689</v>
      </c>
      <c r="S1" s="349">
        <f>D7/2000</f>
        <v>0.125</v>
      </c>
      <c r="T1" s="350">
        <v>2.8875628788906846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47" t="str">
        <f>StepTest!A4</f>
        <v>조 사 명</v>
      </c>
      <c r="B2" s="448"/>
      <c r="C2" s="449" t="str">
        <f>StepTest!C4</f>
        <v>예산군 마전 등 5지구 농업용관정 지하수영향조사 용역</v>
      </c>
      <c r="D2" s="450"/>
      <c r="E2" s="450"/>
      <c r="F2" s="450"/>
      <c r="G2" s="450"/>
      <c r="H2" s="450"/>
      <c r="I2" s="450"/>
      <c r="J2" s="451"/>
      <c r="K2" s="126"/>
      <c r="N2" s="149"/>
      <c r="O2" s="149" t="s">
        <v>185</v>
      </c>
      <c r="P2" s="351">
        <f>G8</f>
        <v>38.270000000000003</v>
      </c>
      <c r="Q2" s="149"/>
      <c r="R2" s="149"/>
      <c r="S2" s="149"/>
      <c r="T2" s="149">
        <v>44</v>
      </c>
      <c r="U2" s="332">
        <f>B10</f>
        <v>200</v>
      </c>
      <c r="V2" s="332">
        <f>U2</f>
        <v>200</v>
      </c>
      <c r="W2" s="525">
        <f>T1</f>
        <v>2.8875628788906846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3">
        <f>D10</f>
        <v>1</v>
      </c>
      <c r="AB2" s="334">
        <f t="shared" ref="AB2:AB65" si="0">AC2+AD$2</f>
        <v>24.353611577875917</v>
      </c>
      <c r="AC2" s="159">
        <f>1.6*V2/(4*PI()*W2)*LOG10((2.25*W2*Z2)/(X2*X2*Y2))</f>
        <v>24.353611577875917</v>
      </c>
      <c r="AD2" s="156">
        <v>0</v>
      </c>
      <c r="AE2" s="333">
        <f>AA2</f>
        <v>1</v>
      </c>
      <c r="AF2" s="159">
        <f t="shared" ref="AF2:AF14" si="1">AC2-$P$3-O3</f>
        <v>2.8236119197465186</v>
      </c>
      <c r="AG2" s="159">
        <f>AC2</f>
        <v>24.353611577875917</v>
      </c>
    </row>
    <row r="3" spans="1:38" s="27" customFormat="1" ht="21.6" customHeight="1">
      <c r="A3" s="452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53"/>
      <c r="K3" s="126"/>
      <c r="L3" s="524" t="s">
        <v>48</v>
      </c>
      <c r="M3" s="30">
        <f t="shared" ref="M3:M10" si="2">Q17</f>
        <v>0</v>
      </c>
      <c r="N3" s="40"/>
      <c r="O3" s="122"/>
      <c r="P3" s="124">
        <v>21.529999658129398</v>
      </c>
      <c r="V3" s="332">
        <f>V2</f>
        <v>200</v>
      </c>
      <c r="W3" s="149">
        <f>W$2</f>
        <v>2.8875628788906846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3">
        <f t="shared" ref="AA3:AA66" si="4">D11</f>
        <v>2</v>
      </c>
      <c r="AB3" s="334">
        <f t="shared" si="0"/>
        <v>27.008329834803238</v>
      </c>
      <c r="AC3" s="159">
        <f t="shared" ref="AC3:AC30" si="5">1.6*V3/(4*PI()*W3)*LOG10((2.25*W3*Z3)/(X3*X3*Y3))</f>
        <v>27.008329834803238</v>
      </c>
      <c r="AD3" s="159">
        <f>AB69</f>
        <v>48.4499996581294</v>
      </c>
      <c r="AE3" s="333">
        <f t="shared" ref="AE3:AE66" si="6">AA3</f>
        <v>2</v>
      </c>
      <c r="AF3" s="159">
        <f t="shared" si="1"/>
        <v>5.4783301766738397</v>
      </c>
      <c r="AG3" s="159">
        <f t="shared" ref="AG3:AG16" si="7">AC3</f>
        <v>27.008329834803238</v>
      </c>
    </row>
    <row r="4" spans="1:38" s="27" customFormat="1" ht="21.6" customHeight="1">
      <c r="A4" s="452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54"/>
      <c r="K4" s="126"/>
      <c r="L4" s="524" t="s">
        <v>186</v>
      </c>
      <c r="M4" s="30">
        <f t="shared" si="2"/>
        <v>-0.18</v>
      </c>
      <c r="N4" s="40"/>
      <c r="O4" s="123"/>
      <c r="P4" s="123"/>
      <c r="V4" s="332">
        <f t="shared" ref="V4:V67" si="8">V3</f>
        <v>200</v>
      </c>
      <c r="W4" s="149">
        <f t="shared" ref="W4:W67" si="9">W$2</f>
        <v>2.8875628788906846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3">
        <f t="shared" si="4"/>
        <v>3</v>
      </c>
      <c r="AB4" s="334">
        <f t="shared" si="0"/>
        <v>28.56124046508555</v>
      </c>
      <c r="AC4" s="159">
        <f>1.6*V4/(4*PI()*W4)*LOG10((2.25*W4*Z4)/(X4*X4*Y4))</f>
        <v>28.56124046508555</v>
      </c>
      <c r="AD4" s="159">
        <f>AC69</f>
        <v>48.4499996581294</v>
      </c>
      <c r="AE4" s="333">
        <f t="shared" si="6"/>
        <v>3</v>
      </c>
      <c r="AF4" s="159">
        <f t="shared" si="1"/>
        <v>7.0312408069561521</v>
      </c>
      <c r="AG4" s="159">
        <f t="shared" si="7"/>
        <v>28.56124046508555</v>
      </c>
    </row>
    <row r="5" spans="1:38" s="27" customFormat="1" ht="21.6" customHeight="1">
      <c r="A5" s="452" t="str">
        <f>StepTest!A7</f>
        <v>조 사 자</v>
      </c>
      <c r="B5" s="65"/>
      <c r="C5" s="70" t="str">
        <f>StepTest!C7</f>
        <v>다다건설(주)</v>
      </c>
      <c r="D5" s="455"/>
      <c r="E5" s="67"/>
      <c r="F5" s="71" t="s">
        <v>169</v>
      </c>
      <c r="G5" s="72">
        <f>Input!I50</f>
        <v>48</v>
      </c>
      <c r="H5" s="73"/>
      <c r="I5" s="73"/>
      <c r="J5" s="456"/>
      <c r="K5" s="126"/>
      <c r="L5" s="524" t="s">
        <v>187</v>
      </c>
      <c r="M5" s="30">
        <f t="shared" si="2"/>
        <v>-1.45</v>
      </c>
      <c r="N5" s="40"/>
      <c r="O5" s="123"/>
      <c r="P5" s="123"/>
      <c r="V5" s="332">
        <f t="shared" si="8"/>
        <v>200</v>
      </c>
      <c r="W5" s="149">
        <f t="shared" si="9"/>
        <v>2.8875628788906846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3">
        <f t="shared" si="4"/>
        <v>4</v>
      </c>
      <c r="AB5" s="334">
        <f t="shared" si="0"/>
        <v>29.663048091730555</v>
      </c>
      <c r="AC5" s="159">
        <f t="shared" si="5"/>
        <v>29.663048091730555</v>
      </c>
      <c r="AD5" s="159">
        <f>AF69</f>
        <v>26.92</v>
      </c>
      <c r="AE5" s="333">
        <f t="shared" si="6"/>
        <v>4</v>
      </c>
      <c r="AF5" s="159">
        <f t="shared" si="1"/>
        <v>8.1330484336011573</v>
      </c>
      <c r="AG5" s="159">
        <f t="shared" si="7"/>
        <v>29.663048091730555</v>
      </c>
    </row>
    <row r="6" spans="1:38" s="27" customFormat="1" ht="21.6" customHeight="1">
      <c r="A6" s="452" t="str">
        <f>StepTest!A8</f>
        <v>수중모타</v>
      </c>
      <c r="B6" s="65"/>
      <c r="C6" s="604">
        <f>StepTest!C8</f>
        <v>7.5</v>
      </c>
      <c r="D6" s="604"/>
      <c r="E6" s="605"/>
      <c r="F6" s="71" t="s">
        <v>165</v>
      </c>
      <c r="G6" s="72">
        <f>Input!I51</f>
        <v>483</v>
      </c>
      <c r="H6" s="73"/>
      <c r="I6" s="73"/>
      <c r="J6" s="456"/>
      <c r="K6" s="126">
        <v>0.2</v>
      </c>
      <c r="L6" s="125">
        <v>0.2</v>
      </c>
      <c r="M6" s="30">
        <f t="shared" si="2"/>
        <v>-3.18</v>
      </c>
      <c r="N6" s="40"/>
      <c r="O6" s="123"/>
      <c r="P6" s="123"/>
      <c r="V6" s="332">
        <f t="shared" si="8"/>
        <v>200</v>
      </c>
      <c r="W6" s="149">
        <f t="shared" si="9"/>
        <v>2.8875628788906846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3">
        <f t="shared" si="4"/>
        <v>5</v>
      </c>
      <c r="AB6" s="334">
        <f t="shared" si="0"/>
        <v>30.517676482645864</v>
      </c>
      <c r="AC6" s="159">
        <f t="shared" si="5"/>
        <v>30.517676482645864</v>
      </c>
      <c r="AD6" s="149"/>
      <c r="AE6" s="333">
        <f t="shared" si="6"/>
        <v>5</v>
      </c>
      <c r="AF6" s="159">
        <f t="shared" si="1"/>
        <v>8.9876768245164662</v>
      </c>
      <c r="AG6" s="159">
        <f t="shared" si="7"/>
        <v>30.517676482645864</v>
      </c>
      <c r="AL6" s="27">
        <f>10*(2.54/2/100)</f>
        <v>0.127</v>
      </c>
    </row>
    <row r="7" spans="1:38" s="27" customFormat="1" ht="21.6" customHeight="1">
      <c r="A7" s="452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54"/>
      <c r="K7" s="126"/>
      <c r="M7" s="30">
        <f t="shared" si="2"/>
        <v>-5.16</v>
      </c>
      <c r="N7" s="40"/>
      <c r="O7" s="123"/>
      <c r="P7" s="123"/>
      <c r="V7" s="332">
        <f t="shared" si="8"/>
        <v>200</v>
      </c>
      <c r="W7" s="149">
        <f t="shared" si="9"/>
        <v>2.8875628788906846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3">
        <f t="shared" si="4"/>
        <v>10</v>
      </c>
      <c r="AB7" s="334">
        <f t="shared" si="0"/>
        <v>33.172394739573186</v>
      </c>
      <c r="AC7" s="159">
        <f t="shared" si="5"/>
        <v>33.172394739573186</v>
      </c>
      <c r="AD7" s="149"/>
      <c r="AE7" s="333">
        <f t="shared" si="6"/>
        <v>10</v>
      </c>
      <c r="AF7" s="159">
        <f t="shared" si="1"/>
        <v>11.642395081443787</v>
      </c>
      <c r="AG7" s="159">
        <f t="shared" si="7"/>
        <v>33.172394739573186</v>
      </c>
      <c r="AL7" s="27">
        <f>AL6*2</f>
        <v>0.254</v>
      </c>
    </row>
    <row r="8" spans="1:38" s="27" customFormat="1" ht="21.6" customHeight="1">
      <c r="A8" s="452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38.270000000000003</v>
      </c>
      <c r="H8" s="73">
        <f>Input!C40</f>
        <v>200</v>
      </c>
      <c r="I8" s="73"/>
      <c r="J8" s="457"/>
      <c r="K8" s="352">
        <f>Input!M50</f>
        <v>26.92</v>
      </c>
      <c r="L8" s="167">
        <f>G10-K11</f>
        <v>0.16889366281919749</v>
      </c>
      <c r="M8" s="30">
        <f t="shared" si="2"/>
        <v>-16.64</v>
      </c>
      <c r="N8" s="40"/>
      <c r="O8" s="123"/>
      <c r="P8" s="123"/>
      <c r="V8" s="332">
        <f t="shared" si="8"/>
        <v>200</v>
      </c>
      <c r="W8" s="149">
        <f t="shared" si="9"/>
        <v>2.8875628788906846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3">
        <f t="shared" si="4"/>
        <v>15</v>
      </c>
      <c r="AB8" s="334">
        <f t="shared" si="0"/>
        <v>34.725305369855498</v>
      </c>
      <c r="AC8" s="159">
        <f t="shared" si="5"/>
        <v>34.725305369855498</v>
      </c>
      <c r="AD8" s="149"/>
      <c r="AE8" s="333">
        <f t="shared" si="6"/>
        <v>15</v>
      </c>
      <c r="AF8" s="159">
        <f t="shared" si="1"/>
        <v>13.1953057117261</v>
      </c>
      <c r="AG8" s="159">
        <f t="shared" si="7"/>
        <v>34.725305369855498</v>
      </c>
    </row>
    <row r="9" spans="1:38" s="27" customFormat="1" ht="21.6" customHeight="1">
      <c r="A9" s="458" t="s">
        <v>170</v>
      </c>
      <c r="B9" s="82" t="s">
        <v>171</v>
      </c>
      <c r="C9" s="79" t="s">
        <v>190</v>
      </c>
      <c r="D9" s="606" t="s">
        <v>173</v>
      </c>
      <c r="E9" s="606"/>
      <c r="F9" s="82" t="s">
        <v>174</v>
      </c>
      <c r="G9" s="82" t="s">
        <v>175</v>
      </c>
      <c r="H9" s="83"/>
      <c r="I9" s="83"/>
      <c r="J9" s="459"/>
      <c r="K9" s="353">
        <f>G8-D8</f>
        <v>26.92</v>
      </c>
      <c r="M9" s="30">
        <f t="shared" si="2"/>
        <v>-29.23</v>
      </c>
      <c r="N9" s="40"/>
      <c r="O9" s="123"/>
      <c r="P9" s="123"/>
      <c r="V9" s="332">
        <f t="shared" si="8"/>
        <v>200</v>
      </c>
      <c r="W9" s="149">
        <f t="shared" si="9"/>
        <v>2.8875628788906846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3">
        <f t="shared" si="4"/>
        <v>20</v>
      </c>
      <c r="AB9" s="334">
        <f t="shared" si="0"/>
        <v>35.827112996500503</v>
      </c>
      <c r="AC9" s="159">
        <f t="shared" si="5"/>
        <v>35.827112996500503</v>
      </c>
      <c r="AD9" s="149"/>
      <c r="AE9" s="333">
        <f t="shared" si="6"/>
        <v>20</v>
      </c>
      <c r="AF9" s="159">
        <f t="shared" si="1"/>
        <v>14.297113338371105</v>
      </c>
      <c r="AG9" s="159">
        <f t="shared" si="7"/>
        <v>35.827112996500503</v>
      </c>
    </row>
    <row r="10" spans="1:38" s="27" customFormat="1" ht="21" customHeight="1">
      <c r="A10" s="460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14.173611919746518</v>
      </c>
      <c r="G10" s="88">
        <f>AF2</f>
        <v>2.8236119197465186</v>
      </c>
      <c r="H10" s="89"/>
      <c r="I10" s="89"/>
      <c r="J10" s="461"/>
      <c r="K10" s="354">
        <f>K8-K9</f>
        <v>0</v>
      </c>
      <c r="L10" s="39">
        <f>K10+Q17</f>
        <v>0</v>
      </c>
      <c r="M10" s="30">
        <f t="shared" si="2"/>
        <v>-42.27</v>
      </c>
      <c r="N10" s="40"/>
      <c r="O10" s="123"/>
      <c r="P10" s="123"/>
      <c r="V10" s="332">
        <f t="shared" si="8"/>
        <v>200</v>
      </c>
      <c r="W10" s="149">
        <f t="shared" si="9"/>
        <v>2.8875628788906846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3">
        <f t="shared" si="4"/>
        <v>25</v>
      </c>
      <c r="AB10" s="334">
        <f t="shared" si="0"/>
        <v>36.681741387415819</v>
      </c>
      <c r="AC10" s="159">
        <f t="shared" si="5"/>
        <v>36.681741387415819</v>
      </c>
      <c r="AD10" s="149"/>
      <c r="AE10" s="333">
        <f t="shared" si="6"/>
        <v>25</v>
      </c>
      <c r="AF10" s="159">
        <f t="shared" si="1"/>
        <v>15.151741729286421</v>
      </c>
      <c r="AG10" s="159">
        <f t="shared" si="7"/>
        <v>36.681741387415819</v>
      </c>
    </row>
    <row r="11" spans="1:38" s="27" customFormat="1" ht="21" customHeight="1">
      <c r="A11" s="460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16.828330176673838</v>
      </c>
      <c r="G11" s="87">
        <f>AF3</f>
        <v>5.4783301766738397</v>
      </c>
      <c r="H11" s="89"/>
      <c r="I11" s="89"/>
      <c r="J11" s="461"/>
      <c r="K11" s="155">
        <f>G11-G10</f>
        <v>2.6547182569273211</v>
      </c>
      <c r="L11" s="39" t="s">
        <v>21</v>
      </c>
      <c r="N11" s="40"/>
      <c r="O11" s="123"/>
      <c r="V11" s="332">
        <f t="shared" si="8"/>
        <v>200</v>
      </c>
      <c r="W11" s="149">
        <f t="shared" si="9"/>
        <v>2.8875628788906846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3">
        <f t="shared" si="4"/>
        <v>30</v>
      </c>
      <c r="AB11" s="334">
        <f t="shared" si="0"/>
        <v>37.380023626782815</v>
      </c>
      <c r="AC11" s="159">
        <f t="shared" si="5"/>
        <v>37.380023626782815</v>
      </c>
      <c r="AD11" s="149"/>
      <c r="AE11" s="333">
        <f t="shared" si="6"/>
        <v>30</v>
      </c>
      <c r="AF11" s="159">
        <f t="shared" si="1"/>
        <v>15.850023968653417</v>
      </c>
      <c r="AG11" s="159">
        <f t="shared" si="7"/>
        <v>37.380023626782815</v>
      </c>
    </row>
    <row r="12" spans="1:38" s="27" customFormat="1" ht="21" customHeight="1">
      <c r="A12" s="460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18.38124080695615</v>
      </c>
      <c r="G12" s="87">
        <f t="shared" ref="G12:G74" si="14">AF4</f>
        <v>7.0312408069561521</v>
      </c>
      <c r="H12" s="89"/>
      <c r="I12" s="89"/>
      <c r="J12" s="461"/>
      <c r="K12" s="155">
        <f t="shared" ref="K12:K47" si="15">G12-G11</f>
        <v>1.5529106302823124</v>
      </c>
      <c r="L12" s="39" t="s">
        <v>21</v>
      </c>
      <c r="N12" s="40"/>
      <c r="O12" s="123"/>
      <c r="V12" s="332">
        <f t="shared" si="8"/>
        <v>200</v>
      </c>
      <c r="W12" s="149">
        <f t="shared" si="9"/>
        <v>2.8875628788906846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3">
        <f t="shared" si="4"/>
        <v>35</v>
      </c>
      <c r="AB12" s="334">
        <f t="shared" si="0"/>
        <v>37.970412847906964</v>
      </c>
      <c r="AC12" s="159">
        <f t="shared" si="5"/>
        <v>37.970412847906964</v>
      </c>
      <c r="AD12" s="149"/>
      <c r="AE12" s="333">
        <f t="shared" si="6"/>
        <v>35</v>
      </c>
      <c r="AF12" s="159">
        <f t="shared" si="1"/>
        <v>16.440413189777566</v>
      </c>
      <c r="AG12" s="159">
        <f t="shared" si="7"/>
        <v>37.970412847906964</v>
      </c>
    </row>
    <row r="13" spans="1:38" s="27" customFormat="1" ht="21" customHeight="1">
      <c r="A13" s="460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19.483048433601155</v>
      </c>
      <c r="G13" s="87">
        <f t="shared" si="14"/>
        <v>8.1330484336011573</v>
      </c>
      <c r="H13" s="89"/>
      <c r="I13" s="89"/>
      <c r="J13" s="461"/>
      <c r="K13" s="155">
        <f t="shared" si="15"/>
        <v>1.1018076266450052</v>
      </c>
      <c r="L13" s="39" t="s">
        <v>21</v>
      </c>
      <c r="M13" s="125">
        <v>0</v>
      </c>
      <c r="N13" s="40"/>
      <c r="O13" s="123"/>
      <c r="V13" s="332">
        <f t="shared" si="8"/>
        <v>200</v>
      </c>
      <c r="W13" s="149">
        <f t="shared" si="9"/>
        <v>2.8875628788906846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3">
        <f t="shared" si="4"/>
        <v>40</v>
      </c>
      <c r="AB13" s="334">
        <f t="shared" si="0"/>
        <v>38.481831253427821</v>
      </c>
      <c r="AC13" s="159">
        <f t="shared" si="5"/>
        <v>38.481831253427821</v>
      </c>
      <c r="AD13" s="149"/>
      <c r="AE13" s="333">
        <f t="shared" si="6"/>
        <v>40</v>
      </c>
      <c r="AF13" s="159">
        <f t="shared" si="1"/>
        <v>16.951831595298422</v>
      </c>
      <c r="AG13" s="159">
        <f t="shared" si="7"/>
        <v>38.481831253427821</v>
      </c>
    </row>
    <row r="14" spans="1:38" s="27" customFormat="1" ht="21" customHeight="1">
      <c r="A14" s="460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20.337676824516464</v>
      </c>
      <c r="G14" s="87">
        <f t="shared" si="14"/>
        <v>8.9876768245164662</v>
      </c>
      <c r="H14" s="89"/>
      <c r="I14" s="89"/>
      <c r="J14" s="461"/>
      <c r="K14" s="155">
        <f t="shared" si="15"/>
        <v>0.85462839091530896</v>
      </c>
      <c r="L14" s="39" t="s">
        <v>21</v>
      </c>
      <c r="N14" s="40"/>
      <c r="O14" s="123"/>
      <c r="V14" s="332">
        <f t="shared" si="8"/>
        <v>200</v>
      </c>
      <c r="W14" s="149">
        <f t="shared" si="9"/>
        <v>2.8875628788906846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3">
        <f t="shared" si="4"/>
        <v>45</v>
      </c>
      <c r="AB14" s="334">
        <f t="shared" si="0"/>
        <v>38.932934257065128</v>
      </c>
      <c r="AC14" s="159">
        <f t="shared" si="5"/>
        <v>38.932934257065128</v>
      </c>
      <c r="AD14" s="149"/>
      <c r="AE14" s="333">
        <f t="shared" si="6"/>
        <v>45</v>
      </c>
      <c r="AF14" s="159">
        <f t="shared" si="1"/>
        <v>17.40293459893573</v>
      </c>
      <c r="AG14" s="159">
        <f t="shared" si="7"/>
        <v>38.932934257065128</v>
      </c>
    </row>
    <row r="15" spans="1:38" s="27" customFormat="1" ht="21" customHeight="1" thickBot="1">
      <c r="A15" s="460"/>
      <c r="B15" s="455"/>
      <c r="C15" s="85"/>
      <c r="D15" s="86">
        <v>10</v>
      </c>
      <c r="E15" s="76">
        <f t="shared" si="12"/>
        <v>6.9444444444444441E-3</v>
      </c>
      <c r="F15" s="87">
        <f t="shared" si="13"/>
        <v>22.992395081443789</v>
      </c>
      <c r="G15" s="87">
        <f t="shared" si="14"/>
        <v>11.642395081443787</v>
      </c>
      <c r="H15" s="89"/>
      <c r="I15" s="89"/>
      <c r="J15" s="461"/>
      <c r="K15" s="155">
        <f t="shared" si="15"/>
        <v>2.6547182569273211</v>
      </c>
      <c r="L15" s="39" t="s">
        <v>21</v>
      </c>
      <c r="N15" s="41"/>
      <c r="O15" s="28"/>
      <c r="V15" s="332">
        <f t="shared" si="8"/>
        <v>200</v>
      </c>
      <c r="W15" s="149">
        <f t="shared" si="9"/>
        <v>2.8875628788906846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3">
        <f t="shared" si="4"/>
        <v>50</v>
      </c>
      <c r="AB15" s="334">
        <f t="shared" si="0"/>
        <v>39.336459644343137</v>
      </c>
      <c r="AC15" s="159">
        <f t="shared" si="5"/>
        <v>39.336459644343137</v>
      </c>
      <c r="AD15" s="149"/>
      <c r="AE15" s="333">
        <f t="shared" si="6"/>
        <v>50</v>
      </c>
      <c r="AF15" s="159">
        <f>AC15-$P$3</f>
        <v>17.806459986213738</v>
      </c>
      <c r="AG15" s="159">
        <f t="shared" si="7"/>
        <v>39.336459644343137</v>
      </c>
    </row>
    <row r="16" spans="1:38" s="27" customFormat="1" ht="21" customHeight="1">
      <c r="A16" s="460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24.545305711726101</v>
      </c>
      <c r="G16" s="87">
        <f t="shared" si="14"/>
        <v>13.1953057117261</v>
      </c>
      <c r="H16" s="89"/>
      <c r="I16" s="89"/>
      <c r="J16" s="461"/>
      <c r="K16" s="155">
        <f t="shared" si="15"/>
        <v>1.5529106302823124</v>
      </c>
      <c r="L16" s="521" t="s">
        <v>244</v>
      </c>
      <c r="M16" s="522" t="s">
        <v>178</v>
      </c>
      <c r="N16" s="522" t="s">
        <v>179</v>
      </c>
      <c r="O16" s="522" t="s">
        <v>242</v>
      </c>
      <c r="P16" s="522" t="s">
        <v>243</v>
      </c>
      <c r="Q16" s="523" t="s">
        <v>245</v>
      </c>
      <c r="V16" s="332">
        <f t="shared" si="8"/>
        <v>200</v>
      </c>
      <c r="W16" s="149">
        <f t="shared" si="9"/>
        <v>2.8875628788906846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3">
        <f t="shared" si="4"/>
        <v>55</v>
      </c>
      <c r="AB16" s="334">
        <f t="shared" si="0"/>
        <v>39.701492759233922</v>
      </c>
      <c r="AC16" s="159">
        <f t="shared" si="5"/>
        <v>39.701492759233922</v>
      </c>
      <c r="AD16" s="149"/>
      <c r="AE16" s="333">
        <f t="shared" si="6"/>
        <v>55</v>
      </c>
      <c r="AF16" s="159">
        <f>AC16-$P$3</f>
        <v>18.171493101104524</v>
      </c>
      <c r="AG16" s="159">
        <f t="shared" si="7"/>
        <v>39.701492759233922</v>
      </c>
    </row>
    <row r="17" spans="1:33" s="27" customFormat="1" ht="21" customHeight="1">
      <c r="A17" s="460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25.647113338371106</v>
      </c>
      <c r="G17" s="87">
        <f t="shared" si="14"/>
        <v>14.297113338371105</v>
      </c>
      <c r="H17" s="89"/>
      <c r="I17" s="89"/>
      <c r="J17" s="461"/>
      <c r="K17" s="155">
        <f t="shared" si="15"/>
        <v>1.1018076266450052</v>
      </c>
      <c r="L17" s="371">
        <f>D10</f>
        <v>1</v>
      </c>
      <c r="M17" s="232">
        <f>INT(B10/1440*10000)/10000</f>
        <v>0.13880000000000001</v>
      </c>
      <c r="N17" s="232">
        <f>L17*M17</f>
        <v>0.13880000000000001</v>
      </c>
      <c r="O17" s="232">
        <f>INT((D7/2/1000)^2*PI()*100000)/100000</f>
        <v>4.9079999999999999E-2</v>
      </c>
      <c r="P17" s="232">
        <f>INT(N17/O17*100)/100</f>
        <v>2.82</v>
      </c>
      <c r="Q17" s="372">
        <f>INT((G10-P17)*100)/100</f>
        <v>0</v>
      </c>
      <c r="V17" s="332">
        <f t="shared" si="8"/>
        <v>200</v>
      </c>
      <c r="W17" s="149">
        <f t="shared" si="9"/>
        <v>2.8875628788906846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3">
        <f t="shared" si="4"/>
        <v>60</v>
      </c>
      <c r="AB17" s="334">
        <f t="shared" si="0"/>
        <v>40.034741883710133</v>
      </c>
      <c r="AC17" s="159">
        <f t="shared" si="5"/>
        <v>40.034741883710133</v>
      </c>
      <c r="AD17" s="149"/>
      <c r="AE17" s="333">
        <f t="shared" si="6"/>
        <v>60</v>
      </c>
      <c r="AF17" s="159">
        <f>AC17-$P$3</f>
        <v>18.504742225580735</v>
      </c>
      <c r="AG17" s="149"/>
    </row>
    <row r="18" spans="1:33" s="27" customFormat="1" ht="21" customHeight="1">
      <c r="A18" s="460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26.501741729286422</v>
      </c>
      <c r="G18" s="87">
        <f t="shared" si="14"/>
        <v>15.151741729286421</v>
      </c>
      <c r="H18" s="89"/>
      <c r="I18" s="89"/>
      <c r="J18" s="461"/>
      <c r="K18" s="155">
        <f t="shared" si="15"/>
        <v>0.85462839091531606</v>
      </c>
      <c r="L18" s="371">
        <f t="shared" ref="L18:L31" si="16">D11</f>
        <v>2</v>
      </c>
      <c r="M18" s="232">
        <f>M17</f>
        <v>0.13880000000000001</v>
      </c>
      <c r="N18" s="232">
        <f>L18*M18</f>
        <v>0.27760000000000001</v>
      </c>
      <c r="O18" s="232">
        <f>O17</f>
        <v>4.9079999999999999E-2</v>
      </c>
      <c r="P18" s="232">
        <f>INT(N18/O18*100)/100</f>
        <v>5.65</v>
      </c>
      <c r="Q18" s="372">
        <f t="shared" ref="Q18:Q27" si="17">INT((G11-P18)*100)/100</f>
        <v>-0.18</v>
      </c>
      <c r="V18" s="332">
        <f t="shared" si="8"/>
        <v>200</v>
      </c>
      <c r="W18" s="149">
        <f t="shared" si="9"/>
        <v>2.8875628788906846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3">
        <f t="shared" si="4"/>
        <v>75</v>
      </c>
      <c r="AB18" s="334">
        <f t="shared" si="0"/>
        <v>40.889370274625449</v>
      </c>
      <c r="AC18" s="159">
        <f t="shared" si="5"/>
        <v>40.889370274625449</v>
      </c>
      <c r="AD18" s="149"/>
      <c r="AE18" s="333">
        <f t="shared" si="6"/>
        <v>75</v>
      </c>
      <c r="AF18" s="159">
        <f>AC18-$P$3</f>
        <v>19.359370616496051</v>
      </c>
      <c r="AG18" s="149"/>
    </row>
    <row r="19" spans="1:33" s="27" customFormat="1" ht="21" customHeight="1">
      <c r="A19" s="460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27.200023968653419</v>
      </c>
      <c r="G19" s="87">
        <f t="shared" si="14"/>
        <v>15.850023968653417</v>
      </c>
      <c r="H19" s="89"/>
      <c r="I19" s="89"/>
      <c r="J19" s="461"/>
      <c r="K19" s="155">
        <f t="shared" si="15"/>
        <v>0.69828223936699629</v>
      </c>
      <c r="L19" s="371">
        <f t="shared" si="16"/>
        <v>3</v>
      </c>
      <c r="M19" s="232">
        <f>M18</f>
        <v>0.13880000000000001</v>
      </c>
      <c r="N19" s="232">
        <f t="shared" ref="N19:N27" si="18">L19*M19</f>
        <v>0.41639999999999999</v>
      </c>
      <c r="O19" s="232">
        <f t="shared" ref="O19:O31" si="19">O18</f>
        <v>4.9079999999999999E-2</v>
      </c>
      <c r="P19" s="232">
        <f>INT(N19/O19*100)/100</f>
        <v>8.48</v>
      </c>
      <c r="Q19" s="372">
        <f t="shared" si="17"/>
        <v>-1.45</v>
      </c>
      <c r="V19" s="332">
        <f t="shared" si="8"/>
        <v>200</v>
      </c>
      <c r="W19" s="149">
        <f t="shared" si="9"/>
        <v>2.8875628788906846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3">
        <f t="shared" si="4"/>
        <v>90</v>
      </c>
      <c r="AB19" s="334">
        <f t="shared" si="0"/>
        <v>41.587652513992445</v>
      </c>
      <c r="AC19" s="159">
        <f t="shared" si="5"/>
        <v>41.587652513992445</v>
      </c>
      <c r="AD19" s="149"/>
      <c r="AE19" s="333">
        <f t="shared" si="6"/>
        <v>90</v>
      </c>
      <c r="AF19" s="159">
        <f>AC19-$P$3</f>
        <v>20.057652855863047</v>
      </c>
      <c r="AG19" s="149"/>
    </row>
    <row r="20" spans="1:33" s="27" customFormat="1" ht="21" customHeight="1">
      <c r="A20" s="460"/>
      <c r="B20" s="83"/>
      <c r="C20" s="85"/>
      <c r="D20" s="86">
        <v>35</v>
      </c>
      <c r="E20" s="76">
        <f t="shared" si="12"/>
        <v>2.4305555555555556E-2</v>
      </c>
      <c r="F20" s="87">
        <f>G20+D$8</f>
        <v>27.790413189777567</v>
      </c>
      <c r="G20" s="87">
        <f t="shared" si="14"/>
        <v>16.440413189777566</v>
      </c>
      <c r="H20" s="89"/>
      <c r="I20" s="89"/>
      <c r="J20" s="461"/>
      <c r="K20" s="155">
        <f t="shared" si="15"/>
        <v>0.59038922112414838</v>
      </c>
      <c r="L20" s="371">
        <f t="shared" si="16"/>
        <v>4</v>
      </c>
      <c r="M20" s="232">
        <f>M19</f>
        <v>0.13880000000000001</v>
      </c>
      <c r="N20" s="232">
        <f>L20*M20</f>
        <v>0.55520000000000003</v>
      </c>
      <c r="O20" s="232">
        <f>O19</f>
        <v>4.9079999999999999E-2</v>
      </c>
      <c r="P20" s="232">
        <f>INT(N20/O20*100)/100</f>
        <v>11.31</v>
      </c>
      <c r="Q20" s="372">
        <f t="shared" si="17"/>
        <v>-3.18</v>
      </c>
      <c r="V20" s="332">
        <f t="shared" si="8"/>
        <v>200</v>
      </c>
      <c r="W20" s="149">
        <f t="shared" si="9"/>
        <v>2.8875628788906846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3">
        <f t="shared" si="4"/>
        <v>105</v>
      </c>
      <c r="AB20" s="334">
        <f t="shared" si="0"/>
        <v>42.178041735116587</v>
      </c>
      <c r="AC20" s="159">
        <f t="shared" si="5"/>
        <v>42.178041735116587</v>
      </c>
      <c r="AD20" s="149"/>
      <c r="AE20" s="333">
        <f t="shared" si="6"/>
        <v>105</v>
      </c>
      <c r="AF20" s="159">
        <f t="shared" ref="AF20:AF69" si="20">AC20-$P$3</f>
        <v>20.648042076987188</v>
      </c>
      <c r="AG20" s="149"/>
    </row>
    <row r="21" spans="1:33" s="27" customFormat="1" ht="21" customHeight="1">
      <c r="A21" s="460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28.301831595298424</v>
      </c>
      <c r="G21" s="87">
        <f t="shared" si="14"/>
        <v>16.951831595298422</v>
      </c>
      <c r="H21" s="89"/>
      <c r="I21" s="89"/>
      <c r="J21" s="461"/>
      <c r="K21" s="155">
        <f t="shared" si="15"/>
        <v>0.51141840552085682</v>
      </c>
      <c r="L21" s="371">
        <f t="shared" si="16"/>
        <v>5</v>
      </c>
      <c r="M21" s="232">
        <f>M20</f>
        <v>0.13880000000000001</v>
      </c>
      <c r="N21" s="232">
        <f t="shared" si="18"/>
        <v>0.69400000000000006</v>
      </c>
      <c r="O21" s="232">
        <f t="shared" si="19"/>
        <v>4.9079999999999999E-2</v>
      </c>
      <c r="P21" s="232">
        <f>INT(N21/O21*100)/100</f>
        <v>14.14</v>
      </c>
      <c r="Q21" s="372">
        <f t="shared" si="17"/>
        <v>-5.16</v>
      </c>
      <c r="V21" s="332">
        <f t="shared" si="8"/>
        <v>200</v>
      </c>
      <c r="W21" s="149">
        <f t="shared" si="9"/>
        <v>2.8875628788906846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3">
        <f t="shared" si="4"/>
        <v>120</v>
      </c>
      <c r="AB21" s="334">
        <f t="shared" si="0"/>
        <v>42.689460140637451</v>
      </c>
      <c r="AC21" s="159">
        <f t="shared" si="5"/>
        <v>42.689460140637451</v>
      </c>
      <c r="AD21" s="149"/>
      <c r="AE21" s="333">
        <f t="shared" si="6"/>
        <v>120</v>
      </c>
      <c r="AF21" s="159">
        <f t="shared" si="20"/>
        <v>21.159460482508052</v>
      </c>
      <c r="AG21" s="149"/>
    </row>
    <row r="22" spans="1:33" s="27" customFormat="1" ht="21" customHeight="1">
      <c r="A22" s="460"/>
      <c r="B22" s="83"/>
      <c r="C22" s="85"/>
      <c r="D22" s="86">
        <v>45</v>
      </c>
      <c r="E22" s="76">
        <f t="shared" si="12"/>
        <v>3.125E-2</v>
      </c>
      <c r="F22" s="87">
        <f t="shared" si="13"/>
        <v>28.752934598935731</v>
      </c>
      <c r="G22" s="87">
        <f t="shared" si="14"/>
        <v>17.40293459893573</v>
      </c>
      <c r="H22" s="89"/>
      <c r="I22" s="89"/>
      <c r="J22" s="461"/>
      <c r="K22" s="155">
        <f t="shared" si="15"/>
        <v>0.45110300363730715</v>
      </c>
      <c r="L22" s="371">
        <f t="shared" si="16"/>
        <v>10</v>
      </c>
      <c r="M22" s="232">
        <f t="shared" ref="M22:M31" si="21">M21</f>
        <v>0.13880000000000001</v>
      </c>
      <c r="N22" s="232">
        <f>L22*M22</f>
        <v>1.3880000000000001</v>
      </c>
      <c r="O22" s="232">
        <f>O21</f>
        <v>4.9079999999999999E-2</v>
      </c>
      <c r="P22" s="232">
        <f t="shared" ref="P22:P27" si="22">INT(N22/O22*100)/100</f>
        <v>28.28</v>
      </c>
      <c r="Q22" s="372">
        <f t="shared" si="17"/>
        <v>-16.64</v>
      </c>
      <c r="V22" s="332">
        <f t="shared" si="8"/>
        <v>200</v>
      </c>
      <c r="W22" s="149">
        <f t="shared" si="9"/>
        <v>2.8875628788906846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3">
        <f t="shared" si="4"/>
        <v>140</v>
      </c>
      <c r="AB22" s="334">
        <f t="shared" si="0"/>
        <v>43.279849361761592</v>
      </c>
      <c r="AC22" s="159">
        <f t="shared" si="5"/>
        <v>43.279849361761592</v>
      </c>
      <c r="AD22" s="149"/>
      <c r="AE22" s="333">
        <f t="shared" si="6"/>
        <v>140</v>
      </c>
      <c r="AF22" s="159">
        <f t="shared" si="20"/>
        <v>21.749849703632194</v>
      </c>
      <c r="AG22" s="149"/>
    </row>
    <row r="23" spans="1:33" s="27" customFormat="1" ht="21" customHeight="1">
      <c r="A23" s="460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29.15645998621374</v>
      </c>
      <c r="G23" s="87">
        <f t="shared" si="14"/>
        <v>17.806459986213738</v>
      </c>
      <c r="H23" s="89"/>
      <c r="I23" s="89"/>
      <c r="J23" s="461"/>
      <c r="K23" s="155">
        <f t="shared" si="15"/>
        <v>0.40352538727800891</v>
      </c>
      <c r="L23" s="371">
        <f t="shared" si="16"/>
        <v>15</v>
      </c>
      <c r="M23" s="232">
        <f t="shared" si="21"/>
        <v>0.13880000000000001</v>
      </c>
      <c r="N23" s="232">
        <f t="shared" si="18"/>
        <v>2.0820000000000003</v>
      </c>
      <c r="O23" s="232">
        <f t="shared" si="19"/>
        <v>4.9079999999999999E-2</v>
      </c>
      <c r="P23" s="232">
        <f t="shared" si="22"/>
        <v>42.42</v>
      </c>
      <c r="Q23" s="372">
        <f t="shared" si="17"/>
        <v>-29.23</v>
      </c>
      <c r="V23" s="332">
        <f t="shared" si="8"/>
        <v>200</v>
      </c>
      <c r="W23" s="149">
        <f t="shared" si="9"/>
        <v>2.8875628788906846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3">
        <f t="shared" si="4"/>
        <v>160</v>
      </c>
      <c r="AB23" s="334">
        <f t="shared" si="0"/>
        <v>43.791267767282456</v>
      </c>
      <c r="AC23" s="159">
        <f t="shared" si="5"/>
        <v>43.791267767282456</v>
      </c>
      <c r="AD23" s="149"/>
      <c r="AE23" s="333">
        <f t="shared" si="6"/>
        <v>160</v>
      </c>
      <c r="AF23" s="159">
        <f t="shared" si="20"/>
        <v>22.261268109153058</v>
      </c>
      <c r="AG23" s="149"/>
    </row>
    <row r="24" spans="1:33" s="27" customFormat="1" ht="21" customHeight="1">
      <c r="A24" s="460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29.521493101104525</v>
      </c>
      <c r="G24" s="87">
        <f t="shared" si="14"/>
        <v>18.171493101104524</v>
      </c>
      <c r="H24" s="89"/>
      <c r="I24" s="89"/>
      <c r="J24" s="461"/>
      <c r="K24" s="155">
        <f t="shared" si="15"/>
        <v>0.36503311489078527</v>
      </c>
      <c r="L24" s="371">
        <f t="shared" si="16"/>
        <v>20</v>
      </c>
      <c r="M24" s="232">
        <f t="shared" si="21"/>
        <v>0.13880000000000001</v>
      </c>
      <c r="N24" s="232">
        <f t="shared" si="18"/>
        <v>2.7760000000000002</v>
      </c>
      <c r="O24" s="232">
        <f t="shared" si="19"/>
        <v>4.9079999999999999E-2</v>
      </c>
      <c r="P24" s="232">
        <f t="shared" si="22"/>
        <v>56.56</v>
      </c>
      <c r="Q24" s="372">
        <f t="shared" si="17"/>
        <v>-42.27</v>
      </c>
      <c r="V24" s="332">
        <f t="shared" si="8"/>
        <v>200</v>
      </c>
      <c r="W24" s="149">
        <f t="shared" si="9"/>
        <v>2.8875628788906846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3">
        <f t="shared" si="4"/>
        <v>180</v>
      </c>
      <c r="AB24" s="334">
        <f t="shared" si="0"/>
        <v>44.242370770919763</v>
      </c>
      <c r="AC24" s="159">
        <f t="shared" si="5"/>
        <v>44.242370770919763</v>
      </c>
      <c r="AD24" s="149"/>
      <c r="AE24" s="333">
        <f t="shared" si="6"/>
        <v>180</v>
      </c>
      <c r="AF24" s="159">
        <f t="shared" si="20"/>
        <v>22.712371112790365</v>
      </c>
      <c r="AG24" s="149"/>
    </row>
    <row r="25" spans="1:33" s="27" customFormat="1" ht="21" customHeight="1">
      <c r="A25" s="460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29.854742225580736</v>
      </c>
      <c r="G25" s="87">
        <f t="shared" si="14"/>
        <v>18.504742225580735</v>
      </c>
      <c r="H25" s="89"/>
      <c r="I25" s="89"/>
      <c r="J25" s="461"/>
      <c r="K25" s="155">
        <f t="shared" si="15"/>
        <v>0.33324912447621102</v>
      </c>
      <c r="L25" s="371">
        <f t="shared" si="16"/>
        <v>25</v>
      </c>
      <c r="M25" s="232">
        <f t="shared" si="21"/>
        <v>0.13880000000000001</v>
      </c>
      <c r="N25" s="232">
        <f t="shared" si="18"/>
        <v>3.47</v>
      </c>
      <c r="O25" s="232">
        <f t="shared" si="19"/>
        <v>4.9079999999999999E-2</v>
      </c>
      <c r="P25" s="232">
        <f t="shared" si="22"/>
        <v>70.7</v>
      </c>
      <c r="Q25" s="372">
        <f t="shared" si="17"/>
        <v>-55.55</v>
      </c>
      <c r="V25" s="332">
        <f t="shared" si="8"/>
        <v>200</v>
      </c>
      <c r="W25" s="149">
        <f t="shared" si="9"/>
        <v>2.8875628788906846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3">
        <f t="shared" si="4"/>
        <v>240</v>
      </c>
      <c r="AB25" s="334">
        <f t="shared" si="0"/>
        <v>45.344178397564768</v>
      </c>
      <c r="AC25" s="159">
        <f t="shared" si="5"/>
        <v>45.344178397564768</v>
      </c>
      <c r="AD25" s="149"/>
      <c r="AE25" s="333">
        <f t="shared" si="6"/>
        <v>240</v>
      </c>
      <c r="AF25" s="159">
        <f t="shared" si="20"/>
        <v>23.81417873943537</v>
      </c>
      <c r="AG25" s="149"/>
    </row>
    <row r="26" spans="1:33" s="27" customFormat="1" ht="21" customHeight="1">
      <c r="A26" s="460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30.709370616496052</v>
      </c>
      <c r="G26" s="87">
        <f t="shared" si="14"/>
        <v>19.359370616496051</v>
      </c>
      <c r="H26" s="89"/>
      <c r="I26" s="89"/>
      <c r="J26" s="461"/>
      <c r="K26" s="155">
        <f t="shared" si="15"/>
        <v>0.85462839091531606</v>
      </c>
      <c r="L26" s="371">
        <f t="shared" si="16"/>
        <v>30</v>
      </c>
      <c r="M26" s="232">
        <f t="shared" si="21"/>
        <v>0.13880000000000001</v>
      </c>
      <c r="N26" s="232">
        <f t="shared" si="18"/>
        <v>4.1640000000000006</v>
      </c>
      <c r="O26" s="232">
        <f t="shared" si="19"/>
        <v>4.9079999999999999E-2</v>
      </c>
      <c r="P26" s="232">
        <f t="shared" si="22"/>
        <v>84.84</v>
      </c>
      <c r="Q26" s="372">
        <f t="shared" si="17"/>
        <v>-68.989999999999995</v>
      </c>
      <c r="V26" s="332">
        <f t="shared" si="8"/>
        <v>200</v>
      </c>
      <c r="W26" s="149">
        <f t="shared" si="9"/>
        <v>2.8875628788906846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3">
        <f t="shared" si="4"/>
        <v>300</v>
      </c>
      <c r="AB26" s="334">
        <f t="shared" si="0"/>
        <v>46.198806788480084</v>
      </c>
      <c r="AC26" s="159">
        <f t="shared" si="5"/>
        <v>46.198806788480084</v>
      </c>
      <c r="AD26" s="149"/>
      <c r="AE26" s="333">
        <f t="shared" si="6"/>
        <v>300</v>
      </c>
      <c r="AF26" s="159">
        <f t="shared" si="20"/>
        <v>24.668807130350686</v>
      </c>
      <c r="AG26" s="149"/>
    </row>
    <row r="27" spans="1:33" s="27" customFormat="1" ht="21" customHeight="1">
      <c r="A27" s="460"/>
      <c r="B27" s="83"/>
      <c r="C27" s="85"/>
      <c r="D27" s="86">
        <v>90</v>
      </c>
      <c r="E27" s="76">
        <f t="shared" si="12"/>
        <v>6.25E-2</v>
      </c>
      <c r="F27" s="87">
        <f t="shared" si="13"/>
        <v>31.407652855863049</v>
      </c>
      <c r="G27" s="87">
        <f t="shared" si="14"/>
        <v>20.057652855863047</v>
      </c>
      <c r="H27" s="89"/>
      <c r="I27" s="89"/>
      <c r="J27" s="461"/>
      <c r="K27" s="155">
        <f t="shared" si="15"/>
        <v>0.69828223936699629</v>
      </c>
      <c r="L27" s="371">
        <f t="shared" si="16"/>
        <v>35</v>
      </c>
      <c r="M27" s="232">
        <f t="shared" si="21"/>
        <v>0.13880000000000001</v>
      </c>
      <c r="N27" s="232">
        <f t="shared" si="18"/>
        <v>4.8580000000000005</v>
      </c>
      <c r="O27" s="232">
        <f t="shared" si="19"/>
        <v>4.9079999999999999E-2</v>
      </c>
      <c r="P27" s="232">
        <f t="shared" si="22"/>
        <v>98.98</v>
      </c>
      <c r="Q27" s="372">
        <f t="shared" si="17"/>
        <v>-82.54</v>
      </c>
      <c r="V27" s="332">
        <f t="shared" si="8"/>
        <v>200</v>
      </c>
      <c r="W27" s="149">
        <f t="shared" si="9"/>
        <v>2.8875628788906846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3">
        <f t="shared" si="4"/>
        <v>360</v>
      </c>
      <c r="AB27" s="334">
        <f t="shared" si="0"/>
        <v>46.897089027847088</v>
      </c>
      <c r="AC27" s="159">
        <f t="shared" si="5"/>
        <v>46.897089027847088</v>
      </c>
      <c r="AD27" s="149"/>
      <c r="AE27" s="333">
        <f t="shared" si="6"/>
        <v>360</v>
      </c>
      <c r="AF27" s="159">
        <f t="shared" si="20"/>
        <v>25.367089369717689</v>
      </c>
      <c r="AG27" s="149"/>
    </row>
    <row r="28" spans="1:33" s="27" customFormat="1" ht="21" customHeight="1">
      <c r="A28" s="460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31.99804207698719</v>
      </c>
      <c r="G28" s="87">
        <f t="shared" si="14"/>
        <v>20.648042076987188</v>
      </c>
      <c r="H28" s="89"/>
      <c r="I28" s="89"/>
      <c r="J28" s="461"/>
      <c r="K28" s="155">
        <f t="shared" si="15"/>
        <v>0.59038922112414127</v>
      </c>
      <c r="L28" s="371">
        <f t="shared" si="16"/>
        <v>40</v>
      </c>
      <c r="M28" s="232">
        <f t="shared" si="21"/>
        <v>0.13880000000000001</v>
      </c>
      <c r="N28" s="232">
        <f>L28*M28</f>
        <v>5.5520000000000005</v>
      </c>
      <c r="O28" s="232">
        <f t="shared" si="19"/>
        <v>4.9079999999999999E-2</v>
      </c>
      <c r="P28" s="232">
        <f>INT(N28/O28*100)/100</f>
        <v>113.12</v>
      </c>
      <c r="Q28" s="372">
        <f>INT((G21-P28)*100)/100</f>
        <v>-96.17</v>
      </c>
      <c r="S28"/>
      <c r="V28" s="332">
        <f t="shared" si="8"/>
        <v>200</v>
      </c>
      <c r="W28" s="149">
        <f t="shared" si="9"/>
        <v>2.8875628788906846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5">
        <f t="shared" si="4"/>
        <v>420</v>
      </c>
      <c r="AB28" s="334">
        <f t="shared" si="0"/>
        <v>47.487478248971222</v>
      </c>
      <c r="AC28" s="159">
        <f t="shared" si="5"/>
        <v>47.487478248971222</v>
      </c>
      <c r="AD28" s="149"/>
      <c r="AE28" s="333">
        <f t="shared" si="6"/>
        <v>420</v>
      </c>
      <c r="AF28" s="159">
        <f t="shared" si="20"/>
        <v>25.957478590841824</v>
      </c>
      <c r="AG28" s="149"/>
    </row>
    <row r="29" spans="1:33" s="27" customFormat="1" ht="21" customHeight="1">
      <c r="A29" s="460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32.509460482508054</v>
      </c>
      <c r="G29" s="87">
        <f t="shared" si="14"/>
        <v>21.159460482508052</v>
      </c>
      <c r="H29" s="89"/>
      <c r="I29" s="89"/>
      <c r="J29" s="461"/>
      <c r="K29" s="155">
        <f t="shared" si="15"/>
        <v>0.51141840552086393</v>
      </c>
      <c r="L29" s="371">
        <f t="shared" si="16"/>
        <v>45</v>
      </c>
      <c r="M29" s="232">
        <f t="shared" si="21"/>
        <v>0.13880000000000001</v>
      </c>
      <c r="N29" s="232">
        <f>L29*M29</f>
        <v>6.2460000000000004</v>
      </c>
      <c r="O29" s="232">
        <f t="shared" si="19"/>
        <v>4.9079999999999999E-2</v>
      </c>
      <c r="P29" s="232">
        <f>INT(N29/O29*100)/100</f>
        <v>127.26</v>
      </c>
      <c r="Q29" s="372">
        <f>INT((G22-P29)*100)/100</f>
        <v>-109.86</v>
      </c>
      <c r="V29" s="332">
        <f t="shared" si="8"/>
        <v>200</v>
      </c>
      <c r="W29" s="149">
        <f t="shared" si="9"/>
        <v>2.8875628788906846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3">
        <f t="shared" si="4"/>
        <v>480</v>
      </c>
      <c r="AB29" s="334">
        <f t="shared" si="0"/>
        <v>47.998896654492093</v>
      </c>
      <c r="AC29" s="159">
        <f t="shared" si="5"/>
        <v>47.998896654492093</v>
      </c>
      <c r="AD29" s="149"/>
      <c r="AE29" s="333">
        <f t="shared" si="6"/>
        <v>480</v>
      </c>
      <c r="AF29" s="159">
        <f t="shared" si="20"/>
        <v>26.468896996362695</v>
      </c>
      <c r="AG29" s="149"/>
    </row>
    <row r="30" spans="1:33" s="27" customFormat="1" ht="21" customHeight="1">
      <c r="A30" s="460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33.099849703632195</v>
      </c>
      <c r="G30" s="87">
        <f t="shared" si="14"/>
        <v>21.749849703632194</v>
      </c>
      <c r="H30" s="89"/>
      <c r="I30" s="89"/>
      <c r="J30" s="461"/>
      <c r="K30" s="155">
        <f t="shared" si="15"/>
        <v>0.59038922112414127</v>
      </c>
      <c r="L30" s="371">
        <f t="shared" si="16"/>
        <v>50</v>
      </c>
      <c r="M30" s="232">
        <f t="shared" si="21"/>
        <v>0.13880000000000001</v>
      </c>
      <c r="N30" s="232">
        <f>L30*M30</f>
        <v>6.94</v>
      </c>
      <c r="O30" s="232">
        <f t="shared" si="19"/>
        <v>4.9079999999999999E-2</v>
      </c>
      <c r="P30" s="232">
        <f>INT(N30/O30*100)/100</f>
        <v>141.4</v>
      </c>
      <c r="Q30" s="372">
        <f>INT((G23-P30)*100)/100</f>
        <v>-123.6</v>
      </c>
      <c r="V30" s="332">
        <f t="shared" si="8"/>
        <v>200</v>
      </c>
      <c r="W30" s="149">
        <f t="shared" si="9"/>
        <v>2.8875628788906846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5">
        <f t="shared" si="4"/>
        <v>540</v>
      </c>
      <c r="AB30" s="334">
        <f t="shared" si="0"/>
        <v>48.4499996581294</v>
      </c>
      <c r="AC30" s="159">
        <f t="shared" si="5"/>
        <v>48.4499996581294</v>
      </c>
      <c r="AD30" s="149"/>
      <c r="AE30" s="333">
        <f t="shared" si="6"/>
        <v>540</v>
      </c>
      <c r="AF30" s="159">
        <f t="shared" si="20"/>
        <v>26.92</v>
      </c>
      <c r="AG30" s="149"/>
    </row>
    <row r="31" spans="1:33" s="27" customFormat="1" ht="21" customHeight="1" thickBot="1">
      <c r="A31" s="460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33.611268109153059</v>
      </c>
      <c r="G31" s="87">
        <f t="shared" si="14"/>
        <v>22.261268109153058</v>
      </c>
      <c r="H31" s="89"/>
      <c r="I31" s="89"/>
      <c r="J31" s="461"/>
      <c r="K31" s="155">
        <f t="shared" si="15"/>
        <v>0.51141840552086393</v>
      </c>
      <c r="L31" s="373">
        <f t="shared" si="16"/>
        <v>55</v>
      </c>
      <c r="M31" s="374">
        <f t="shared" si="21"/>
        <v>0.13880000000000001</v>
      </c>
      <c r="N31" s="374">
        <f>L31*M31</f>
        <v>7.6340000000000003</v>
      </c>
      <c r="O31" s="374">
        <f t="shared" si="19"/>
        <v>4.9079999999999999E-2</v>
      </c>
      <c r="P31" s="374">
        <f>INT(N31/O31*100)/100</f>
        <v>155.54</v>
      </c>
      <c r="Q31" s="375">
        <f>INT((G24-P31)*100)/100</f>
        <v>-137.37</v>
      </c>
      <c r="V31" s="332">
        <f t="shared" si="8"/>
        <v>200</v>
      </c>
      <c r="W31" s="149">
        <f t="shared" si="9"/>
        <v>2.8875628788906846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3">
        <f t="shared" si="4"/>
        <v>600</v>
      </c>
      <c r="AB31" s="334">
        <f t="shared" si="0"/>
        <v>48.4499996581294</v>
      </c>
      <c r="AC31" s="159">
        <f t="shared" ref="AC31:AC34" si="23">AC30</f>
        <v>48.4499996581294</v>
      </c>
      <c r="AD31" s="149"/>
      <c r="AE31" s="333">
        <f t="shared" si="6"/>
        <v>600</v>
      </c>
      <c r="AF31" s="159">
        <f t="shared" si="20"/>
        <v>26.92</v>
      </c>
      <c r="AG31" s="149"/>
    </row>
    <row r="32" spans="1:33" s="27" customFormat="1" ht="21" customHeight="1">
      <c r="A32" s="460"/>
      <c r="B32" s="83"/>
      <c r="C32" s="85"/>
      <c r="D32" s="86">
        <v>180</v>
      </c>
      <c r="E32" s="76">
        <f t="shared" si="12"/>
        <v>0.125</v>
      </c>
      <c r="F32" s="87">
        <f t="shared" si="13"/>
        <v>34.062371112790366</v>
      </c>
      <c r="G32" s="87">
        <f t="shared" si="14"/>
        <v>22.712371112790365</v>
      </c>
      <c r="H32" s="89"/>
      <c r="I32" s="89"/>
      <c r="J32" s="461"/>
      <c r="K32" s="155">
        <f t="shared" si="15"/>
        <v>0.45110300363730715</v>
      </c>
      <c r="L32" s="42" t="s">
        <v>21</v>
      </c>
      <c r="O32" s="43"/>
      <c r="V32" s="332">
        <f t="shared" si="8"/>
        <v>200</v>
      </c>
      <c r="W32" s="149">
        <f t="shared" si="9"/>
        <v>2.8875628788906846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5">
        <f t="shared" si="4"/>
        <v>660</v>
      </c>
      <c r="AB32" s="334">
        <f t="shared" si="0"/>
        <v>48.4499996581294</v>
      </c>
      <c r="AC32" s="159">
        <f t="shared" si="23"/>
        <v>48.4499996581294</v>
      </c>
      <c r="AD32" s="149"/>
      <c r="AE32" s="333">
        <f t="shared" si="6"/>
        <v>660</v>
      </c>
      <c r="AF32" s="159">
        <f t="shared" si="20"/>
        <v>26.92</v>
      </c>
      <c r="AG32" s="149"/>
    </row>
    <row r="33" spans="1:33" s="27" customFormat="1" ht="21" customHeight="1">
      <c r="A33" s="460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35.164178739435371</v>
      </c>
      <c r="G33" s="87">
        <f t="shared" si="14"/>
        <v>23.81417873943537</v>
      </c>
      <c r="H33" s="89"/>
      <c r="I33" s="89"/>
      <c r="J33" s="461"/>
      <c r="K33" s="155">
        <f t="shared" si="15"/>
        <v>1.1018076266450052</v>
      </c>
      <c r="L33" s="39" t="s">
        <v>21</v>
      </c>
      <c r="O33" s="43"/>
      <c r="V33" s="332">
        <f t="shared" si="8"/>
        <v>200</v>
      </c>
      <c r="W33" s="149">
        <f t="shared" si="9"/>
        <v>2.8875628788906846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3">
        <f t="shared" si="4"/>
        <v>720</v>
      </c>
      <c r="AB33" s="334">
        <f t="shared" si="0"/>
        <v>48.4499996581294</v>
      </c>
      <c r="AC33" s="159">
        <f t="shared" si="23"/>
        <v>48.4499996581294</v>
      </c>
      <c r="AD33" s="149"/>
      <c r="AE33" s="333">
        <f t="shared" si="6"/>
        <v>720</v>
      </c>
      <c r="AF33" s="159">
        <f t="shared" si="20"/>
        <v>26.92</v>
      </c>
      <c r="AG33" s="149"/>
    </row>
    <row r="34" spans="1:33" s="27" customFormat="1" ht="21" customHeight="1">
      <c r="A34" s="460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36.018807130350687</v>
      </c>
      <c r="G34" s="87">
        <f t="shared" si="14"/>
        <v>24.668807130350686</v>
      </c>
      <c r="H34" s="89"/>
      <c r="I34" s="89"/>
      <c r="J34" s="461"/>
      <c r="K34" s="155">
        <f t="shared" si="15"/>
        <v>0.85462839091531606</v>
      </c>
      <c r="L34" s="39" t="s">
        <v>21</v>
      </c>
      <c r="P34" s="43"/>
      <c r="V34" s="332">
        <f t="shared" si="8"/>
        <v>200</v>
      </c>
      <c r="W34" s="149">
        <f t="shared" si="9"/>
        <v>2.8875628788906846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5">
        <f t="shared" si="4"/>
        <v>780</v>
      </c>
      <c r="AB34" s="334">
        <f t="shared" si="0"/>
        <v>48.4499996581294</v>
      </c>
      <c r="AC34" s="159">
        <f t="shared" si="23"/>
        <v>48.4499996581294</v>
      </c>
      <c r="AD34" s="149"/>
      <c r="AE34" s="333">
        <f t="shared" si="6"/>
        <v>780</v>
      </c>
      <c r="AF34" s="159">
        <f t="shared" si="20"/>
        <v>26.92</v>
      </c>
      <c r="AG34" s="149"/>
    </row>
    <row r="35" spans="1:33" s="27" customFormat="1" ht="21" customHeight="1">
      <c r="A35" s="460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36.717089369717691</v>
      </c>
      <c r="G35" s="87">
        <f t="shared" si="14"/>
        <v>25.367089369717689</v>
      </c>
      <c r="H35" s="89"/>
      <c r="I35" s="89"/>
      <c r="J35" s="461"/>
      <c r="K35" s="155">
        <f t="shared" si="15"/>
        <v>0.6982822393670034</v>
      </c>
      <c r="L35" s="39" t="s">
        <v>21</v>
      </c>
      <c r="O35" s="43"/>
      <c r="V35" s="332">
        <f t="shared" si="8"/>
        <v>200</v>
      </c>
      <c r="W35" s="149">
        <f t="shared" si="9"/>
        <v>2.8875628788906846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3">
        <f t="shared" si="4"/>
        <v>840</v>
      </c>
      <c r="AB35" s="334">
        <f t="shared" si="0"/>
        <v>48.4499996581294</v>
      </c>
      <c r="AC35" s="159">
        <f t="shared" ref="AC35:AC38" si="25">AC34</f>
        <v>48.4499996581294</v>
      </c>
      <c r="AD35" s="149"/>
      <c r="AE35" s="333">
        <f t="shared" si="6"/>
        <v>840</v>
      </c>
      <c r="AF35" s="159">
        <f t="shared" si="20"/>
        <v>26.92</v>
      </c>
      <c r="AG35" s="149"/>
    </row>
    <row r="36" spans="1:33" s="27" customFormat="1" ht="21" customHeight="1">
      <c r="A36" s="460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37.307478590841825</v>
      </c>
      <c r="G36" s="87">
        <f t="shared" si="14"/>
        <v>25.957478590841824</v>
      </c>
      <c r="H36" s="89"/>
      <c r="I36" s="89"/>
      <c r="J36" s="461"/>
      <c r="K36" s="155">
        <f t="shared" si="15"/>
        <v>0.59038922112413417</v>
      </c>
      <c r="L36" s="39" t="s">
        <v>21</v>
      </c>
      <c r="V36" s="332">
        <f t="shared" si="8"/>
        <v>200</v>
      </c>
      <c r="W36" s="149">
        <f t="shared" si="9"/>
        <v>2.8875628788906846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5">
        <f t="shared" si="4"/>
        <v>900</v>
      </c>
      <c r="AB36" s="334">
        <f t="shared" si="0"/>
        <v>48.4499996581294</v>
      </c>
      <c r="AC36" s="159">
        <f t="shared" si="25"/>
        <v>48.4499996581294</v>
      </c>
      <c r="AD36" s="149"/>
      <c r="AE36" s="333">
        <f t="shared" si="6"/>
        <v>900</v>
      </c>
      <c r="AF36" s="159">
        <f t="shared" si="20"/>
        <v>26.92</v>
      </c>
      <c r="AG36" s="149"/>
    </row>
    <row r="37" spans="1:33" s="27" customFormat="1" ht="21" customHeight="1">
      <c r="A37" s="460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37.818896996362696</v>
      </c>
      <c r="G37" s="87">
        <f t="shared" si="14"/>
        <v>26.468896996362695</v>
      </c>
      <c r="H37" s="89"/>
      <c r="I37" s="89"/>
      <c r="J37" s="461"/>
      <c r="K37" s="155">
        <f t="shared" si="15"/>
        <v>0.51141840552087103</v>
      </c>
      <c r="L37" s="39" t="s">
        <v>21</v>
      </c>
      <c r="V37" s="332">
        <f t="shared" si="8"/>
        <v>200</v>
      </c>
      <c r="W37" s="149">
        <f t="shared" si="9"/>
        <v>2.8875628788906846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3">
        <f t="shared" si="4"/>
        <v>960</v>
      </c>
      <c r="AB37" s="334">
        <f t="shared" si="0"/>
        <v>48.4499996581294</v>
      </c>
      <c r="AC37" s="159">
        <f t="shared" si="25"/>
        <v>48.4499996581294</v>
      </c>
      <c r="AD37" s="149">
        <v>37</v>
      </c>
      <c r="AE37" s="333">
        <f t="shared" si="6"/>
        <v>960</v>
      </c>
      <c r="AF37" s="159">
        <f t="shared" si="20"/>
        <v>26.92</v>
      </c>
      <c r="AG37" s="149"/>
    </row>
    <row r="38" spans="1:33" s="27" customFormat="1" ht="21" customHeight="1">
      <c r="A38" s="460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38.270000000000003</v>
      </c>
      <c r="G38" s="87">
        <f t="shared" si="14"/>
        <v>26.92</v>
      </c>
      <c r="H38" s="89"/>
      <c r="I38" s="89"/>
      <c r="J38" s="461"/>
      <c r="K38" s="155">
        <f t="shared" si="15"/>
        <v>0.45110300363730715</v>
      </c>
      <c r="L38" s="39" t="s">
        <v>21</v>
      </c>
      <c r="V38" s="332">
        <f t="shared" si="8"/>
        <v>200</v>
      </c>
      <c r="W38" s="149">
        <f t="shared" si="9"/>
        <v>2.8875628788906846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3">
        <f t="shared" si="4"/>
        <v>1020</v>
      </c>
      <c r="AB38" s="334">
        <f t="shared" si="0"/>
        <v>48.4499996581294</v>
      </c>
      <c r="AC38" s="159">
        <f t="shared" si="25"/>
        <v>48.4499996581294</v>
      </c>
      <c r="AD38" s="150" t="s">
        <v>40</v>
      </c>
      <c r="AE38" s="333">
        <f t="shared" si="6"/>
        <v>1020</v>
      </c>
      <c r="AF38" s="159">
        <f t="shared" si="20"/>
        <v>26.92</v>
      </c>
      <c r="AG38" s="149"/>
    </row>
    <row r="39" spans="1:33" s="27" customFormat="1" ht="21" customHeight="1">
      <c r="A39" s="460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38.270000000000003</v>
      </c>
      <c r="G39" s="87">
        <f t="shared" si="14"/>
        <v>26.92</v>
      </c>
      <c r="H39" s="89"/>
      <c r="I39" s="89"/>
      <c r="J39" s="461"/>
      <c r="K39" s="155">
        <f t="shared" si="15"/>
        <v>0</v>
      </c>
      <c r="L39" s="39" t="s">
        <v>21</v>
      </c>
      <c r="V39" s="332">
        <f t="shared" si="8"/>
        <v>200</v>
      </c>
      <c r="W39" s="149">
        <f t="shared" si="9"/>
        <v>2.8875628788906846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3">
        <f t="shared" si="4"/>
        <v>1080</v>
      </c>
      <c r="AB39" s="334">
        <f t="shared" si="0"/>
        <v>48.4499996581294</v>
      </c>
      <c r="AC39" s="159">
        <f t="shared" ref="AC39:AC40" si="26">AC38</f>
        <v>48.4499996581294</v>
      </c>
      <c r="AD39" s="44">
        <v>39</v>
      </c>
      <c r="AE39" s="333">
        <f t="shared" si="6"/>
        <v>1080</v>
      </c>
      <c r="AF39" s="159">
        <f t="shared" si="20"/>
        <v>26.92</v>
      </c>
      <c r="AG39" s="149"/>
    </row>
    <row r="40" spans="1:33" s="27" customFormat="1" ht="21" customHeight="1">
      <c r="A40" s="460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38.270000000000003</v>
      </c>
      <c r="G40" s="87">
        <f t="shared" si="14"/>
        <v>26.92</v>
      </c>
      <c r="H40" s="89"/>
      <c r="I40" s="89"/>
      <c r="J40" s="461"/>
      <c r="K40" s="155">
        <f t="shared" si="15"/>
        <v>0</v>
      </c>
      <c r="L40" s="39" t="s">
        <v>21</v>
      </c>
      <c r="V40" s="332">
        <f t="shared" si="8"/>
        <v>200</v>
      </c>
      <c r="W40" s="149">
        <f t="shared" si="9"/>
        <v>2.8875628788906846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3">
        <f t="shared" si="4"/>
        <v>1140</v>
      </c>
      <c r="AB40" s="334">
        <f t="shared" si="0"/>
        <v>48.4499996581294</v>
      </c>
      <c r="AC40" s="159">
        <f t="shared" si="26"/>
        <v>48.4499996581294</v>
      </c>
      <c r="AD40" s="44">
        <v>40</v>
      </c>
      <c r="AE40" s="333">
        <f t="shared" si="6"/>
        <v>1140</v>
      </c>
      <c r="AF40" s="159">
        <f t="shared" si="20"/>
        <v>26.92</v>
      </c>
      <c r="AG40" s="149"/>
    </row>
    <row r="41" spans="1:33" s="27" customFormat="1" ht="21" customHeight="1">
      <c r="A41" s="460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38.270000000000003</v>
      </c>
      <c r="G41" s="87">
        <f t="shared" si="14"/>
        <v>26.92</v>
      </c>
      <c r="H41" s="89"/>
      <c r="I41" s="89"/>
      <c r="J41" s="461"/>
      <c r="K41" s="155">
        <f t="shared" si="15"/>
        <v>0</v>
      </c>
      <c r="L41" s="39" t="s">
        <v>21</v>
      </c>
      <c r="V41" s="336">
        <f t="shared" si="8"/>
        <v>200</v>
      </c>
      <c r="W41" s="337">
        <f t="shared" si="9"/>
        <v>2.8875628788906846</v>
      </c>
      <c r="X41" s="337">
        <f t="shared" si="10"/>
        <v>0.125</v>
      </c>
      <c r="Y41" s="337">
        <f t="shared" si="11"/>
        <v>5.0000000000000001E-4</v>
      </c>
      <c r="Z41" s="337">
        <f t="shared" si="3"/>
        <v>0.83333333333333337</v>
      </c>
      <c r="AA41" s="338">
        <f t="shared" si="4"/>
        <v>1200</v>
      </c>
      <c r="AB41" s="339">
        <f t="shared" si="0"/>
        <v>48.4499996581294</v>
      </c>
      <c r="AC41" s="159">
        <f t="shared" ref="AC41:AC46" si="27">AC40</f>
        <v>48.4499996581294</v>
      </c>
      <c r="AD41" s="45">
        <v>41</v>
      </c>
      <c r="AE41" s="333">
        <f t="shared" si="6"/>
        <v>1200</v>
      </c>
      <c r="AF41" s="159">
        <f t="shared" si="20"/>
        <v>26.92</v>
      </c>
      <c r="AG41" s="149"/>
    </row>
    <row r="42" spans="1:33" s="27" customFormat="1" ht="21" customHeight="1">
      <c r="A42" s="460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38.270000000000003</v>
      </c>
      <c r="G42" s="87">
        <f t="shared" si="14"/>
        <v>26.92</v>
      </c>
      <c r="H42" s="89"/>
      <c r="I42" s="89"/>
      <c r="J42" s="461"/>
      <c r="K42" s="155">
        <f t="shared" si="15"/>
        <v>0</v>
      </c>
      <c r="L42" s="39" t="s">
        <v>21</v>
      </c>
      <c r="V42" s="332">
        <f t="shared" si="8"/>
        <v>200</v>
      </c>
      <c r="W42" s="149">
        <f t="shared" si="9"/>
        <v>2.8875628788906846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3">
        <f t="shared" si="4"/>
        <v>1260</v>
      </c>
      <c r="AB42" s="334">
        <f t="shared" si="0"/>
        <v>48.4499996581294</v>
      </c>
      <c r="AC42" s="159">
        <f t="shared" si="27"/>
        <v>48.4499996581294</v>
      </c>
      <c r="AD42" s="44">
        <v>42</v>
      </c>
      <c r="AE42" s="333">
        <f t="shared" si="6"/>
        <v>1260</v>
      </c>
      <c r="AF42" s="159">
        <f t="shared" si="20"/>
        <v>26.92</v>
      </c>
      <c r="AG42" s="149"/>
    </row>
    <row r="43" spans="1:33" s="27" customFormat="1" ht="21" customHeight="1">
      <c r="A43" s="460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38.270000000000003</v>
      </c>
      <c r="G43" s="87">
        <f t="shared" si="14"/>
        <v>26.92</v>
      </c>
      <c r="H43" s="89"/>
      <c r="I43" s="89"/>
      <c r="J43" s="461"/>
      <c r="K43" s="155">
        <f t="shared" si="15"/>
        <v>0</v>
      </c>
      <c r="L43" s="39" t="s">
        <v>21</v>
      </c>
      <c r="V43" s="336">
        <f t="shared" si="8"/>
        <v>200</v>
      </c>
      <c r="W43" s="337">
        <f t="shared" si="9"/>
        <v>2.8875628788906846</v>
      </c>
      <c r="X43" s="337">
        <f t="shared" si="10"/>
        <v>0.125</v>
      </c>
      <c r="Y43" s="337">
        <f t="shared" si="11"/>
        <v>5.0000000000000001E-4</v>
      </c>
      <c r="Z43" s="337">
        <f t="shared" si="3"/>
        <v>0.91666666666666663</v>
      </c>
      <c r="AA43" s="338">
        <f t="shared" si="4"/>
        <v>1320</v>
      </c>
      <c r="AB43" s="339">
        <f t="shared" si="0"/>
        <v>48.4499996581294</v>
      </c>
      <c r="AC43" s="159">
        <f t="shared" si="27"/>
        <v>48.4499996581294</v>
      </c>
      <c r="AD43" s="45">
        <v>43</v>
      </c>
      <c r="AE43" s="333">
        <f t="shared" si="6"/>
        <v>1320</v>
      </c>
      <c r="AF43" s="159">
        <f t="shared" si="20"/>
        <v>26.92</v>
      </c>
      <c r="AG43" s="149"/>
    </row>
    <row r="44" spans="1:33" s="27" customFormat="1" ht="21" customHeight="1">
      <c r="A44" s="460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38.270000000000003</v>
      </c>
      <c r="G44" s="87">
        <f t="shared" si="14"/>
        <v>26.92</v>
      </c>
      <c r="H44" s="89"/>
      <c r="I44" s="89"/>
      <c r="J44" s="461"/>
      <c r="K44" s="155">
        <f t="shared" si="15"/>
        <v>0</v>
      </c>
      <c r="L44" s="39" t="s">
        <v>21</v>
      </c>
      <c r="V44" s="332">
        <f t="shared" si="8"/>
        <v>200</v>
      </c>
      <c r="W44" s="149">
        <f t="shared" si="9"/>
        <v>2.8875628788906846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3">
        <f t="shared" si="4"/>
        <v>1380</v>
      </c>
      <c r="AB44" s="334">
        <f t="shared" si="0"/>
        <v>48.4499996581294</v>
      </c>
      <c r="AC44" s="159">
        <f t="shared" si="27"/>
        <v>48.4499996581294</v>
      </c>
      <c r="AD44" s="44">
        <v>44</v>
      </c>
      <c r="AE44" s="333">
        <f t="shared" si="6"/>
        <v>1380</v>
      </c>
      <c r="AF44" s="159">
        <f t="shared" si="20"/>
        <v>26.92</v>
      </c>
      <c r="AG44" s="149"/>
    </row>
    <row r="45" spans="1:33" s="27" customFormat="1" ht="21" customHeight="1">
      <c r="A45" s="460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38.270000000000003</v>
      </c>
      <c r="G45" s="87">
        <f t="shared" si="14"/>
        <v>26.92</v>
      </c>
      <c r="H45" s="89"/>
      <c r="I45" s="89"/>
      <c r="J45" s="461"/>
      <c r="K45" s="155">
        <f t="shared" si="15"/>
        <v>0</v>
      </c>
      <c r="L45" s="39" t="s">
        <v>21</v>
      </c>
      <c r="V45" s="336">
        <f t="shared" si="8"/>
        <v>200</v>
      </c>
      <c r="W45" s="337">
        <f t="shared" si="9"/>
        <v>2.8875628788906846</v>
      </c>
      <c r="X45" s="337">
        <f t="shared" si="10"/>
        <v>0.125</v>
      </c>
      <c r="Y45" s="337">
        <f t="shared" si="11"/>
        <v>5.0000000000000001E-4</v>
      </c>
      <c r="Z45" s="337">
        <f t="shared" si="3"/>
        <v>1</v>
      </c>
      <c r="AA45" s="338">
        <f t="shared" si="4"/>
        <v>1440</v>
      </c>
      <c r="AB45" s="339">
        <f t="shared" si="0"/>
        <v>48.4499996581294</v>
      </c>
      <c r="AC45" s="159">
        <f t="shared" si="27"/>
        <v>48.4499996581294</v>
      </c>
      <c r="AD45" s="45">
        <v>45</v>
      </c>
      <c r="AE45" s="333">
        <f t="shared" si="6"/>
        <v>1440</v>
      </c>
      <c r="AF45" s="159">
        <f t="shared" si="20"/>
        <v>26.92</v>
      </c>
      <c r="AG45" s="149"/>
    </row>
    <row r="46" spans="1:33" s="27" customFormat="1" ht="21" customHeight="1">
      <c r="A46" s="460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38.270000000000003</v>
      </c>
      <c r="G46" s="87">
        <f t="shared" si="14"/>
        <v>26.92</v>
      </c>
      <c r="H46" s="89"/>
      <c r="I46" s="89"/>
      <c r="J46" s="461"/>
      <c r="K46" s="155">
        <f t="shared" si="15"/>
        <v>0</v>
      </c>
      <c r="L46" s="39" t="s">
        <v>21</v>
      </c>
      <c r="V46" s="332">
        <f t="shared" si="8"/>
        <v>200</v>
      </c>
      <c r="W46" s="149">
        <f t="shared" si="9"/>
        <v>2.8875628788906846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40">
        <f t="shared" si="4"/>
        <v>1500</v>
      </c>
      <c r="AB46" s="341">
        <f t="shared" si="0"/>
        <v>48.4499996581294</v>
      </c>
      <c r="AC46" s="159">
        <f t="shared" si="27"/>
        <v>48.4499996581294</v>
      </c>
      <c r="AD46" s="44">
        <v>46</v>
      </c>
      <c r="AE46" s="340">
        <f t="shared" si="6"/>
        <v>1500</v>
      </c>
      <c r="AF46" s="342">
        <f t="shared" si="20"/>
        <v>26.92</v>
      </c>
      <c r="AG46" s="149"/>
    </row>
    <row r="47" spans="1:33" s="27" customFormat="1" ht="21" customHeight="1">
      <c r="A47" s="460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38.270000000000003</v>
      </c>
      <c r="G47" s="87">
        <f t="shared" si="14"/>
        <v>26.92</v>
      </c>
      <c r="H47" s="89"/>
      <c r="I47" s="89"/>
      <c r="J47" s="461"/>
      <c r="K47" s="155">
        <f t="shared" si="15"/>
        <v>0</v>
      </c>
      <c r="L47" s="39" t="s">
        <v>21</v>
      </c>
      <c r="V47" s="332">
        <f t="shared" si="8"/>
        <v>200</v>
      </c>
      <c r="W47" s="149">
        <f t="shared" si="9"/>
        <v>2.8875628788906846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3">
        <f t="shared" si="4"/>
        <v>1560</v>
      </c>
      <c r="AB47" s="334">
        <f t="shared" si="0"/>
        <v>48.4499996581294</v>
      </c>
      <c r="AC47" s="159">
        <f t="shared" ref="AC47:AC69" si="28">AC46</f>
        <v>48.4499996581294</v>
      </c>
      <c r="AD47" s="149"/>
      <c r="AE47" s="333">
        <f t="shared" si="6"/>
        <v>1560</v>
      </c>
      <c r="AF47" s="159">
        <f t="shared" si="20"/>
        <v>26.92</v>
      </c>
      <c r="AG47" s="149"/>
    </row>
    <row r="48" spans="1:33" s="27" customFormat="1" ht="21" customHeight="1">
      <c r="A48" s="460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38.270000000000003</v>
      </c>
      <c r="G48" s="87">
        <f t="shared" si="14"/>
        <v>26.92</v>
      </c>
      <c r="H48" s="89"/>
      <c r="I48" s="89"/>
      <c r="J48" s="461"/>
      <c r="K48" s="126" t="s">
        <v>21</v>
      </c>
      <c r="L48" s="39" t="s">
        <v>21</v>
      </c>
      <c r="V48" s="332">
        <f t="shared" si="8"/>
        <v>200</v>
      </c>
      <c r="W48" s="149">
        <f t="shared" si="9"/>
        <v>2.8875628788906846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3">
        <f t="shared" si="4"/>
        <v>1620</v>
      </c>
      <c r="AB48" s="334">
        <f t="shared" si="0"/>
        <v>48.4499996581294</v>
      </c>
      <c r="AC48" s="159">
        <f t="shared" si="28"/>
        <v>48.4499996581294</v>
      </c>
      <c r="AD48" s="149"/>
      <c r="AE48" s="333">
        <f t="shared" si="6"/>
        <v>1620</v>
      </c>
      <c r="AF48" s="159">
        <f t="shared" si="20"/>
        <v>26.92</v>
      </c>
      <c r="AG48" s="149"/>
    </row>
    <row r="49" spans="1:33" s="27" customFormat="1" ht="21" customHeight="1">
      <c r="A49" s="460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38.270000000000003</v>
      </c>
      <c r="G49" s="87">
        <f t="shared" si="14"/>
        <v>26.92</v>
      </c>
      <c r="H49" s="89"/>
      <c r="I49" s="89"/>
      <c r="J49" s="461"/>
      <c r="K49" s="126" t="s">
        <v>21</v>
      </c>
      <c r="L49" s="39" t="s">
        <v>21</v>
      </c>
      <c r="V49" s="332">
        <f t="shared" si="8"/>
        <v>200</v>
      </c>
      <c r="W49" s="149">
        <f t="shared" si="9"/>
        <v>2.8875628788906846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3">
        <f t="shared" si="4"/>
        <v>1680</v>
      </c>
      <c r="AB49" s="334">
        <f t="shared" si="0"/>
        <v>48.4499996581294</v>
      </c>
      <c r="AC49" s="159">
        <f t="shared" si="28"/>
        <v>48.4499996581294</v>
      </c>
      <c r="AD49" s="149"/>
      <c r="AE49" s="333">
        <f t="shared" si="6"/>
        <v>1680</v>
      </c>
      <c r="AF49" s="159">
        <f t="shared" si="20"/>
        <v>26.92</v>
      </c>
      <c r="AG49" s="149"/>
    </row>
    <row r="50" spans="1:33" s="27" customFormat="1" ht="21" customHeight="1">
      <c r="A50" s="460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38.270000000000003</v>
      </c>
      <c r="G50" s="87">
        <f t="shared" si="14"/>
        <v>26.92</v>
      </c>
      <c r="H50" s="89"/>
      <c r="I50" s="89"/>
      <c r="J50" s="461"/>
      <c r="K50" s="126" t="s">
        <v>21</v>
      </c>
      <c r="L50" s="39" t="s">
        <v>21</v>
      </c>
      <c r="V50" s="332">
        <f t="shared" si="8"/>
        <v>200</v>
      </c>
      <c r="W50" s="149">
        <f t="shared" si="9"/>
        <v>2.8875628788906846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3">
        <f t="shared" si="4"/>
        <v>1740</v>
      </c>
      <c r="AB50" s="334">
        <f t="shared" si="0"/>
        <v>48.4499996581294</v>
      </c>
      <c r="AC50" s="159">
        <f t="shared" si="28"/>
        <v>48.4499996581294</v>
      </c>
      <c r="AD50" s="149"/>
      <c r="AE50" s="333">
        <f t="shared" si="6"/>
        <v>1740</v>
      </c>
      <c r="AF50" s="159">
        <f t="shared" si="20"/>
        <v>26.92</v>
      </c>
      <c r="AG50" s="149"/>
    </row>
    <row r="51" spans="1:33" s="27" customFormat="1" ht="21" customHeight="1">
      <c r="A51" s="460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38.270000000000003</v>
      </c>
      <c r="G51" s="87">
        <f t="shared" si="14"/>
        <v>26.92</v>
      </c>
      <c r="H51" s="89"/>
      <c r="I51" s="89"/>
      <c r="J51" s="461"/>
      <c r="K51" s="126" t="s">
        <v>21</v>
      </c>
      <c r="L51" s="39" t="s">
        <v>21</v>
      </c>
      <c r="V51" s="332">
        <f t="shared" si="8"/>
        <v>200</v>
      </c>
      <c r="W51" s="149">
        <f t="shared" si="9"/>
        <v>2.8875628788906846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3">
        <f t="shared" si="4"/>
        <v>1800</v>
      </c>
      <c r="AB51" s="334">
        <f t="shared" si="0"/>
        <v>48.4499996581294</v>
      </c>
      <c r="AC51" s="159">
        <f t="shared" si="28"/>
        <v>48.4499996581294</v>
      </c>
      <c r="AD51" s="149"/>
      <c r="AE51" s="333">
        <f t="shared" si="6"/>
        <v>1800</v>
      </c>
      <c r="AF51" s="159">
        <f t="shared" si="20"/>
        <v>26.92</v>
      </c>
      <c r="AG51" s="149"/>
    </row>
    <row r="52" spans="1:33" s="27" customFormat="1" ht="21" customHeight="1">
      <c r="A52" s="460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38.270000000000003</v>
      </c>
      <c r="G52" s="87">
        <f t="shared" si="14"/>
        <v>26.92</v>
      </c>
      <c r="H52" s="89"/>
      <c r="I52" s="89"/>
      <c r="J52" s="461"/>
      <c r="K52" s="126" t="s">
        <v>21</v>
      </c>
      <c r="L52" s="39" t="s">
        <v>21</v>
      </c>
      <c r="V52" s="332">
        <f t="shared" si="8"/>
        <v>200</v>
      </c>
      <c r="W52" s="149">
        <f t="shared" si="9"/>
        <v>2.8875628788906846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3">
        <f t="shared" si="4"/>
        <v>1860</v>
      </c>
      <c r="AB52" s="334">
        <f t="shared" si="0"/>
        <v>48.4499996581294</v>
      </c>
      <c r="AC52" s="159">
        <f t="shared" si="28"/>
        <v>48.4499996581294</v>
      </c>
      <c r="AD52" s="149"/>
      <c r="AE52" s="333">
        <f t="shared" si="6"/>
        <v>1860</v>
      </c>
      <c r="AF52" s="159">
        <f t="shared" si="20"/>
        <v>26.92</v>
      </c>
      <c r="AG52" s="149"/>
    </row>
    <row r="53" spans="1:33" s="27" customFormat="1" ht="21" customHeight="1">
      <c r="A53" s="460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38.270000000000003</v>
      </c>
      <c r="G53" s="87">
        <f t="shared" si="14"/>
        <v>26.92</v>
      </c>
      <c r="H53" s="89"/>
      <c r="I53" s="89"/>
      <c r="J53" s="461"/>
      <c r="K53" s="126" t="s">
        <v>21</v>
      </c>
      <c r="L53" s="39" t="s">
        <v>21</v>
      </c>
      <c r="V53" s="332">
        <f t="shared" si="8"/>
        <v>200</v>
      </c>
      <c r="W53" s="149">
        <f t="shared" si="9"/>
        <v>2.8875628788906846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3">
        <f t="shared" si="4"/>
        <v>1920</v>
      </c>
      <c r="AB53" s="334">
        <f t="shared" si="0"/>
        <v>48.4499996581294</v>
      </c>
      <c r="AC53" s="159">
        <f t="shared" si="28"/>
        <v>48.4499996581294</v>
      </c>
      <c r="AD53" s="149"/>
      <c r="AE53" s="333">
        <f t="shared" si="6"/>
        <v>1920</v>
      </c>
      <c r="AF53" s="159">
        <f t="shared" si="20"/>
        <v>26.92</v>
      </c>
      <c r="AG53" s="149"/>
    </row>
    <row r="54" spans="1:33" s="27" customFormat="1" ht="21" customHeight="1">
      <c r="A54" s="460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38.270000000000003</v>
      </c>
      <c r="G54" s="87">
        <f t="shared" si="14"/>
        <v>26.92</v>
      </c>
      <c r="H54" s="89"/>
      <c r="I54" s="89"/>
      <c r="J54" s="461"/>
      <c r="K54" s="126" t="s">
        <v>21</v>
      </c>
      <c r="L54" s="39" t="s">
        <v>21</v>
      </c>
      <c r="V54" s="332">
        <f t="shared" si="8"/>
        <v>200</v>
      </c>
      <c r="W54" s="149">
        <f t="shared" si="9"/>
        <v>2.8875628788906846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3">
        <f t="shared" si="4"/>
        <v>1980</v>
      </c>
      <c r="AB54" s="334">
        <f t="shared" si="0"/>
        <v>48.4499996581294</v>
      </c>
      <c r="AC54" s="159">
        <f t="shared" si="28"/>
        <v>48.4499996581294</v>
      </c>
      <c r="AD54" s="149"/>
      <c r="AE54" s="333">
        <f t="shared" si="6"/>
        <v>1980</v>
      </c>
      <c r="AF54" s="159">
        <f t="shared" si="20"/>
        <v>26.92</v>
      </c>
      <c r="AG54" s="149"/>
    </row>
    <row r="55" spans="1:33" s="27" customFormat="1" ht="21" customHeight="1">
      <c r="A55" s="460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38.270000000000003</v>
      </c>
      <c r="G55" s="87">
        <f t="shared" si="14"/>
        <v>26.92</v>
      </c>
      <c r="H55" s="89"/>
      <c r="I55" s="89"/>
      <c r="J55" s="461"/>
      <c r="K55" s="126" t="s">
        <v>21</v>
      </c>
      <c r="L55" s="39" t="s">
        <v>21</v>
      </c>
      <c r="V55" s="332">
        <f t="shared" si="8"/>
        <v>200</v>
      </c>
      <c r="W55" s="149">
        <f t="shared" si="9"/>
        <v>2.8875628788906846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3">
        <f t="shared" si="4"/>
        <v>2040</v>
      </c>
      <c r="AB55" s="334">
        <f t="shared" si="0"/>
        <v>48.4499996581294</v>
      </c>
      <c r="AC55" s="159">
        <f t="shared" si="28"/>
        <v>48.4499996581294</v>
      </c>
      <c r="AD55" s="149"/>
      <c r="AE55" s="333">
        <f t="shared" si="6"/>
        <v>2040</v>
      </c>
      <c r="AF55" s="159">
        <f t="shared" si="20"/>
        <v>26.92</v>
      </c>
      <c r="AG55" s="149"/>
    </row>
    <row r="56" spans="1:33" s="27" customFormat="1" ht="21.6" customHeight="1">
      <c r="A56" s="460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38.270000000000003</v>
      </c>
      <c r="G56" s="87">
        <f t="shared" si="14"/>
        <v>26.92</v>
      </c>
      <c r="H56" s="89"/>
      <c r="I56" s="89"/>
      <c r="J56" s="461"/>
      <c r="K56" s="126" t="s">
        <v>21</v>
      </c>
      <c r="L56" s="39" t="s">
        <v>21</v>
      </c>
      <c r="V56" s="332">
        <f t="shared" si="8"/>
        <v>200</v>
      </c>
      <c r="W56" s="149">
        <f t="shared" si="9"/>
        <v>2.8875628788906846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3">
        <f t="shared" si="4"/>
        <v>2100</v>
      </c>
      <c r="AB56" s="334">
        <f t="shared" si="0"/>
        <v>48.4499996581294</v>
      </c>
      <c r="AC56" s="159">
        <f t="shared" si="28"/>
        <v>48.4499996581294</v>
      </c>
      <c r="AD56" s="149"/>
      <c r="AE56" s="333">
        <f t="shared" si="6"/>
        <v>2100</v>
      </c>
      <c r="AF56" s="159">
        <f t="shared" si="20"/>
        <v>26.92</v>
      </c>
      <c r="AG56" s="149"/>
    </row>
    <row r="57" spans="1:33" s="27" customFormat="1" ht="21.6" customHeight="1">
      <c r="A57" s="460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38.270000000000003</v>
      </c>
      <c r="G57" s="87">
        <f t="shared" si="14"/>
        <v>26.92</v>
      </c>
      <c r="H57" s="89"/>
      <c r="I57" s="89"/>
      <c r="J57" s="461"/>
      <c r="K57" s="126" t="s">
        <v>21</v>
      </c>
      <c r="L57" s="39" t="s">
        <v>21</v>
      </c>
      <c r="V57" s="332">
        <f t="shared" si="8"/>
        <v>200</v>
      </c>
      <c r="W57" s="149">
        <f t="shared" si="9"/>
        <v>2.8875628788906846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3">
        <f t="shared" si="4"/>
        <v>2160</v>
      </c>
      <c r="AB57" s="334">
        <f t="shared" si="0"/>
        <v>48.4499996581294</v>
      </c>
      <c r="AC57" s="159">
        <f t="shared" si="28"/>
        <v>48.4499996581294</v>
      </c>
      <c r="AD57" s="149"/>
      <c r="AE57" s="333">
        <f t="shared" si="6"/>
        <v>2160</v>
      </c>
      <c r="AF57" s="159">
        <f t="shared" si="20"/>
        <v>26.92</v>
      </c>
      <c r="AG57" s="149"/>
    </row>
    <row r="58" spans="1:33" s="27" customFormat="1" ht="21.6" customHeight="1">
      <c r="A58" s="460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38.270000000000003</v>
      </c>
      <c r="G58" s="87">
        <f t="shared" si="14"/>
        <v>26.92</v>
      </c>
      <c r="H58" s="89"/>
      <c r="I58" s="89"/>
      <c r="J58" s="461"/>
      <c r="K58" s="126" t="s">
        <v>21</v>
      </c>
      <c r="L58" s="39" t="s">
        <v>21</v>
      </c>
      <c r="V58" s="332">
        <f t="shared" si="8"/>
        <v>200</v>
      </c>
      <c r="W58" s="149">
        <f t="shared" si="9"/>
        <v>2.8875628788906846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3">
        <f t="shared" si="4"/>
        <v>2220</v>
      </c>
      <c r="AB58" s="334">
        <f t="shared" si="0"/>
        <v>48.4499996581294</v>
      </c>
      <c r="AC58" s="159">
        <f t="shared" si="28"/>
        <v>48.4499996581294</v>
      </c>
      <c r="AD58" s="149"/>
      <c r="AE58" s="333">
        <f t="shared" si="6"/>
        <v>2220</v>
      </c>
      <c r="AF58" s="159">
        <f t="shared" si="20"/>
        <v>26.92</v>
      </c>
      <c r="AG58" s="149"/>
    </row>
    <row r="59" spans="1:33" s="27" customFormat="1" ht="21.6" customHeight="1">
      <c r="A59" s="460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38.270000000000003</v>
      </c>
      <c r="G59" s="87">
        <f t="shared" si="14"/>
        <v>26.92</v>
      </c>
      <c r="H59" s="89"/>
      <c r="I59" s="89"/>
      <c r="J59" s="461"/>
      <c r="K59" s="126" t="s">
        <v>21</v>
      </c>
      <c r="L59" s="39" t="s">
        <v>21</v>
      </c>
      <c r="V59" s="332">
        <f t="shared" si="8"/>
        <v>200</v>
      </c>
      <c r="W59" s="149">
        <f t="shared" si="9"/>
        <v>2.8875628788906846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3">
        <f t="shared" si="4"/>
        <v>2280</v>
      </c>
      <c r="AB59" s="334">
        <f t="shared" si="0"/>
        <v>48.4499996581294</v>
      </c>
      <c r="AC59" s="159">
        <f t="shared" si="28"/>
        <v>48.4499996581294</v>
      </c>
      <c r="AD59" s="149"/>
      <c r="AE59" s="333">
        <f t="shared" si="6"/>
        <v>2280</v>
      </c>
      <c r="AF59" s="159">
        <f t="shared" si="20"/>
        <v>26.92</v>
      </c>
      <c r="AG59" s="149"/>
    </row>
    <row r="60" spans="1:33" s="27" customFormat="1" ht="21.6" customHeight="1">
      <c r="A60" s="460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38.270000000000003</v>
      </c>
      <c r="G60" s="87">
        <f t="shared" si="14"/>
        <v>26.92</v>
      </c>
      <c r="H60" s="89"/>
      <c r="I60" s="89"/>
      <c r="J60" s="461"/>
      <c r="K60" s="126" t="s">
        <v>21</v>
      </c>
      <c r="L60" s="39" t="s">
        <v>21</v>
      </c>
      <c r="V60" s="332">
        <f t="shared" si="8"/>
        <v>200</v>
      </c>
      <c r="W60" s="149">
        <f t="shared" si="9"/>
        <v>2.8875628788906846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3">
        <f t="shared" si="4"/>
        <v>2340</v>
      </c>
      <c r="AB60" s="334">
        <f t="shared" si="0"/>
        <v>48.4499996581294</v>
      </c>
      <c r="AC60" s="159">
        <f t="shared" si="28"/>
        <v>48.4499996581294</v>
      </c>
      <c r="AD60" s="149"/>
      <c r="AE60" s="333">
        <f t="shared" si="6"/>
        <v>2340</v>
      </c>
      <c r="AF60" s="159">
        <f t="shared" si="20"/>
        <v>26.92</v>
      </c>
      <c r="AG60" s="149"/>
    </row>
    <row r="61" spans="1:33" s="27" customFormat="1" ht="21.6" customHeight="1">
      <c r="A61" s="460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38.270000000000003</v>
      </c>
      <c r="G61" s="87">
        <f t="shared" si="14"/>
        <v>26.92</v>
      </c>
      <c r="H61" s="89"/>
      <c r="I61" s="89"/>
      <c r="J61" s="461"/>
      <c r="K61" s="126" t="s">
        <v>21</v>
      </c>
      <c r="L61" s="39" t="s">
        <v>21</v>
      </c>
      <c r="V61" s="332">
        <f t="shared" si="8"/>
        <v>200</v>
      </c>
      <c r="W61" s="149">
        <f t="shared" si="9"/>
        <v>2.8875628788906846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3">
        <f t="shared" si="4"/>
        <v>2400</v>
      </c>
      <c r="AB61" s="334">
        <f t="shared" si="0"/>
        <v>48.4499996581294</v>
      </c>
      <c r="AC61" s="159">
        <f t="shared" si="28"/>
        <v>48.4499996581294</v>
      </c>
      <c r="AD61" s="149"/>
      <c r="AE61" s="333">
        <f t="shared" si="6"/>
        <v>2400</v>
      </c>
      <c r="AF61" s="159">
        <f t="shared" si="20"/>
        <v>26.92</v>
      </c>
      <c r="AG61" s="149"/>
    </row>
    <row r="62" spans="1:33" s="27" customFormat="1" ht="21.6" customHeight="1">
      <c r="A62" s="460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38.270000000000003</v>
      </c>
      <c r="G62" s="87">
        <f t="shared" si="14"/>
        <v>26.92</v>
      </c>
      <c r="H62" s="89"/>
      <c r="I62" s="89"/>
      <c r="J62" s="461"/>
      <c r="K62" s="126" t="s">
        <v>21</v>
      </c>
      <c r="L62" s="39" t="s">
        <v>21</v>
      </c>
      <c r="V62" s="332">
        <f t="shared" si="8"/>
        <v>200</v>
      </c>
      <c r="W62" s="149">
        <f t="shared" si="9"/>
        <v>2.8875628788906846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3">
        <f t="shared" si="4"/>
        <v>2460</v>
      </c>
      <c r="AB62" s="334">
        <f t="shared" si="0"/>
        <v>48.4499996581294</v>
      </c>
      <c r="AC62" s="159">
        <f t="shared" si="28"/>
        <v>48.4499996581294</v>
      </c>
      <c r="AD62" s="149"/>
      <c r="AE62" s="333">
        <f t="shared" si="6"/>
        <v>2460</v>
      </c>
      <c r="AF62" s="159">
        <f t="shared" si="20"/>
        <v>26.92</v>
      </c>
      <c r="AG62" s="149"/>
    </row>
    <row r="63" spans="1:33" s="27" customFormat="1" ht="21.6" customHeight="1">
      <c r="A63" s="460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38.270000000000003</v>
      </c>
      <c r="G63" s="87">
        <f t="shared" si="14"/>
        <v>26.92</v>
      </c>
      <c r="H63" s="89"/>
      <c r="I63" s="89"/>
      <c r="J63" s="461"/>
      <c r="K63" s="126" t="s">
        <v>21</v>
      </c>
      <c r="L63" s="39" t="s">
        <v>21</v>
      </c>
      <c r="V63" s="332">
        <f t="shared" si="8"/>
        <v>200</v>
      </c>
      <c r="W63" s="149">
        <f t="shared" si="9"/>
        <v>2.8875628788906846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3">
        <f t="shared" si="4"/>
        <v>2520</v>
      </c>
      <c r="AB63" s="334">
        <f t="shared" si="0"/>
        <v>48.4499996581294</v>
      </c>
      <c r="AC63" s="159">
        <f t="shared" si="28"/>
        <v>48.4499996581294</v>
      </c>
      <c r="AD63" s="149"/>
      <c r="AE63" s="333">
        <f t="shared" si="6"/>
        <v>2520</v>
      </c>
      <c r="AF63" s="159">
        <f t="shared" si="20"/>
        <v>26.92</v>
      </c>
      <c r="AG63" s="149"/>
    </row>
    <row r="64" spans="1:33" s="27" customFormat="1" ht="21.6" customHeight="1">
      <c r="A64" s="460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38.270000000000003</v>
      </c>
      <c r="G64" s="87">
        <f t="shared" si="14"/>
        <v>26.92</v>
      </c>
      <c r="H64" s="89"/>
      <c r="I64" s="89"/>
      <c r="J64" s="461"/>
      <c r="K64" s="126" t="s">
        <v>21</v>
      </c>
      <c r="L64" s="39" t="s">
        <v>21</v>
      </c>
      <c r="V64" s="332">
        <f t="shared" si="8"/>
        <v>200</v>
      </c>
      <c r="W64" s="149">
        <f t="shared" si="9"/>
        <v>2.8875628788906846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3">
        <f t="shared" si="4"/>
        <v>2580</v>
      </c>
      <c r="AB64" s="334">
        <f t="shared" si="0"/>
        <v>48.4499996581294</v>
      </c>
      <c r="AC64" s="159">
        <f t="shared" si="28"/>
        <v>48.4499996581294</v>
      </c>
      <c r="AD64" s="149"/>
      <c r="AE64" s="333">
        <f t="shared" si="6"/>
        <v>2580</v>
      </c>
      <c r="AF64" s="159">
        <f t="shared" si="20"/>
        <v>26.92</v>
      </c>
      <c r="AG64" s="149"/>
    </row>
    <row r="65" spans="1:33" s="27" customFormat="1" ht="21.6" customHeight="1">
      <c r="A65" s="460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38.270000000000003</v>
      </c>
      <c r="G65" s="87">
        <f t="shared" si="14"/>
        <v>26.92</v>
      </c>
      <c r="H65" s="89"/>
      <c r="I65" s="89"/>
      <c r="J65" s="461"/>
      <c r="K65" s="126" t="s">
        <v>21</v>
      </c>
      <c r="L65" s="39" t="s">
        <v>21</v>
      </c>
      <c r="V65" s="332">
        <f t="shared" si="8"/>
        <v>200</v>
      </c>
      <c r="W65" s="149">
        <f t="shared" si="9"/>
        <v>2.8875628788906846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3">
        <f t="shared" si="4"/>
        <v>2640</v>
      </c>
      <c r="AB65" s="334">
        <f t="shared" si="0"/>
        <v>48.4499996581294</v>
      </c>
      <c r="AC65" s="159">
        <f t="shared" si="28"/>
        <v>48.4499996581294</v>
      </c>
      <c r="AD65" s="149"/>
      <c r="AE65" s="333">
        <f t="shared" si="6"/>
        <v>2640</v>
      </c>
      <c r="AF65" s="159">
        <f t="shared" si="20"/>
        <v>26.92</v>
      </c>
      <c r="AG65" s="149"/>
    </row>
    <row r="66" spans="1:33" s="27" customFormat="1" ht="21.6" customHeight="1">
      <c r="A66" s="460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38.270000000000003</v>
      </c>
      <c r="G66" s="87">
        <f t="shared" si="14"/>
        <v>26.92</v>
      </c>
      <c r="H66" s="89"/>
      <c r="I66" s="89"/>
      <c r="J66" s="461"/>
      <c r="K66" s="126" t="s">
        <v>21</v>
      </c>
      <c r="L66" s="39" t="s">
        <v>21</v>
      </c>
      <c r="V66" s="332">
        <f t="shared" si="8"/>
        <v>200</v>
      </c>
      <c r="W66" s="149">
        <f t="shared" si="9"/>
        <v>2.8875628788906846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3">
        <f t="shared" si="4"/>
        <v>2700</v>
      </c>
      <c r="AB66" s="334">
        <f>AC66+AD$2</f>
        <v>48.4499996581294</v>
      </c>
      <c r="AC66" s="159">
        <f t="shared" si="28"/>
        <v>48.4499996581294</v>
      </c>
      <c r="AD66" s="149"/>
      <c r="AE66" s="333">
        <f t="shared" si="6"/>
        <v>2700</v>
      </c>
      <c r="AF66" s="159">
        <f t="shared" si="20"/>
        <v>26.92</v>
      </c>
      <c r="AG66" s="149"/>
    </row>
    <row r="67" spans="1:33" s="27" customFormat="1" ht="21.6" customHeight="1">
      <c r="A67" s="460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38.270000000000003</v>
      </c>
      <c r="G67" s="87">
        <f t="shared" si="14"/>
        <v>26.92</v>
      </c>
      <c r="H67" s="89"/>
      <c r="I67" s="89"/>
      <c r="J67" s="461"/>
      <c r="K67" s="126" t="s">
        <v>21</v>
      </c>
      <c r="L67" s="39" t="s">
        <v>21</v>
      </c>
      <c r="V67" s="332">
        <f t="shared" si="8"/>
        <v>200</v>
      </c>
      <c r="W67" s="149">
        <f t="shared" si="9"/>
        <v>2.8875628788906846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3">
        <f t="shared" ref="AA67:AA79" si="31">D75</f>
        <v>2760</v>
      </c>
      <c r="AB67" s="334">
        <f>AC67+AD$2</f>
        <v>48.4499996581294</v>
      </c>
      <c r="AC67" s="159">
        <f t="shared" si="28"/>
        <v>48.4499996581294</v>
      </c>
      <c r="AD67" s="149"/>
      <c r="AE67" s="333">
        <f>AA67</f>
        <v>2760</v>
      </c>
      <c r="AF67" s="159">
        <f t="shared" si="20"/>
        <v>26.92</v>
      </c>
      <c r="AG67" s="149"/>
    </row>
    <row r="68" spans="1:33" s="27" customFormat="1" ht="21.6" customHeight="1">
      <c r="A68" s="460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38.270000000000003</v>
      </c>
      <c r="G68" s="87">
        <f t="shared" si="14"/>
        <v>26.92</v>
      </c>
      <c r="H68" s="89"/>
      <c r="I68" s="89"/>
      <c r="J68" s="461"/>
      <c r="K68" s="126" t="s">
        <v>21</v>
      </c>
      <c r="L68" s="39" t="s">
        <v>21</v>
      </c>
      <c r="V68" s="332">
        <f>V67</f>
        <v>200</v>
      </c>
      <c r="W68" s="149">
        <f t="shared" ref="W68:W83" si="32">W$2</f>
        <v>2.8875628788906846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3">
        <f t="shared" si="31"/>
        <v>2820</v>
      </c>
      <c r="AB68" s="334">
        <f>AC68+AD$2</f>
        <v>48.4499996581294</v>
      </c>
      <c r="AC68" s="159">
        <f t="shared" si="28"/>
        <v>48.4499996581294</v>
      </c>
      <c r="AD68" s="149"/>
      <c r="AE68" s="333">
        <f>AA68</f>
        <v>2820</v>
      </c>
      <c r="AF68" s="159">
        <f t="shared" si="20"/>
        <v>26.92</v>
      </c>
      <c r="AG68" s="149"/>
    </row>
    <row r="69" spans="1:33" s="27" customFormat="1" ht="21.6" customHeight="1">
      <c r="A69" s="460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38.270000000000003</v>
      </c>
      <c r="G69" s="87">
        <f t="shared" si="14"/>
        <v>26.92</v>
      </c>
      <c r="H69" s="89"/>
      <c r="I69" s="89"/>
      <c r="J69" s="461"/>
      <c r="K69" s="126" t="s">
        <v>21</v>
      </c>
      <c r="L69" s="39" t="s">
        <v>21</v>
      </c>
      <c r="V69" s="332">
        <f>V68</f>
        <v>200</v>
      </c>
      <c r="W69" s="149">
        <f t="shared" si="32"/>
        <v>2.8875628788906846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3">
        <f t="shared" si="31"/>
        <v>2880</v>
      </c>
      <c r="AB69" s="334">
        <f>AC69+AD$2</f>
        <v>48.4499996581294</v>
      </c>
      <c r="AC69" s="159">
        <f t="shared" si="28"/>
        <v>48.4499996581294</v>
      </c>
      <c r="AD69" s="149"/>
      <c r="AE69" s="333">
        <f>AA69</f>
        <v>2880</v>
      </c>
      <c r="AF69" s="159">
        <f t="shared" si="20"/>
        <v>26.92</v>
      </c>
      <c r="AG69" s="149"/>
    </row>
    <row r="70" spans="1:33" s="27" customFormat="1" ht="21.6" customHeight="1">
      <c r="A70" s="460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38.270000000000003</v>
      </c>
      <c r="G70" s="87">
        <f t="shared" si="14"/>
        <v>26.92</v>
      </c>
      <c r="H70" s="89"/>
      <c r="I70" s="89"/>
      <c r="J70" s="461"/>
      <c r="K70" s="126" t="s">
        <v>21</v>
      </c>
      <c r="L70" s="39" t="s">
        <v>21</v>
      </c>
      <c r="V70" s="332"/>
      <c r="W70" s="149">
        <f t="shared" si="32"/>
        <v>2.8875628788906846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3">
        <f t="shared" si="31"/>
        <v>1</v>
      </c>
      <c r="AB70" s="334"/>
      <c r="AC70" s="159"/>
      <c r="AD70" s="149"/>
      <c r="AE70" s="149"/>
      <c r="AF70" s="159"/>
      <c r="AG70" s="149"/>
    </row>
    <row r="71" spans="1:33" s="27" customFormat="1" ht="21.6" customHeight="1">
      <c r="A71" s="460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38.270000000000003</v>
      </c>
      <c r="G71" s="87">
        <f t="shared" si="14"/>
        <v>26.92</v>
      </c>
      <c r="H71" s="89"/>
      <c r="I71" s="89"/>
      <c r="J71" s="461"/>
      <c r="K71" s="126" t="s">
        <v>21</v>
      </c>
      <c r="L71" s="39" t="s">
        <v>21</v>
      </c>
      <c r="V71" s="332"/>
      <c r="W71" s="149">
        <f t="shared" si="32"/>
        <v>2.8875628788906846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3">
        <f t="shared" si="31"/>
        <v>2</v>
      </c>
      <c r="AB71" s="334"/>
      <c r="AC71" s="159"/>
      <c r="AD71" s="149"/>
      <c r="AE71" s="149"/>
      <c r="AF71" s="159"/>
      <c r="AG71" s="149"/>
    </row>
    <row r="72" spans="1:33" s="27" customFormat="1" ht="21.6" customHeight="1">
      <c r="A72" s="460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38.270000000000003</v>
      </c>
      <c r="G72" s="87">
        <f t="shared" si="14"/>
        <v>26.92</v>
      </c>
      <c r="H72" s="89"/>
      <c r="I72" s="89"/>
      <c r="J72" s="461"/>
      <c r="K72" s="126" t="s">
        <v>21</v>
      </c>
      <c r="L72" s="39" t="s">
        <v>21</v>
      </c>
      <c r="V72" s="332"/>
      <c r="W72" s="149">
        <f t="shared" si="32"/>
        <v>2.8875628788906846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3">
        <f t="shared" si="31"/>
        <v>3</v>
      </c>
      <c r="AB72" s="334"/>
      <c r="AC72" s="159"/>
      <c r="AD72" s="149"/>
      <c r="AE72" s="149"/>
      <c r="AF72" s="159"/>
      <c r="AG72" s="149"/>
    </row>
    <row r="73" spans="1:33" s="27" customFormat="1" ht="21.6" customHeight="1">
      <c r="A73" s="460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38.270000000000003</v>
      </c>
      <c r="G73" s="87">
        <f t="shared" si="14"/>
        <v>26.92</v>
      </c>
      <c r="H73" s="89"/>
      <c r="I73" s="89"/>
      <c r="J73" s="461"/>
      <c r="K73" s="126" t="s">
        <v>21</v>
      </c>
      <c r="L73" s="39" t="s">
        <v>21</v>
      </c>
      <c r="V73" s="332"/>
      <c r="W73" s="149">
        <f t="shared" si="32"/>
        <v>2.8875628788906846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3">
        <f t="shared" si="31"/>
        <v>4</v>
      </c>
      <c r="AB73" s="334"/>
      <c r="AC73" s="159"/>
      <c r="AD73" s="149"/>
      <c r="AE73" s="149"/>
      <c r="AF73" s="159"/>
      <c r="AG73" s="149"/>
    </row>
    <row r="74" spans="1:33" s="27" customFormat="1" ht="21.6" customHeight="1">
      <c r="A74" s="460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38.270000000000003</v>
      </c>
      <c r="G74" s="87">
        <f t="shared" si="14"/>
        <v>26.92</v>
      </c>
      <c r="H74" s="89"/>
      <c r="I74" s="89"/>
      <c r="J74" s="461"/>
      <c r="K74" s="126" t="s">
        <v>21</v>
      </c>
      <c r="L74" s="39" t="s">
        <v>21</v>
      </c>
      <c r="V74" s="332"/>
      <c r="W74" s="149">
        <f t="shared" si="32"/>
        <v>2.8875628788906846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3">
        <f t="shared" si="31"/>
        <v>5</v>
      </c>
      <c r="AB74" s="334"/>
      <c r="AC74" s="159"/>
      <c r="AD74" s="149"/>
      <c r="AE74" s="149"/>
      <c r="AF74" s="159"/>
      <c r="AG74" s="149"/>
    </row>
    <row r="75" spans="1:33" s="27" customFormat="1" ht="21.6" customHeight="1">
      <c r="A75" s="460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38.270000000000003</v>
      </c>
      <c r="G75" s="87">
        <f>AF67</f>
        <v>26.92</v>
      </c>
      <c r="H75" s="89"/>
      <c r="I75" s="89"/>
      <c r="J75" s="461"/>
      <c r="K75" s="126" t="s">
        <v>21</v>
      </c>
      <c r="L75" s="39" t="s">
        <v>21</v>
      </c>
      <c r="V75" s="332"/>
      <c r="W75" s="149">
        <f t="shared" si="32"/>
        <v>2.8875628788906846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3">
        <f t="shared" si="31"/>
        <v>10</v>
      </c>
      <c r="AB75" s="334"/>
      <c r="AC75" s="159"/>
      <c r="AD75" s="149"/>
      <c r="AE75" s="149"/>
      <c r="AF75" s="159"/>
      <c r="AG75" s="149"/>
    </row>
    <row r="76" spans="1:33" s="27" customFormat="1" ht="21.6" customHeight="1">
      <c r="A76" s="460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38.270000000000003</v>
      </c>
      <c r="G76" s="87">
        <f>AF68</f>
        <v>26.92</v>
      </c>
      <c r="H76" s="89"/>
      <c r="I76" s="89"/>
      <c r="J76" s="461"/>
      <c r="K76" s="126" t="s">
        <v>21</v>
      </c>
      <c r="L76" s="39" t="s">
        <v>21</v>
      </c>
      <c r="V76" s="332"/>
      <c r="W76" s="149">
        <f t="shared" si="32"/>
        <v>2.8875628788906846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3">
        <f t="shared" si="31"/>
        <v>15</v>
      </c>
      <c r="AB76" s="334"/>
      <c r="AC76" s="159"/>
      <c r="AD76" s="149"/>
      <c r="AE76" s="149"/>
      <c r="AF76" s="159"/>
      <c r="AG76" s="149"/>
    </row>
    <row r="77" spans="1:33" s="27" customFormat="1" ht="21.6" customHeight="1">
      <c r="A77" s="460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38.270000000000003</v>
      </c>
      <c r="G77" s="87">
        <f>AF69</f>
        <v>26.92</v>
      </c>
      <c r="H77" s="89" t="s">
        <v>180</v>
      </c>
      <c r="I77" s="89"/>
      <c r="J77" s="461"/>
      <c r="K77" s="126" t="s">
        <v>21</v>
      </c>
      <c r="L77" s="39" t="s">
        <v>21</v>
      </c>
      <c r="V77" s="332"/>
      <c r="W77" s="149">
        <f t="shared" si="32"/>
        <v>2.8875628788906846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3">
        <f t="shared" si="31"/>
        <v>20</v>
      </c>
      <c r="AB77" s="334"/>
      <c r="AC77" s="159"/>
      <c r="AD77" s="149"/>
      <c r="AE77" s="149"/>
      <c r="AF77" s="159"/>
      <c r="AG77" s="149"/>
    </row>
    <row r="78" spans="1:33" s="27" customFormat="1" ht="20.45" customHeight="1">
      <c r="A78" s="460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28.327140693723948</v>
      </c>
      <c r="G78" s="87">
        <f>H114</f>
        <v>16.977140693723946</v>
      </c>
      <c r="H78" s="599" t="s">
        <v>191</v>
      </c>
      <c r="I78" s="599"/>
      <c r="J78" s="600"/>
      <c r="K78" s="126" t="s">
        <v>21</v>
      </c>
      <c r="L78" s="39"/>
      <c r="V78" s="332"/>
      <c r="W78" s="149">
        <f t="shared" si="32"/>
        <v>2.8875628788906846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3">
        <f t="shared" si="31"/>
        <v>25</v>
      </c>
      <c r="AB78" s="334"/>
      <c r="AC78" s="159"/>
      <c r="AD78" s="149"/>
      <c r="AE78" s="149"/>
      <c r="AF78" s="159"/>
      <c r="AG78" s="149"/>
    </row>
    <row r="79" spans="1:33" s="27" customFormat="1" ht="20.45" customHeight="1">
      <c r="A79" s="460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26.73021109021095</v>
      </c>
      <c r="G79" s="87">
        <f>H115</f>
        <v>15.380211090210949</v>
      </c>
      <c r="H79" s="599"/>
      <c r="I79" s="599"/>
      <c r="J79" s="600"/>
      <c r="K79" s="126" t="s">
        <v>21</v>
      </c>
      <c r="L79" s="39" t="s">
        <v>21</v>
      </c>
      <c r="V79" s="332"/>
      <c r="W79" s="149">
        <f t="shared" si="32"/>
        <v>2.8875628788906846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3">
        <f t="shared" si="31"/>
        <v>30</v>
      </c>
      <c r="AB79" s="334"/>
      <c r="AC79" s="159"/>
      <c r="AD79" s="149"/>
      <c r="AE79" s="149"/>
      <c r="AF79" s="159"/>
      <c r="AG79" s="149"/>
    </row>
    <row r="80" spans="1:33" s="27" customFormat="1" ht="20.45" customHeight="1">
      <c r="A80" s="460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25.283494305486641</v>
      </c>
      <c r="G80" s="87">
        <f>H116</f>
        <v>13.93349430548664</v>
      </c>
      <c r="H80" s="599"/>
      <c r="I80" s="599"/>
      <c r="J80" s="600"/>
      <c r="K80" s="126" t="s">
        <v>21</v>
      </c>
      <c r="L80" s="39" t="s">
        <v>21</v>
      </c>
      <c r="V80" s="332"/>
      <c r="W80" s="149">
        <f t="shared" si="32"/>
        <v>2.8875628788906846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3">
        <f>D90</f>
        <v>45</v>
      </c>
      <c r="AB80" s="334"/>
      <c r="AC80" s="159"/>
      <c r="AD80" s="149"/>
      <c r="AE80" s="149"/>
      <c r="AF80" s="159"/>
      <c r="AG80" s="149"/>
    </row>
    <row r="81" spans="1:33" s="27" customFormat="1" ht="20.45" customHeight="1">
      <c r="A81" s="460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23.972860793152201</v>
      </c>
      <c r="G81" s="87">
        <f>H117</f>
        <v>12.622860793152199</v>
      </c>
      <c r="H81" s="599"/>
      <c r="I81" s="599"/>
      <c r="J81" s="600"/>
      <c r="K81" s="126" t="s">
        <v>21</v>
      </c>
      <c r="L81" s="39" t="s">
        <v>21</v>
      </c>
      <c r="V81" s="332"/>
      <c r="W81" s="149">
        <f t="shared" si="32"/>
        <v>2.8875628788906846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3">
        <f>D93</f>
        <v>60</v>
      </c>
      <c r="AB81" s="334"/>
      <c r="AC81" s="159"/>
      <c r="AD81" s="149"/>
      <c r="AE81" s="149"/>
      <c r="AF81" s="159"/>
      <c r="AG81" s="149"/>
    </row>
    <row r="82" spans="1:33" s="27" customFormat="1" ht="20.45" customHeight="1">
      <c r="A82" s="460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22.785510081671077</v>
      </c>
      <c r="G82" s="87">
        <f>H118</f>
        <v>11.435510081671076</v>
      </c>
      <c r="H82" s="599"/>
      <c r="I82" s="599"/>
      <c r="J82" s="600"/>
      <c r="K82" s="126" t="s">
        <v>21</v>
      </c>
      <c r="L82" s="39" t="s">
        <v>21</v>
      </c>
      <c r="V82" s="332"/>
      <c r="W82" s="149">
        <f t="shared" si="32"/>
        <v>2.8875628788906846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3">
        <f>D97</f>
        <v>120</v>
      </c>
      <c r="AB82" s="334"/>
      <c r="AC82" s="159"/>
      <c r="AD82" s="149"/>
      <c r="AE82" s="149"/>
      <c r="AF82" s="159"/>
      <c r="AG82" s="149"/>
    </row>
    <row r="83" spans="1:33" s="27" customFormat="1" ht="20.45" customHeight="1">
      <c r="A83" s="460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19.852542004201268</v>
      </c>
      <c r="G83" s="87">
        <f>H121</f>
        <v>8.5025420042012705</v>
      </c>
      <c r="H83" s="599"/>
      <c r="I83" s="599"/>
      <c r="J83" s="600"/>
      <c r="K83" s="126" t="s">
        <v>21</v>
      </c>
      <c r="L83" s="39" t="s">
        <v>21</v>
      </c>
      <c r="V83" s="332"/>
      <c r="W83" s="149">
        <f t="shared" si="32"/>
        <v>2.8875628788906846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3">
        <f>D98</f>
        <v>180</v>
      </c>
      <c r="AB83" s="334"/>
      <c r="AC83" s="159"/>
      <c r="AD83" s="149"/>
      <c r="AE83" s="149"/>
      <c r="AF83" s="159"/>
      <c r="AG83" s="149"/>
    </row>
    <row r="84" spans="1:33" s="27" customFormat="1" ht="20.45" customHeight="1">
      <c r="A84" s="460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19.310627178404037</v>
      </c>
      <c r="G84" s="87">
        <f>H124</f>
        <v>7.960627178404037</v>
      </c>
      <c r="H84" s="599"/>
      <c r="I84" s="599"/>
      <c r="J84" s="600"/>
      <c r="K84" s="126" t="s">
        <v>21</v>
      </c>
      <c r="L84" s="39" t="s">
        <v>21</v>
      </c>
      <c r="V84" s="332"/>
      <c r="W84" s="149"/>
      <c r="X84" s="149"/>
      <c r="Y84" s="149"/>
      <c r="Z84" s="149"/>
      <c r="AA84" s="333">
        <f>D99</f>
        <v>240</v>
      </c>
      <c r="AB84" s="334"/>
      <c r="AC84" s="159"/>
      <c r="AD84" s="149"/>
      <c r="AE84" s="149"/>
      <c r="AF84" s="159"/>
      <c r="AG84" s="149"/>
    </row>
    <row r="85" spans="1:33" s="27" customFormat="1" ht="20.45" customHeight="1">
      <c r="A85" s="460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17.883453156773275</v>
      </c>
      <c r="G85" s="87">
        <f>H126</f>
        <v>6.5334531567732759</v>
      </c>
      <c r="H85" s="599"/>
      <c r="I85" s="599"/>
      <c r="J85" s="600"/>
      <c r="K85" s="126" t="s">
        <v>21</v>
      </c>
      <c r="L85" s="39" t="s">
        <v>21</v>
      </c>
      <c r="V85" s="332"/>
      <c r="W85" s="149"/>
      <c r="X85" s="149"/>
      <c r="Y85" s="149"/>
      <c r="Z85" s="149"/>
      <c r="AA85" s="333">
        <f>D100</f>
        <v>300</v>
      </c>
      <c r="AB85" s="343"/>
      <c r="AC85" s="149"/>
      <c r="AD85" s="149"/>
      <c r="AE85" s="149"/>
      <c r="AF85" s="159"/>
      <c r="AG85" s="149"/>
    </row>
    <row r="86" spans="1:33" s="27" customFormat="1" ht="20.45" customHeight="1">
      <c r="A86" s="460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17.268893558814966</v>
      </c>
      <c r="G86" s="87">
        <f t="shared" ref="G86:G92" si="37">H127</f>
        <v>5.9188935588149674</v>
      </c>
      <c r="H86" s="599"/>
      <c r="I86" s="599"/>
      <c r="J86" s="600"/>
      <c r="K86" s="126" t="s">
        <v>21</v>
      </c>
      <c r="L86" s="39" t="s">
        <v>21</v>
      </c>
      <c r="V86" s="332"/>
      <c r="W86" s="149"/>
      <c r="X86" s="149"/>
      <c r="Y86" s="149"/>
      <c r="Z86" s="149"/>
      <c r="AA86" s="333">
        <f>D101</f>
        <v>360</v>
      </c>
      <c r="AB86" s="343"/>
      <c r="AC86" s="149"/>
      <c r="AD86" s="149"/>
      <c r="AE86" s="149"/>
      <c r="AF86" s="159"/>
      <c r="AG86" s="149"/>
    </row>
    <row r="87" spans="1:33" s="27" customFormat="1" ht="20.45" customHeight="1">
      <c r="A87" s="460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16.71214159954021</v>
      </c>
      <c r="G87" s="87">
        <f t="shared" si="37"/>
        <v>5.3621415995402115</v>
      </c>
      <c r="H87" s="599"/>
      <c r="I87" s="599"/>
      <c r="J87" s="600"/>
      <c r="K87" s="126" t="s">
        <v>21</v>
      </c>
      <c r="L87" s="39" t="s">
        <v>21</v>
      </c>
      <c r="V87" s="332" t="s">
        <v>21</v>
      </c>
      <c r="W87" s="149"/>
      <c r="X87" s="149"/>
      <c r="Y87" s="149"/>
      <c r="Z87" s="149"/>
      <c r="AA87" s="333" t="s">
        <v>21</v>
      </c>
      <c r="AB87" s="343"/>
      <c r="AC87" s="149"/>
      <c r="AD87" s="149"/>
      <c r="AE87" s="149"/>
      <c r="AF87" s="149"/>
      <c r="AG87" s="149"/>
    </row>
    <row r="88" spans="1:33" s="27" customFormat="1" ht="20.45" customHeight="1">
      <c r="A88" s="460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16.53844870842914</v>
      </c>
      <c r="G88" s="87">
        <f t="shared" si="37"/>
        <v>5.1884487084291395</v>
      </c>
      <c r="H88" s="599"/>
      <c r="I88" s="599"/>
      <c r="J88" s="600"/>
      <c r="K88" s="126"/>
      <c r="L88" s="39"/>
      <c r="V88" s="332"/>
      <c r="W88" s="149"/>
      <c r="X88" s="149"/>
      <c r="Y88" s="149"/>
      <c r="Z88" s="149"/>
      <c r="AA88" s="333"/>
      <c r="AB88" s="343"/>
      <c r="AC88" s="149"/>
      <c r="AD88" s="149"/>
      <c r="AE88" s="149"/>
      <c r="AF88" s="149"/>
      <c r="AG88" s="149"/>
    </row>
    <row r="89" spans="1:33" s="27" customFormat="1" ht="20.45" customHeight="1">
      <c r="A89" s="460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16.370382155202378</v>
      </c>
      <c r="G89" s="87">
        <f t="shared" si="37"/>
        <v>5.0203821552023769</v>
      </c>
      <c r="H89" s="599"/>
      <c r="I89" s="599"/>
      <c r="J89" s="600"/>
      <c r="K89" s="126"/>
      <c r="L89" s="39"/>
      <c r="V89" s="332"/>
      <c r="W89" s="149"/>
      <c r="X89" s="149"/>
      <c r="Y89" s="149"/>
      <c r="Z89" s="149"/>
      <c r="AA89" s="333"/>
      <c r="AB89" s="343"/>
      <c r="AC89" s="149"/>
      <c r="AD89" s="149"/>
      <c r="AE89" s="149"/>
      <c r="AF89" s="149"/>
      <c r="AG89" s="149"/>
    </row>
    <row r="90" spans="1:33" s="27" customFormat="1" ht="20.45" customHeight="1">
      <c r="A90" s="460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16.207759689004487</v>
      </c>
      <c r="G90" s="87">
        <f t="shared" si="37"/>
        <v>4.8577596890044861</v>
      </c>
      <c r="H90" s="599"/>
      <c r="I90" s="599"/>
      <c r="J90" s="600"/>
      <c r="K90" s="126" t="s">
        <v>21</v>
      </c>
      <c r="L90" s="39" t="s">
        <v>21</v>
      </c>
      <c r="V90" s="332" t="s">
        <v>21</v>
      </c>
      <c r="W90" s="149"/>
      <c r="X90" s="149"/>
      <c r="Y90" s="149"/>
      <c r="Z90" s="149"/>
      <c r="AA90" s="333" t="s">
        <v>21</v>
      </c>
      <c r="AB90" s="343"/>
      <c r="AC90" s="149"/>
      <c r="AD90" s="149"/>
      <c r="AE90" s="149"/>
      <c r="AF90" s="149"/>
      <c r="AG90" s="149"/>
    </row>
    <row r="91" spans="1:33" s="27" customFormat="1" ht="20.45" customHeight="1">
      <c r="A91" s="460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16.050404962531324</v>
      </c>
      <c r="G91" s="87">
        <f t="shared" si="37"/>
        <v>4.7004049625313247</v>
      </c>
      <c r="H91" s="599"/>
      <c r="I91" s="599"/>
      <c r="J91" s="600"/>
      <c r="K91" s="126"/>
      <c r="L91" s="39"/>
      <c r="V91" s="332"/>
      <c r="W91" s="149"/>
      <c r="X91" s="149"/>
      <c r="Y91" s="149"/>
      <c r="Z91" s="149"/>
      <c r="AA91" s="333"/>
      <c r="AB91" s="343"/>
      <c r="AC91" s="149"/>
      <c r="AD91" s="149"/>
      <c r="AE91" s="149"/>
      <c r="AF91" s="149"/>
      <c r="AG91" s="149"/>
    </row>
    <row r="92" spans="1:33" s="27" customFormat="1" ht="20.45" customHeight="1">
      <c r="A92" s="460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15.898147340799571</v>
      </c>
      <c r="G92" s="87">
        <f t="shared" si="37"/>
        <v>4.5481473407995727</v>
      </c>
      <c r="H92" s="599"/>
      <c r="I92" s="599"/>
      <c r="J92" s="600"/>
      <c r="K92" s="126"/>
      <c r="L92" s="39"/>
      <c r="V92" s="332"/>
      <c r="W92" s="149"/>
      <c r="X92" s="149"/>
      <c r="Y92" s="149"/>
      <c r="Z92" s="149"/>
      <c r="AA92" s="333"/>
      <c r="AB92" s="343"/>
      <c r="AC92" s="149"/>
      <c r="AD92" s="149"/>
      <c r="AE92" s="149"/>
      <c r="AF92" s="149"/>
      <c r="AG92" s="149"/>
    </row>
    <row r="93" spans="1:33" s="27" customFormat="1" ht="20.45" customHeight="1">
      <c r="A93" s="460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15.75082171611067</v>
      </c>
      <c r="G93" s="87">
        <f>H134</f>
        <v>4.40082171611067</v>
      </c>
      <c r="H93" s="599"/>
      <c r="I93" s="599"/>
      <c r="J93" s="600"/>
      <c r="K93" s="126" t="s">
        <v>21</v>
      </c>
      <c r="L93" s="39" t="s">
        <v>21</v>
      </c>
      <c r="V93" s="332" t="s">
        <v>21</v>
      </c>
      <c r="W93" s="149"/>
      <c r="X93" s="149"/>
      <c r="Y93" s="149"/>
      <c r="Z93" s="149"/>
      <c r="AA93" s="333" t="s">
        <v>21</v>
      </c>
      <c r="AB93" s="343"/>
      <c r="AC93" s="149"/>
      <c r="AD93" s="149"/>
      <c r="AE93" s="149"/>
      <c r="AF93" s="149"/>
      <c r="AG93" s="149"/>
    </row>
    <row r="94" spans="1:33" s="27" customFormat="1" ht="20.45" customHeight="1">
      <c r="A94" s="460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15.608268329008549</v>
      </c>
      <c r="G94" s="87">
        <f>H135</f>
        <v>4.2582683290085486</v>
      </c>
      <c r="H94" s="599"/>
      <c r="I94" s="599"/>
      <c r="J94" s="600"/>
      <c r="K94" s="126"/>
      <c r="L94" s="39"/>
      <c r="V94" s="332"/>
      <c r="W94" s="149"/>
      <c r="X94" s="149"/>
      <c r="Y94" s="149"/>
      <c r="Z94" s="149"/>
      <c r="AA94" s="333"/>
      <c r="AB94" s="343"/>
      <c r="AC94" s="149"/>
      <c r="AD94" s="149"/>
      <c r="AE94" s="149"/>
      <c r="AF94" s="149"/>
      <c r="AG94" s="149"/>
    </row>
    <row r="95" spans="1:33" s="27" customFormat="1" ht="20.45" customHeight="1">
      <c r="A95" s="460"/>
      <c r="B95" s="83"/>
      <c r="C95" s="85"/>
      <c r="D95" s="86">
        <v>90</v>
      </c>
      <c r="E95" s="76">
        <f t="shared" si="35"/>
        <v>6.25E-2</v>
      </c>
      <c r="F95" s="87">
        <f t="shared" si="36"/>
        <v>15.470332595036952</v>
      </c>
      <c r="G95" s="87">
        <f>H136</f>
        <v>4.1203325950369525</v>
      </c>
      <c r="H95" s="599"/>
      <c r="I95" s="599"/>
      <c r="J95" s="600"/>
      <c r="K95" s="126"/>
      <c r="L95" s="39"/>
      <c r="V95" s="332"/>
      <c r="W95" s="149"/>
      <c r="X95" s="149"/>
      <c r="Y95" s="149"/>
      <c r="Z95" s="149"/>
      <c r="AA95" s="333"/>
      <c r="AB95" s="343"/>
      <c r="AC95" s="149"/>
      <c r="AD95" s="149"/>
      <c r="AE95" s="149"/>
      <c r="AF95" s="149"/>
      <c r="AG95" s="149"/>
    </row>
    <row r="96" spans="1:33" s="27" customFormat="1" ht="20.45" customHeight="1">
      <c r="A96" s="460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15.336864937108539</v>
      </c>
      <c r="G96" s="87">
        <f>H137</f>
        <v>3.9868649371085385</v>
      </c>
      <c r="H96" s="599"/>
      <c r="I96" s="599"/>
      <c r="J96" s="600"/>
      <c r="K96" s="126"/>
      <c r="L96" s="39"/>
      <c r="V96" s="332"/>
      <c r="W96" s="149"/>
      <c r="X96" s="149"/>
      <c r="Y96" s="149"/>
      <c r="Z96" s="149"/>
      <c r="AA96" s="333"/>
      <c r="AB96" s="343"/>
      <c r="AC96" s="149"/>
      <c r="AD96" s="149"/>
      <c r="AE96" s="149"/>
      <c r="AF96" s="149"/>
      <c r="AG96" s="149"/>
    </row>
    <row r="97" spans="1:33" s="27" customFormat="1" ht="20.45" customHeight="1">
      <c r="A97" s="460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14.961846389631328</v>
      </c>
      <c r="G97" s="87">
        <f>H138</f>
        <v>3.6118463896313284</v>
      </c>
      <c r="H97" s="599"/>
      <c r="I97" s="599"/>
      <c r="J97" s="600"/>
      <c r="K97" s="126" t="s">
        <v>21</v>
      </c>
      <c r="L97" s="39" t="s">
        <v>21</v>
      </c>
      <c r="V97" s="332" t="s">
        <v>21</v>
      </c>
      <c r="W97" s="149"/>
      <c r="X97" s="149"/>
      <c r="Y97" s="149"/>
      <c r="Z97" s="149"/>
      <c r="AA97" s="333" t="s">
        <v>21</v>
      </c>
      <c r="AB97" s="343"/>
      <c r="AC97" s="149"/>
      <c r="AD97" s="149"/>
      <c r="AE97" s="149"/>
      <c r="AF97" s="149"/>
      <c r="AG97" s="149"/>
    </row>
    <row r="98" spans="1:33" s="27" customFormat="1" ht="20.45" customHeight="1">
      <c r="A98" s="460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14.844849844497581</v>
      </c>
      <c r="G98" s="87">
        <f>H140</f>
        <v>3.4948498444975815</v>
      </c>
      <c r="H98" s="599"/>
      <c r="I98" s="599"/>
      <c r="J98" s="600"/>
      <c r="K98" s="155"/>
      <c r="L98" s="39" t="s">
        <v>21</v>
      </c>
      <c r="V98" s="332" t="str">
        <f t="shared" ref="V98:V103" si="38">V97</f>
        <v xml:space="preserve"> </v>
      </c>
      <c r="W98" s="149"/>
      <c r="X98" s="149"/>
      <c r="Y98" s="149"/>
      <c r="Z98" s="149"/>
      <c r="AA98" s="333" t="s">
        <v>21</v>
      </c>
      <c r="AB98" s="343"/>
      <c r="AC98" s="149"/>
      <c r="AD98" s="149"/>
      <c r="AE98" s="149"/>
      <c r="AF98" s="149"/>
      <c r="AG98" s="149"/>
    </row>
    <row r="99" spans="1:33" s="27" customFormat="1" ht="20.45" customHeight="1">
      <c r="A99" s="460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14.218296333601067</v>
      </c>
      <c r="G99" s="87">
        <f>H142</f>
        <v>2.8682963336010681</v>
      </c>
      <c r="H99" s="599"/>
      <c r="I99" s="599"/>
      <c r="J99" s="600"/>
      <c r="K99" s="126"/>
      <c r="V99" s="332" t="str">
        <f t="shared" si="38"/>
        <v xml:space="preserve"> </v>
      </c>
      <c r="W99" s="149"/>
      <c r="X99" s="149"/>
      <c r="Y99" s="149"/>
      <c r="Z99" s="149"/>
      <c r="AA99" s="333" t="s">
        <v>21</v>
      </c>
      <c r="AB99" s="343"/>
      <c r="AC99" s="149"/>
      <c r="AD99" s="149"/>
      <c r="AE99" s="149"/>
      <c r="AF99" s="149"/>
      <c r="AG99" s="149"/>
    </row>
    <row r="100" spans="1:33" s="27" customFormat="1" ht="20.45" customHeight="1">
      <c r="A100" s="460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13.704070767962296</v>
      </c>
      <c r="G100" s="87">
        <f>H144</f>
        <v>2.3540707679622961</v>
      </c>
      <c r="H100" s="599"/>
      <c r="I100" s="599"/>
      <c r="J100" s="600"/>
      <c r="K100" s="126"/>
      <c r="V100" s="332" t="str">
        <f t="shared" si="38"/>
        <v xml:space="preserve"> </v>
      </c>
      <c r="W100" s="149"/>
      <c r="X100" s="149"/>
      <c r="Y100" s="149"/>
      <c r="Z100" s="149"/>
      <c r="AA100" s="333" t="s">
        <v>21</v>
      </c>
      <c r="AB100" s="343"/>
      <c r="AC100" s="149"/>
      <c r="AD100" s="149"/>
      <c r="AE100" s="149"/>
      <c r="AF100" s="149"/>
      <c r="AG100" s="149"/>
    </row>
    <row r="101" spans="1:33" s="27" customFormat="1" ht="20.45" customHeight="1" thickBot="1">
      <c r="A101" s="462"/>
      <c r="B101" s="463"/>
      <c r="C101" s="464">
        <f>$C$10+(D101+2880)/1440</f>
        <v>45728.680555555555</v>
      </c>
      <c r="D101" s="465">
        <v>360</v>
      </c>
      <c r="E101" s="466">
        <f t="shared" si="35"/>
        <v>0.25</v>
      </c>
      <c r="F101" s="467">
        <f t="shared" si="36"/>
        <v>13.282035095417495</v>
      </c>
      <c r="G101" s="468">
        <f>H146</f>
        <v>1.9320350954174961</v>
      </c>
      <c r="H101" s="601"/>
      <c r="I101" s="601"/>
      <c r="J101" s="602"/>
      <c r="K101" s="126"/>
      <c r="V101" s="332" t="str">
        <f t="shared" si="38"/>
        <v xml:space="preserve"> </v>
      </c>
      <c r="W101" s="149"/>
      <c r="X101" s="149"/>
      <c r="Y101" s="149"/>
      <c r="Z101" s="149"/>
      <c r="AA101" s="333" t="s">
        <v>21</v>
      </c>
      <c r="AB101" s="343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2" t="str">
        <f t="shared" si="38"/>
        <v xml:space="preserve"> </v>
      </c>
      <c r="W102" s="149"/>
      <c r="X102" s="149"/>
      <c r="Y102" s="149"/>
      <c r="Z102" s="149"/>
      <c r="AA102" s="333" t="s">
        <v>21</v>
      </c>
      <c r="AB102" s="343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2" t="str">
        <f t="shared" si="38"/>
        <v xml:space="preserve"> </v>
      </c>
      <c r="W103" s="149"/>
      <c r="X103" s="149"/>
      <c r="Y103" s="149"/>
      <c r="Z103" s="149"/>
      <c r="AA103" s="333"/>
      <c r="AB103" s="343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3"/>
      <c r="AB104" s="343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3"/>
      <c r="AB105" s="343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3"/>
      <c r="AB106" s="343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3"/>
      <c r="AB107" s="343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3"/>
      <c r="AB108" s="343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3"/>
      <c r="AB109" s="343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26.92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3"/>
      <c r="AB110" s="343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26.92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22.833437748981318</v>
      </c>
      <c r="I111" s="159"/>
      <c r="J111" s="149"/>
      <c r="K111" s="126"/>
      <c r="V111" s="149"/>
      <c r="W111" s="149"/>
      <c r="X111" s="149"/>
      <c r="Y111" s="149"/>
      <c r="Z111" s="149"/>
      <c r="AA111" s="333"/>
      <c r="AB111" s="343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26.92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20.685644233622224</v>
      </c>
      <c r="I112" s="159"/>
      <c r="J112" s="161">
        <f>H111-H112</f>
        <v>2.1477935153590941</v>
      </c>
      <c r="K112" s="126"/>
      <c r="V112" s="149"/>
      <c r="W112" s="149"/>
      <c r="X112" s="149"/>
      <c r="Y112" s="149"/>
      <c r="Z112" s="149"/>
      <c r="AA112" s="333"/>
      <c r="AB112" s="343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26.92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18.739879735327118</v>
      </c>
      <c r="I113" s="159"/>
      <c r="J113" s="161">
        <f t="shared" ref="J113:J146" si="43">H112-H113</f>
        <v>1.9457644982951052</v>
      </c>
      <c r="K113" s="126"/>
      <c r="V113" s="149"/>
      <c r="W113" s="149"/>
      <c r="X113" s="149"/>
      <c r="Y113" s="149"/>
      <c r="Z113" s="149"/>
      <c r="AA113" s="333"/>
      <c r="AB113" s="343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26.92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16.977140693723946</v>
      </c>
      <c r="I114" s="164"/>
      <c r="J114" s="161">
        <f t="shared" si="43"/>
        <v>1.7627390416031723</v>
      </c>
      <c r="K114" s="126"/>
      <c r="V114" s="149"/>
      <c r="W114" s="149"/>
      <c r="X114" s="149"/>
      <c r="Y114" s="149"/>
      <c r="Z114" s="149"/>
      <c r="AA114" s="333"/>
      <c r="AB114" s="343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26.92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15.380211090210949</v>
      </c>
      <c r="I115" s="164"/>
      <c r="J115" s="161">
        <f t="shared" si="43"/>
        <v>1.5969296035129972</v>
      </c>
      <c r="K115" s="126"/>
      <c r="V115" s="149"/>
      <c r="W115" s="149"/>
      <c r="X115" s="149"/>
      <c r="Y115" s="149"/>
      <c r="Z115" s="149"/>
      <c r="AA115" s="333"/>
      <c r="AB115" s="343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26.92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13.93349430548664</v>
      </c>
      <c r="I116" s="164"/>
      <c r="J116" s="161">
        <f t="shared" si="43"/>
        <v>1.446716784724309</v>
      </c>
      <c r="K116" s="126"/>
      <c r="V116" s="149"/>
      <c r="W116" s="149"/>
      <c r="X116" s="149"/>
      <c r="Y116" s="149"/>
      <c r="Z116" s="149"/>
      <c r="AA116" s="333"/>
      <c r="AB116" s="343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26.92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12.622860793152199</v>
      </c>
      <c r="I117" s="164"/>
      <c r="J117" s="161">
        <f t="shared" si="43"/>
        <v>1.3106335123344408</v>
      </c>
      <c r="K117" s="126"/>
      <c r="V117" s="149"/>
      <c r="W117" s="149"/>
      <c r="X117" s="149"/>
      <c r="Y117" s="149"/>
      <c r="Z117" s="149"/>
      <c r="AA117" s="333"/>
      <c r="AB117" s="343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26.92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11.435510081671076</v>
      </c>
      <c r="I118" s="164"/>
      <c r="J118" s="161">
        <f t="shared" si="43"/>
        <v>1.1873507114811233</v>
      </c>
      <c r="K118" s="126"/>
      <c r="V118" s="149"/>
      <c r="W118" s="149"/>
      <c r="X118" s="149"/>
      <c r="Y118" s="149"/>
      <c r="Z118" s="149"/>
      <c r="AA118" s="333"/>
      <c r="AB118" s="343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26.92</v>
      </c>
      <c r="E119" s="156">
        <f t="shared" si="41"/>
        <v>0.71</v>
      </c>
      <c r="F119" s="157"/>
      <c r="G119" s="149">
        <v>9</v>
      </c>
      <c r="H119" s="165">
        <f t="shared" si="39"/>
        <v>10.359845756909793</v>
      </c>
      <c r="I119" s="166"/>
      <c r="J119" s="161">
        <f t="shared" si="43"/>
        <v>1.0756643247612825</v>
      </c>
      <c r="K119" s="126"/>
      <c r="V119" s="149"/>
      <c r="W119" s="149"/>
      <c r="X119" s="149"/>
      <c r="Y119" s="149"/>
      <c r="Z119" s="149"/>
      <c r="AA119" s="333"/>
      <c r="AB119" s="343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26.92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9.3853622042610478</v>
      </c>
      <c r="I120" s="159"/>
      <c r="J120" s="161">
        <f t="shared" si="43"/>
        <v>0.97448355264874564</v>
      </c>
      <c r="K120" s="126"/>
      <c r="V120" s="149"/>
      <c r="W120" s="149"/>
      <c r="X120" s="149"/>
      <c r="Y120" s="149"/>
      <c r="Z120" s="149"/>
      <c r="AA120" s="333"/>
      <c r="AB120" s="343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26.92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8.5025420042012705</v>
      </c>
      <c r="I121" s="164"/>
      <c r="J121" s="161">
        <f t="shared" si="43"/>
        <v>0.88282020005977735</v>
      </c>
      <c r="K121" s="126"/>
      <c r="V121" s="149"/>
      <c r="W121" s="149"/>
      <c r="X121" s="149"/>
      <c r="Y121" s="149"/>
      <c r="Z121" s="149"/>
      <c r="AA121" s="333"/>
      <c r="AB121" s="343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26.92</v>
      </c>
      <c r="E122" s="156">
        <f t="shared" si="41"/>
        <v>0.62</v>
      </c>
      <c r="F122" s="157"/>
      <c r="G122" s="149">
        <v>14</v>
      </c>
      <c r="H122" s="158">
        <f t="shared" si="39"/>
        <v>7.7027629791831647</v>
      </c>
      <c r="I122" s="159"/>
      <c r="J122" s="161">
        <f t="shared" si="43"/>
        <v>0.79977902501810583</v>
      </c>
      <c r="K122" s="126"/>
      <c r="V122" s="149"/>
      <c r="W122" s="149"/>
      <c r="X122" s="149"/>
      <c r="Y122" s="149"/>
      <c r="Z122" s="149"/>
      <c r="AA122" s="333"/>
      <c r="AB122" s="343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26.92</v>
      </c>
      <c r="E123" s="156">
        <f t="shared" si="41"/>
        <v>0.37</v>
      </c>
      <c r="F123" s="157"/>
      <c r="G123" s="149">
        <v>15</v>
      </c>
      <c r="H123" s="158">
        <f t="shared" si="39"/>
        <v>3.3816431038285333</v>
      </c>
      <c r="I123" s="159"/>
      <c r="J123" s="161">
        <f t="shared" si="43"/>
        <v>4.3211198753546309</v>
      </c>
      <c r="K123" s="126"/>
      <c r="V123" s="149"/>
      <c r="W123" s="149"/>
      <c r="X123" s="149"/>
      <c r="Y123" s="149"/>
      <c r="Z123" s="149"/>
      <c r="AA123" s="333"/>
      <c r="AB123" s="343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26.92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7.960627178404037</v>
      </c>
      <c r="I124" s="164"/>
      <c r="J124" s="161">
        <f t="shared" si="43"/>
        <v>-4.5789840745755033</v>
      </c>
      <c r="K124" s="126"/>
      <c r="V124" s="149"/>
      <c r="W124" s="149"/>
      <c r="X124" s="149"/>
      <c r="Y124" s="149"/>
      <c r="Z124" s="149"/>
      <c r="AA124" s="333"/>
      <c r="AB124" s="343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26.92</v>
      </c>
      <c r="E125" s="156">
        <f t="shared" si="41"/>
        <v>0.6</v>
      </c>
      <c r="F125" s="157"/>
      <c r="G125" s="149">
        <v>18</v>
      </c>
      <c r="H125" s="158">
        <f t="shared" si="39"/>
        <v>7.2118225691318125</v>
      </c>
      <c r="I125" s="159"/>
      <c r="J125" s="161">
        <f t="shared" si="43"/>
        <v>0.74880460927222448</v>
      </c>
      <c r="K125" s="126"/>
      <c r="V125" s="149"/>
      <c r="W125" s="149"/>
      <c r="X125" s="149"/>
      <c r="Y125" s="149"/>
      <c r="Z125" s="149"/>
      <c r="AA125" s="333"/>
      <c r="AB125" s="343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26.92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6.5334531567732759</v>
      </c>
      <c r="I126" s="164"/>
      <c r="J126" s="161">
        <f t="shared" si="43"/>
        <v>0.67836941235853665</v>
      </c>
      <c r="K126" s="126"/>
      <c r="V126" s="149"/>
      <c r="W126" s="149"/>
      <c r="X126" s="149"/>
      <c r="Y126" s="149"/>
      <c r="Z126" s="149"/>
      <c r="AA126" s="333"/>
      <c r="AB126" s="343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26.92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5.9188935588149674</v>
      </c>
      <c r="I127" s="164"/>
      <c r="J127" s="161">
        <f t="shared" si="43"/>
        <v>0.6145595979583085</v>
      </c>
      <c r="K127" s="126"/>
      <c r="V127" s="149"/>
      <c r="W127" s="149"/>
      <c r="X127" s="149"/>
      <c r="Y127" s="149"/>
      <c r="Z127" s="149"/>
      <c r="AA127" s="333"/>
      <c r="AB127" s="343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26.92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5.3621415995402115</v>
      </c>
      <c r="I128" s="164"/>
      <c r="J128" s="161">
        <f t="shared" si="43"/>
        <v>0.55675195927475585</v>
      </c>
      <c r="K128" s="126"/>
      <c r="V128" s="149"/>
      <c r="W128" s="149"/>
      <c r="X128" s="149"/>
      <c r="Y128" s="149"/>
      <c r="Z128" s="149"/>
      <c r="AA128" s="333"/>
      <c r="AB128" s="343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26.92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5.1884487084291395</v>
      </c>
      <c r="I129" s="164"/>
      <c r="J129" s="161">
        <f t="shared" si="43"/>
        <v>0.173692891111072</v>
      </c>
      <c r="K129" s="126"/>
      <c r="V129" s="149"/>
      <c r="W129" s="149"/>
      <c r="X129" s="149"/>
      <c r="Y129" s="149"/>
      <c r="Z129" s="149"/>
      <c r="AA129" s="333"/>
      <c r="AB129" s="343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26.92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5.0203821552023769</v>
      </c>
      <c r="I130" s="164"/>
      <c r="J130" s="161">
        <f t="shared" si="43"/>
        <v>0.16806655322676267</v>
      </c>
      <c r="K130" s="126"/>
      <c r="V130" s="149"/>
      <c r="W130" s="149"/>
      <c r="X130" s="149"/>
      <c r="Y130" s="149"/>
      <c r="Z130" s="149"/>
      <c r="AA130" s="333"/>
      <c r="AB130" s="343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26.92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4.8577596890044861</v>
      </c>
      <c r="I131" s="164"/>
      <c r="J131" s="161">
        <f t="shared" si="43"/>
        <v>0.16262246619789078</v>
      </c>
      <c r="K131" s="126"/>
      <c r="V131" s="149"/>
      <c r="W131" s="149"/>
      <c r="X131" s="149"/>
      <c r="Y131" s="149"/>
      <c r="Z131" s="149"/>
      <c r="AA131" s="333"/>
      <c r="AB131" s="343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26.92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4.7004049625313247</v>
      </c>
      <c r="I132" s="164"/>
      <c r="J132" s="161">
        <f t="shared" si="43"/>
        <v>0.1573547264731614</v>
      </c>
      <c r="K132" s="126"/>
      <c r="V132" s="149"/>
      <c r="W132" s="149"/>
      <c r="X132" s="149"/>
      <c r="Y132" s="149"/>
      <c r="Z132" s="149"/>
      <c r="AA132" s="333"/>
      <c r="AB132" s="343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26.92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4.5481473407995727</v>
      </c>
      <c r="I133" s="164"/>
      <c r="J133" s="161">
        <f t="shared" si="43"/>
        <v>0.15225762173175195</v>
      </c>
      <c r="K133" s="126"/>
      <c r="V133" s="149"/>
      <c r="W133" s="149"/>
      <c r="X133" s="149"/>
      <c r="Y133" s="149"/>
      <c r="Z133" s="149"/>
      <c r="AA133" s="333"/>
      <c r="AB133" s="343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26.92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4.40082171611067</v>
      </c>
      <c r="I134" s="164"/>
      <c r="J134" s="161">
        <f t="shared" si="43"/>
        <v>0.14732562468890276</v>
      </c>
      <c r="K134" s="126"/>
      <c r="V134" s="149"/>
      <c r="W134" s="149"/>
      <c r="X134" s="149"/>
      <c r="Y134" s="149"/>
      <c r="Z134" s="149"/>
      <c r="AA134" s="333"/>
      <c r="AB134" s="343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26.92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4.2582683290085486</v>
      </c>
      <c r="I135" s="164"/>
      <c r="J135" s="161">
        <f t="shared" si="43"/>
        <v>0.1425533871021214</v>
      </c>
      <c r="K135" s="126"/>
      <c r="V135" s="149"/>
      <c r="W135" s="149"/>
      <c r="X135" s="149"/>
      <c r="Y135" s="149"/>
      <c r="Z135" s="149"/>
      <c r="AA135" s="333"/>
      <c r="AB135" s="343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26.92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4.1203325950369525</v>
      </c>
      <c r="I136" s="164"/>
      <c r="J136" s="161">
        <f t="shared" si="43"/>
        <v>0.13793573397159609</v>
      </c>
      <c r="K136" s="126"/>
      <c r="V136" s="149"/>
      <c r="W136" s="149"/>
      <c r="X136" s="149"/>
      <c r="Y136" s="149"/>
      <c r="Z136" s="149"/>
      <c r="AA136" s="333"/>
      <c r="AB136" s="343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26.92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3.9868649371085385</v>
      </c>
      <c r="I137" s="164"/>
      <c r="J137" s="161">
        <f t="shared" si="43"/>
        <v>0.13346765792841397</v>
      </c>
      <c r="K137" s="126"/>
      <c r="V137" s="149"/>
      <c r="W137" s="149"/>
      <c r="X137" s="149"/>
      <c r="Y137" s="149"/>
      <c r="Z137" s="149"/>
      <c r="AA137" s="333"/>
      <c r="AB137" s="343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26.92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3.6118463896313284</v>
      </c>
      <c r="I138" s="164"/>
      <c r="J138" s="161">
        <f t="shared" si="43"/>
        <v>0.37501854747721008</v>
      </c>
      <c r="K138" s="126"/>
      <c r="V138" s="149"/>
      <c r="W138" s="149"/>
      <c r="X138" s="149"/>
      <c r="Y138" s="149"/>
      <c r="Z138" s="149"/>
      <c r="AA138" s="333"/>
      <c r="AB138" s="343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26.92</v>
      </c>
      <c r="E139" s="156">
        <f t="shared" si="41"/>
        <v>0.36</v>
      </c>
      <c r="F139" s="157"/>
      <c r="G139" s="149">
        <v>150</v>
      </c>
      <c r="H139" s="158">
        <f t="shared" si="39"/>
        <v>3.2721034065814179</v>
      </c>
      <c r="I139" s="159"/>
      <c r="J139" s="161">
        <f t="shared" si="43"/>
        <v>0.33974298304991057</v>
      </c>
      <c r="K139" s="126"/>
      <c r="V139" s="149"/>
      <c r="W139" s="149"/>
      <c r="X139" s="149"/>
      <c r="Y139" s="149"/>
      <c r="Z139" s="149"/>
      <c r="AA139" s="333"/>
      <c r="AB139" s="343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26.92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3.4948498444975815</v>
      </c>
      <c r="I140" s="164"/>
      <c r="J140" s="161">
        <f t="shared" si="43"/>
        <v>-0.22274643791616366</v>
      </c>
      <c r="K140" s="126"/>
      <c r="V140" s="149"/>
      <c r="W140" s="149"/>
      <c r="X140" s="149"/>
      <c r="Y140" s="149"/>
      <c r="Z140" s="149"/>
      <c r="AA140" s="333"/>
      <c r="AB140" s="343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26.92</v>
      </c>
      <c r="E141" s="156">
        <f t="shared" si="41"/>
        <v>0.35</v>
      </c>
      <c r="F141" s="157"/>
      <c r="G141" s="149">
        <v>210</v>
      </c>
      <c r="H141" s="158">
        <f t="shared" si="39"/>
        <v>3.166111968244123</v>
      </c>
      <c r="I141" s="159"/>
      <c r="J141" s="161">
        <f t="shared" si="43"/>
        <v>0.32873787625345852</v>
      </c>
      <c r="K141" s="126"/>
      <c r="V141" s="149"/>
      <c r="W141" s="149"/>
      <c r="X141" s="149"/>
      <c r="Y141" s="149"/>
      <c r="Z141" s="149"/>
      <c r="AA141" s="333"/>
      <c r="AB141" s="343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26.92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2.8682963336010681</v>
      </c>
      <c r="I142" s="164"/>
      <c r="J142" s="161">
        <f t="shared" si="43"/>
        <v>0.29781563464305494</v>
      </c>
      <c r="K142" s="126"/>
      <c r="V142" s="149"/>
      <c r="W142" s="149"/>
      <c r="X142" s="149"/>
      <c r="Y142" s="149"/>
      <c r="Z142" s="149"/>
      <c r="AA142" s="333"/>
      <c r="AB142" s="343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26.92</v>
      </c>
      <c r="E143" s="156">
        <f>C143/100</f>
        <v>0.28999999999999998</v>
      </c>
      <c r="F143" s="157"/>
      <c r="G143" s="149">
        <v>270</v>
      </c>
      <c r="H143" s="158">
        <f t="shared" si="39"/>
        <v>2.5984942856938713</v>
      </c>
      <c r="I143" s="159"/>
      <c r="J143" s="161">
        <f t="shared" si="43"/>
        <v>0.26980204790719675</v>
      </c>
      <c r="K143" s="126"/>
      <c r="V143" s="149"/>
      <c r="W143" s="149"/>
      <c r="X143" s="149"/>
      <c r="Y143" s="149"/>
      <c r="Z143" s="149"/>
      <c r="AA143" s="333"/>
      <c r="AB143" s="343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26.92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2.3540707679622961</v>
      </c>
      <c r="I144" s="164"/>
      <c r="J144" s="161">
        <f t="shared" si="43"/>
        <v>0.24442351773157522</v>
      </c>
      <c r="K144" s="126"/>
      <c r="V144" s="149"/>
      <c r="W144" s="149"/>
      <c r="X144" s="149"/>
      <c r="Y144" s="149"/>
      <c r="Z144" s="149"/>
      <c r="AA144" s="333"/>
      <c r="AB144" s="343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26.92</v>
      </c>
      <c r="E145" s="156">
        <f>C145/100</f>
        <v>0.23</v>
      </c>
      <c r="F145" s="157"/>
      <c r="G145" s="149">
        <v>330</v>
      </c>
      <c r="H145" s="158">
        <f t="shared" si="39"/>
        <v>2.132638586540057</v>
      </c>
      <c r="I145" s="159"/>
      <c r="J145" s="161">
        <f t="shared" si="43"/>
        <v>0.22143218142223908</v>
      </c>
      <c r="K145" s="126"/>
      <c r="V145" s="149"/>
      <c r="W145" s="149"/>
      <c r="X145" s="149"/>
      <c r="Y145" s="149"/>
      <c r="Z145" s="149"/>
      <c r="AA145" s="333"/>
      <c r="AB145" s="343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26.92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1.9320350954174961</v>
      </c>
      <c r="I146" s="164"/>
      <c r="J146" s="161">
        <f t="shared" si="43"/>
        <v>0.20060349112256093</v>
      </c>
      <c r="K146" s="126"/>
      <c r="V146" s="149"/>
      <c r="W146" s="149"/>
      <c r="X146" s="149"/>
      <c r="Y146" s="149"/>
      <c r="Z146" s="149"/>
      <c r="AA146" s="333"/>
      <c r="AB146" s="343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3"/>
      <c r="AB147" s="343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3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3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3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3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3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3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3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3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3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3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3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3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3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3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3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3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3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3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3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3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3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3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3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3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3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3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3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3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3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3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3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3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3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3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3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3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3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3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3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3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3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3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3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3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3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3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3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3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3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3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3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3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3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3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3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3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3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3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3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3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3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3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3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3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3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3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3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3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3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3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3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3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3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3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3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3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3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3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3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3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3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3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3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3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3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3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3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3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3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3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3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3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3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3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3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3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3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3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3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3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3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3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3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3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3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3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3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3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3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3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3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3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3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3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3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3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3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3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3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3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3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3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3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3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3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3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3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3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3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3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3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3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3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3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3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3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3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3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3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3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3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3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3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3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3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3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3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3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3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3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3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3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3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3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3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3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3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3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3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3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3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3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3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3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3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3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3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3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3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3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3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3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3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3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3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3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3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3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3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3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3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3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3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3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3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3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3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3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3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3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3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3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3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3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3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3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3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3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3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3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3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3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3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3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3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3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3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3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3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3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3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3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3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3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3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3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3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3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3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3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3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3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3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3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3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3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3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3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3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3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3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3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3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3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3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3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3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3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3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3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3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3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3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3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3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3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3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3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3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3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3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3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3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3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3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3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3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3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3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3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3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3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3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3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3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3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3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3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3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3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3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3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3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3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3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3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3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3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3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3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3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3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3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3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3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3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3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3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3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3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3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3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3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3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3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3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3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3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3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3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3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3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3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3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3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3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3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3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3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3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3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3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3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3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3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3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3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3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3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3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3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3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3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3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3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3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3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3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3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3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3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3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3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3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3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3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3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3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3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3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3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3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3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3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3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3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3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3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3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3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3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3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3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3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3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3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3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3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3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3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3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3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3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3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3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3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3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3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3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3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3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3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3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3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3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3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3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3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3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3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3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3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3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3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3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3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3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3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3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3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3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3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3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3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3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3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3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3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3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3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3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3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3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3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3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3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3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3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3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3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3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3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3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3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3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3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3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3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3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3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3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3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3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3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3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3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3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3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3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3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3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3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3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3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3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3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3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3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3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3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3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3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3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3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3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3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3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3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3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3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3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3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3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3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3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3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3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3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3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3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3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3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3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3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3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3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3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3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3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3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3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3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3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3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3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3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3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3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3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3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3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3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3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3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3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3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3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3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3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3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3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3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3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3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3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3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3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3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3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3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3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3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3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3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3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3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3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3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3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3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3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3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3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3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3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3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3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3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3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3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3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3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3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3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3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3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3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3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3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3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3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3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3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3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3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3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3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3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3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3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3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3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3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3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3.97</v>
      </c>
      <c r="C38" s="60">
        <v>1</v>
      </c>
    </row>
    <row r="39" spans="1:3">
      <c r="A39" s="58">
        <f>Sheet1!A5</f>
        <v>5</v>
      </c>
      <c r="B39" s="59">
        <f>Sheet1!B5</f>
        <v>4.45</v>
      </c>
      <c r="C39" s="60">
        <v>1</v>
      </c>
    </row>
    <row r="40" spans="1:3">
      <c r="A40" s="58">
        <f>Sheet1!A6</f>
        <v>10</v>
      </c>
      <c r="B40" s="59">
        <f>Sheet1!B6</f>
        <v>5.93</v>
      </c>
      <c r="C40" s="60">
        <v>1</v>
      </c>
    </row>
    <row r="41" spans="1:3">
      <c r="A41" s="58">
        <f>Sheet1!A7</f>
        <v>15</v>
      </c>
      <c r="B41" s="59">
        <f>Sheet1!B7</f>
        <v>6.8</v>
      </c>
      <c r="C41" s="60">
        <v>1</v>
      </c>
    </row>
    <row r="42" spans="1:3">
      <c r="A42" s="58">
        <f>Sheet1!A8</f>
        <v>20</v>
      </c>
      <c r="B42" s="59">
        <f>Sheet1!B8</f>
        <v>7.42</v>
      </c>
      <c r="C42" s="60">
        <v>1</v>
      </c>
    </row>
    <row r="43" spans="1:3">
      <c r="A43" s="58">
        <f>Sheet1!A9</f>
        <v>25</v>
      </c>
      <c r="B43" s="59">
        <f>Sheet1!B9</f>
        <v>7.89</v>
      </c>
      <c r="C43" s="60">
        <v>1</v>
      </c>
    </row>
    <row r="44" spans="1:3">
      <c r="A44" s="58">
        <f>Sheet1!A10</f>
        <v>30</v>
      </c>
      <c r="B44" s="59">
        <f>Sheet1!B10</f>
        <v>8.2799999999999994</v>
      </c>
      <c r="C44" s="60">
        <v>1</v>
      </c>
    </row>
    <row r="45" spans="1:3">
      <c r="A45" s="58">
        <f>Sheet1!A11</f>
        <v>35</v>
      </c>
      <c r="B45" s="59">
        <f>Sheet1!B11</f>
        <v>8.6199999999999992</v>
      </c>
      <c r="C45" s="60">
        <v>1</v>
      </c>
    </row>
    <row r="46" spans="1:3">
      <c r="A46" s="58">
        <f>Sheet1!A12</f>
        <v>40</v>
      </c>
      <c r="B46" s="59">
        <f>Sheet1!B12</f>
        <v>8.9</v>
      </c>
      <c r="C46" s="60">
        <v>1</v>
      </c>
    </row>
    <row r="47" spans="1:3">
      <c r="A47" s="58">
        <f>Sheet1!A13</f>
        <v>45</v>
      </c>
      <c r="B47" s="59">
        <f>Sheet1!B13</f>
        <v>9.15</v>
      </c>
      <c r="C47" s="60">
        <v>1</v>
      </c>
    </row>
    <row r="48" spans="1:3">
      <c r="A48" s="58">
        <f>Sheet1!A14</f>
        <v>50</v>
      </c>
      <c r="B48" s="59">
        <f>Sheet1!B14</f>
        <v>9.3800000000000008</v>
      </c>
      <c r="C48" s="60">
        <v>1</v>
      </c>
    </row>
    <row r="49" spans="1:3">
      <c r="A49" s="58">
        <f>Sheet1!A15</f>
        <v>55</v>
      </c>
      <c r="B49" s="59">
        <f>Sheet1!B15</f>
        <v>9.58</v>
      </c>
      <c r="C49" s="60">
        <v>1</v>
      </c>
    </row>
    <row r="50" spans="1:3">
      <c r="A50" s="58">
        <f>Sheet1!A16</f>
        <v>60</v>
      </c>
      <c r="B50" s="59">
        <f>Sheet1!B16</f>
        <v>9.77</v>
      </c>
      <c r="C50" s="60">
        <v>1</v>
      </c>
    </row>
    <row r="51" spans="1:3">
      <c r="A51" s="58">
        <f>Sheet1!A17</f>
        <v>75</v>
      </c>
      <c r="B51" s="59">
        <f>Sheet1!B17</f>
        <v>10.25</v>
      </c>
      <c r="C51" s="60">
        <v>1</v>
      </c>
    </row>
    <row r="52" spans="1:3">
      <c r="A52" s="58">
        <f>Sheet1!A18</f>
        <v>90</v>
      </c>
      <c r="B52" s="59">
        <f>Sheet1!B18</f>
        <v>10.64</v>
      </c>
      <c r="C52" s="60">
        <v>1</v>
      </c>
    </row>
    <row r="53" spans="1:3">
      <c r="A53" s="58">
        <f>Sheet1!A19</f>
        <v>105</v>
      </c>
      <c r="B53" s="59">
        <f>Sheet1!B19</f>
        <v>10.97</v>
      </c>
      <c r="C53" s="60">
        <v>1</v>
      </c>
    </row>
    <row r="54" spans="1:3">
      <c r="A54" s="58">
        <f>Sheet1!A20</f>
        <v>120</v>
      </c>
      <c r="B54" s="59">
        <f>Sheet1!B20</f>
        <v>11.26</v>
      </c>
      <c r="C54" s="60">
        <v>1</v>
      </c>
    </row>
    <row r="55" spans="1:3">
      <c r="A55" s="58">
        <f>Sheet1!A21</f>
        <v>121</v>
      </c>
      <c r="B55" s="59">
        <f>Sheet1!B21</f>
        <v>11.42</v>
      </c>
      <c r="C55" s="60">
        <v>1</v>
      </c>
    </row>
    <row r="56" spans="1:3">
      <c r="A56" s="58">
        <f>Sheet1!A22</f>
        <v>122</v>
      </c>
      <c r="B56" s="59">
        <f>Sheet1!B22</f>
        <v>11.57</v>
      </c>
      <c r="C56" s="60">
        <v>1</v>
      </c>
    </row>
    <row r="57" spans="1:3">
      <c r="A57" s="58">
        <f>Sheet1!A23</f>
        <v>123</v>
      </c>
      <c r="B57" s="59">
        <f>Sheet1!B23</f>
        <v>11.71</v>
      </c>
      <c r="C57" s="60">
        <v>1</v>
      </c>
    </row>
    <row r="58" spans="1:3">
      <c r="A58" s="58">
        <f>Sheet1!A24</f>
        <v>124</v>
      </c>
      <c r="B58" s="59">
        <f>Sheet1!B24</f>
        <v>11.840000000000002</v>
      </c>
      <c r="C58" s="60">
        <v>1</v>
      </c>
    </row>
    <row r="59" spans="1:3">
      <c r="A59" s="58">
        <f>Sheet1!A25</f>
        <v>125</v>
      </c>
      <c r="B59" s="59">
        <f>Sheet1!B25</f>
        <v>11.970000000000002</v>
      </c>
      <c r="C59" s="60">
        <v>1</v>
      </c>
    </row>
    <row r="60" spans="1:3">
      <c r="A60" s="58">
        <f>Sheet1!A26</f>
        <v>130</v>
      </c>
      <c r="B60" s="59">
        <f>Sheet1!B26</f>
        <v>13.51</v>
      </c>
      <c r="C60" s="60">
        <v>1</v>
      </c>
    </row>
    <row r="61" spans="1:3">
      <c r="A61" s="58">
        <f>Sheet1!A27</f>
        <v>135</v>
      </c>
      <c r="B61" s="59">
        <f>Sheet1!B27</f>
        <v>13.62</v>
      </c>
      <c r="C61" s="60">
        <v>1</v>
      </c>
    </row>
    <row r="62" spans="1:3">
      <c r="A62" s="58">
        <f>Sheet1!A28</f>
        <v>140</v>
      </c>
      <c r="B62" s="59">
        <f>Sheet1!B28</f>
        <v>13.89</v>
      </c>
      <c r="C62" s="60">
        <v>1</v>
      </c>
    </row>
    <row r="63" spans="1:3">
      <c r="A63" s="58">
        <f>Sheet1!A29</f>
        <v>145</v>
      </c>
      <c r="B63" s="59">
        <f>Sheet1!B29</f>
        <v>13.99</v>
      </c>
      <c r="C63" s="60">
        <v>1</v>
      </c>
    </row>
    <row r="64" spans="1:3">
      <c r="A64" s="58">
        <f>Sheet1!A30</f>
        <v>150</v>
      </c>
      <c r="B64" s="59">
        <f>Sheet1!B30</f>
        <v>14.26</v>
      </c>
      <c r="C64" s="60">
        <v>1</v>
      </c>
    </row>
    <row r="65" spans="1:3">
      <c r="A65" s="58">
        <f>Sheet1!A31</f>
        <v>155</v>
      </c>
      <c r="B65" s="59">
        <f>Sheet1!B31</f>
        <v>14.32</v>
      </c>
      <c r="C65" s="60">
        <v>1</v>
      </c>
    </row>
    <row r="66" spans="1:3">
      <c r="A66" s="58">
        <f>Sheet1!A32</f>
        <v>160</v>
      </c>
      <c r="B66" s="59">
        <f>Sheet1!B32</f>
        <v>14.370000000000001</v>
      </c>
      <c r="C66" s="60">
        <v>1</v>
      </c>
    </row>
    <row r="67" spans="1:3">
      <c r="A67" s="58">
        <f>Sheet1!A33</f>
        <v>165</v>
      </c>
      <c r="B67" s="59">
        <f>Sheet1!B33</f>
        <v>14.41</v>
      </c>
      <c r="C67" s="60">
        <v>1</v>
      </c>
    </row>
    <row r="68" spans="1:3">
      <c r="A68" s="58">
        <f>Sheet1!A34</f>
        <v>170</v>
      </c>
      <c r="B68" s="59">
        <f>Sheet1!B34</f>
        <v>14.44</v>
      </c>
      <c r="C68" s="60">
        <v>1</v>
      </c>
    </row>
    <row r="69" spans="1:3">
      <c r="A69" s="58">
        <f>Sheet1!A35</f>
        <v>175</v>
      </c>
      <c r="B69" s="59">
        <f>Sheet1!B35</f>
        <v>14.459999999999999</v>
      </c>
      <c r="C69" s="60">
        <v>1</v>
      </c>
    </row>
    <row r="70" spans="1:3">
      <c r="A70" s="58">
        <f>Sheet1!A36</f>
        <v>180</v>
      </c>
      <c r="B70" s="59">
        <f>Sheet1!B36</f>
        <v>14.64</v>
      </c>
      <c r="C70" s="60">
        <v>1</v>
      </c>
    </row>
    <row r="71" spans="1:3">
      <c r="A71" s="58">
        <f>Sheet1!A37</f>
        <v>195</v>
      </c>
      <c r="B71" s="59">
        <f>Sheet1!B37</f>
        <v>14.71</v>
      </c>
      <c r="C71" s="60">
        <v>1</v>
      </c>
    </row>
    <row r="72" spans="1:3">
      <c r="A72" s="58">
        <f>Sheet1!A38</f>
        <v>210</v>
      </c>
      <c r="B72" s="59">
        <f>Sheet1!B38</f>
        <v>14.770000000000001</v>
      </c>
      <c r="C72" s="60">
        <v>1</v>
      </c>
    </row>
    <row r="73" spans="1:3">
      <c r="A73" s="58">
        <f>Sheet1!A39</f>
        <v>225</v>
      </c>
      <c r="B73" s="59">
        <f>Sheet1!B39</f>
        <v>14.820000000000002</v>
      </c>
      <c r="C73" s="60">
        <v>1</v>
      </c>
    </row>
    <row r="74" spans="1:3">
      <c r="A74" s="58">
        <f>Sheet1!A40</f>
        <v>240</v>
      </c>
      <c r="B74" s="59">
        <f>Sheet1!B40</f>
        <v>15.02</v>
      </c>
      <c r="C74" s="60">
        <v>1</v>
      </c>
    </row>
    <row r="75" spans="1:3">
      <c r="A75" s="58">
        <f>Sheet1!A41</f>
        <v>241</v>
      </c>
      <c r="B75" s="59">
        <f>Sheet1!B41</f>
        <v>15.2</v>
      </c>
      <c r="C75" s="60">
        <v>1</v>
      </c>
    </row>
    <row r="76" spans="1:3">
      <c r="A76" s="58">
        <f>Sheet1!A42</f>
        <v>242</v>
      </c>
      <c r="B76" s="59">
        <f>Sheet1!B42</f>
        <v>15.36</v>
      </c>
      <c r="C76" s="60">
        <v>1</v>
      </c>
    </row>
    <row r="77" spans="1:3">
      <c r="A77" s="58">
        <f>Sheet1!A43</f>
        <v>243</v>
      </c>
      <c r="B77" s="59">
        <f>Sheet1!B43</f>
        <v>15.51</v>
      </c>
      <c r="C77" s="60">
        <v>1</v>
      </c>
    </row>
    <row r="78" spans="1:3">
      <c r="A78" s="58">
        <f>Sheet1!A44</f>
        <v>244</v>
      </c>
      <c r="B78" s="59">
        <f>Sheet1!B44</f>
        <v>15.65</v>
      </c>
      <c r="C78" s="60">
        <v>1</v>
      </c>
    </row>
    <row r="79" spans="1:3">
      <c r="A79" s="58">
        <f>Sheet1!A45</f>
        <v>245</v>
      </c>
      <c r="B79" s="59">
        <f>Sheet1!B45</f>
        <v>15.780000000000001</v>
      </c>
      <c r="C79" s="60">
        <v>1</v>
      </c>
    </row>
    <row r="80" spans="1:3">
      <c r="A80" s="58">
        <f>Sheet1!A46</f>
        <v>250</v>
      </c>
      <c r="B80" s="59">
        <f>Sheet1!B46</f>
        <v>17.55</v>
      </c>
      <c r="C80" s="60">
        <v>1</v>
      </c>
    </row>
    <row r="81" spans="1:3">
      <c r="A81" s="58">
        <f>Sheet1!A47</f>
        <v>255</v>
      </c>
      <c r="B81" s="59">
        <f>Sheet1!B47</f>
        <v>17.66</v>
      </c>
      <c r="C81" s="60">
        <v>1</v>
      </c>
    </row>
    <row r="82" spans="1:3">
      <c r="A82" s="58">
        <f>Sheet1!A48</f>
        <v>260</v>
      </c>
      <c r="B82" s="59">
        <f>Sheet1!B48</f>
        <v>17.97</v>
      </c>
      <c r="C82" s="60">
        <v>1</v>
      </c>
    </row>
    <row r="83" spans="1:3">
      <c r="A83" s="58">
        <f>Sheet1!A49</f>
        <v>265</v>
      </c>
      <c r="B83" s="59">
        <f>Sheet1!B49</f>
        <v>18.079999999999998</v>
      </c>
      <c r="C83" s="60">
        <v>1</v>
      </c>
    </row>
    <row r="84" spans="1:3">
      <c r="A84" s="58">
        <f>Sheet1!A50</f>
        <v>270</v>
      </c>
      <c r="B84" s="59">
        <f>Sheet1!B50</f>
        <v>18.39</v>
      </c>
      <c r="C84" s="60">
        <v>1</v>
      </c>
    </row>
    <row r="85" spans="1:3">
      <c r="A85" s="58">
        <f>Sheet1!A51</f>
        <v>275</v>
      </c>
      <c r="B85" s="59">
        <f>Sheet1!B51</f>
        <v>18.46</v>
      </c>
      <c r="C85" s="60">
        <v>1</v>
      </c>
    </row>
    <row r="86" spans="1:3">
      <c r="A86" s="58">
        <f>Sheet1!A52</f>
        <v>280</v>
      </c>
      <c r="B86" s="59">
        <f>Sheet1!B52</f>
        <v>18.510000000000002</v>
      </c>
      <c r="C86" s="60">
        <v>1</v>
      </c>
    </row>
    <row r="87" spans="1:3">
      <c r="A87" s="58">
        <f>Sheet1!A53</f>
        <v>285</v>
      </c>
      <c r="B87" s="59">
        <f>Sheet1!B53</f>
        <v>18.55</v>
      </c>
      <c r="C87" s="60">
        <v>1</v>
      </c>
    </row>
    <row r="88" spans="1:3">
      <c r="A88" s="58">
        <f>Sheet1!A54</f>
        <v>290</v>
      </c>
      <c r="B88" s="59">
        <f>Sheet1!B54</f>
        <v>18.580000000000002</v>
      </c>
      <c r="C88" s="60">
        <v>1</v>
      </c>
    </row>
    <row r="89" spans="1:3">
      <c r="A89" s="58">
        <f>Sheet1!A55</f>
        <v>295</v>
      </c>
      <c r="B89" s="59">
        <f>Sheet1!B55</f>
        <v>18.600000000000001</v>
      </c>
      <c r="C89" s="60">
        <v>1</v>
      </c>
    </row>
    <row r="90" spans="1:3">
      <c r="A90" s="58">
        <f>Sheet1!A56</f>
        <v>300</v>
      </c>
      <c r="B90" s="59">
        <f>Sheet1!B56</f>
        <v>18.809999999999999</v>
      </c>
      <c r="C90" s="60">
        <v>1</v>
      </c>
    </row>
    <row r="91" spans="1:3">
      <c r="A91" s="58">
        <f>Sheet1!A57</f>
        <v>315</v>
      </c>
      <c r="B91" s="59">
        <f>Sheet1!B57</f>
        <v>18.889999999999997</v>
      </c>
      <c r="C91" s="60">
        <v>1</v>
      </c>
    </row>
    <row r="92" spans="1:3">
      <c r="A92" s="58">
        <f>Sheet1!A58</f>
        <v>330</v>
      </c>
      <c r="B92" s="59">
        <f>Sheet1!B58</f>
        <v>18.949999999999996</v>
      </c>
      <c r="C92" s="60">
        <v>1</v>
      </c>
    </row>
    <row r="93" spans="1:3">
      <c r="A93" s="58">
        <f>Sheet1!A59</f>
        <v>345</v>
      </c>
      <c r="B93" s="59">
        <f>Sheet1!B59</f>
        <v>18.999999999999996</v>
      </c>
      <c r="C93" s="60">
        <v>1</v>
      </c>
    </row>
    <row r="94" spans="1:3">
      <c r="A94" s="58">
        <f>Sheet1!A60</f>
        <v>360</v>
      </c>
      <c r="B94" s="59">
        <f>Sheet1!B60</f>
        <v>19.239999999999998</v>
      </c>
      <c r="C94" s="60">
        <v>1</v>
      </c>
    </row>
    <row r="95" spans="1:3">
      <c r="A95" s="58">
        <f>Sheet1!A61</f>
        <v>361</v>
      </c>
      <c r="B95" s="59">
        <f>Sheet1!B61</f>
        <v>19.43</v>
      </c>
      <c r="C95" s="60">
        <v>1</v>
      </c>
    </row>
    <row r="96" spans="1:3">
      <c r="A96" s="58">
        <f>Sheet1!A62</f>
        <v>362</v>
      </c>
      <c r="B96" s="59">
        <f>Sheet1!B62</f>
        <v>19.600000000000001</v>
      </c>
      <c r="C96" s="60">
        <v>1</v>
      </c>
    </row>
    <row r="97" spans="1:3">
      <c r="A97" s="58">
        <f>Sheet1!A63</f>
        <v>363</v>
      </c>
      <c r="B97" s="59">
        <f>Sheet1!B63</f>
        <v>19.760000000000002</v>
      </c>
      <c r="C97" s="60">
        <v>1</v>
      </c>
    </row>
    <row r="98" spans="1:3">
      <c r="A98" s="58">
        <f>Sheet1!A64</f>
        <v>364</v>
      </c>
      <c r="B98" s="59">
        <f>Sheet1!B64</f>
        <v>19.91</v>
      </c>
      <c r="C98" s="60">
        <v>1</v>
      </c>
    </row>
    <row r="99" spans="1:3">
      <c r="A99" s="58">
        <f>Sheet1!A65</f>
        <v>365</v>
      </c>
      <c r="B99" s="59">
        <f>Sheet1!B65</f>
        <v>20.05</v>
      </c>
      <c r="C99" s="60">
        <v>1</v>
      </c>
    </row>
    <row r="100" spans="1:3">
      <c r="A100" s="58">
        <f>Sheet1!A66</f>
        <v>370</v>
      </c>
      <c r="B100" s="59">
        <f>Sheet1!B66</f>
        <v>22.06</v>
      </c>
      <c r="C100" s="60">
        <v>1</v>
      </c>
    </row>
    <row r="101" spans="1:3">
      <c r="A101" s="58">
        <f>Sheet1!A67</f>
        <v>375</v>
      </c>
      <c r="B101" s="59">
        <f>Sheet1!B67</f>
        <v>22.18</v>
      </c>
      <c r="C101" s="60">
        <v>1</v>
      </c>
    </row>
    <row r="102" spans="1:3">
      <c r="A102" s="58">
        <f>Sheet1!A68</f>
        <v>380</v>
      </c>
      <c r="B102" s="59">
        <f>Sheet1!B68</f>
        <v>22.53</v>
      </c>
      <c r="C102" s="60">
        <v>1</v>
      </c>
    </row>
    <row r="103" spans="1:3">
      <c r="A103" s="58">
        <f>Sheet1!A69</f>
        <v>385</v>
      </c>
      <c r="B103" s="59">
        <f>Sheet1!B69</f>
        <v>22.650000000000002</v>
      </c>
      <c r="C103" s="60">
        <v>1</v>
      </c>
    </row>
    <row r="104" spans="1:3">
      <c r="A104" s="58">
        <f>Sheet1!A70</f>
        <v>390</v>
      </c>
      <c r="B104" s="59">
        <f>Sheet1!B70</f>
        <v>23</v>
      </c>
      <c r="C104" s="60">
        <v>1</v>
      </c>
    </row>
    <row r="105" spans="1:3">
      <c r="A105" s="58">
        <f>Sheet1!A71</f>
        <v>395</v>
      </c>
      <c r="B105" s="59">
        <f>Sheet1!B71</f>
        <v>23.07</v>
      </c>
      <c r="C105" s="60">
        <v>1</v>
      </c>
    </row>
    <row r="106" spans="1:3">
      <c r="A106" s="58">
        <f>Sheet1!A72</f>
        <v>400</v>
      </c>
      <c r="B106" s="59">
        <f>Sheet1!B72</f>
        <v>23.12</v>
      </c>
      <c r="C106" s="60">
        <v>1</v>
      </c>
    </row>
    <row r="107" spans="1:3">
      <c r="A107" s="58">
        <f>Sheet1!A73</f>
        <v>405</v>
      </c>
      <c r="B107" s="59">
        <f>Sheet1!B73</f>
        <v>23.16</v>
      </c>
      <c r="C107" s="60">
        <v>1</v>
      </c>
    </row>
    <row r="108" spans="1:3">
      <c r="A108" s="58">
        <f>Sheet1!A74</f>
        <v>410</v>
      </c>
      <c r="B108" s="59">
        <f>Sheet1!B74</f>
        <v>23.19</v>
      </c>
      <c r="C108" s="60">
        <v>1</v>
      </c>
    </row>
    <row r="109" spans="1:3">
      <c r="A109" s="58">
        <f>Sheet1!A75</f>
        <v>415</v>
      </c>
      <c r="B109" s="59">
        <f>Sheet1!B75</f>
        <v>23.220000000000002</v>
      </c>
      <c r="C109" s="60">
        <v>1</v>
      </c>
    </row>
    <row r="110" spans="1:3">
      <c r="A110" s="58">
        <f>Sheet1!A76</f>
        <v>420</v>
      </c>
      <c r="B110" s="59">
        <f>Sheet1!B76</f>
        <v>23.47</v>
      </c>
      <c r="C110" s="60">
        <v>1</v>
      </c>
    </row>
    <row r="111" spans="1:3">
      <c r="A111" s="58">
        <f>Sheet1!A77</f>
        <v>435</v>
      </c>
      <c r="B111" s="59">
        <f>Sheet1!B77</f>
        <v>23.56</v>
      </c>
      <c r="C111" s="60">
        <v>1</v>
      </c>
    </row>
    <row r="112" spans="1:3">
      <c r="A112" s="58">
        <f>Sheet1!A78</f>
        <v>450</v>
      </c>
      <c r="B112" s="59">
        <f>Sheet1!B78</f>
        <v>23.63</v>
      </c>
      <c r="C112" s="60">
        <v>1</v>
      </c>
    </row>
    <row r="113" spans="1:3">
      <c r="A113" s="58">
        <f>Sheet1!A79</f>
        <v>465</v>
      </c>
      <c r="B113" s="59">
        <f>Sheet1!B79</f>
        <v>23.68</v>
      </c>
      <c r="C113" s="60">
        <v>1</v>
      </c>
    </row>
    <row r="114" spans="1:3">
      <c r="A114" s="58">
        <f>Sheet1!A80</f>
        <v>480</v>
      </c>
      <c r="B114" s="59">
        <f>Sheet1!B80</f>
        <v>23.95</v>
      </c>
      <c r="C114" s="60">
        <v>1</v>
      </c>
    </row>
    <row r="115" spans="1:3">
      <c r="A115" s="58">
        <f>Sheet1!A81</f>
        <v>481</v>
      </c>
      <c r="B115" s="59">
        <f>Sheet1!B81</f>
        <v>24.16</v>
      </c>
      <c r="C115" s="60">
        <v>1</v>
      </c>
    </row>
    <row r="116" spans="1:3">
      <c r="A116" s="58">
        <f>Sheet1!A82</f>
        <v>482</v>
      </c>
      <c r="B116" s="59">
        <f>Sheet1!B82</f>
        <v>24.35</v>
      </c>
      <c r="C116" s="60">
        <v>1</v>
      </c>
    </row>
    <row r="117" spans="1:3">
      <c r="A117" s="58">
        <f>Sheet1!A83</f>
        <v>483</v>
      </c>
      <c r="B117" s="59">
        <f>Sheet1!B83</f>
        <v>24.520000000000003</v>
      </c>
      <c r="C117" s="60">
        <v>1</v>
      </c>
    </row>
    <row r="118" spans="1:3">
      <c r="A118" s="58">
        <f>Sheet1!A84</f>
        <v>484</v>
      </c>
      <c r="B118" s="59">
        <f>Sheet1!B84</f>
        <v>24.680000000000003</v>
      </c>
      <c r="C118" s="60">
        <v>1</v>
      </c>
    </row>
    <row r="119" spans="1:3">
      <c r="A119" s="58">
        <f>Sheet1!A85</f>
        <v>485</v>
      </c>
      <c r="B119" s="59">
        <f>Sheet1!B85</f>
        <v>24.820000000000004</v>
      </c>
      <c r="C119" s="60">
        <v>1</v>
      </c>
    </row>
    <row r="120" spans="1:3">
      <c r="A120" s="58">
        <f>Sheet1!A86</f>
        <v>490</v>
      </c>
      <c r="B120" s="59">
        <f>Sheet1!B86</f>
        <v>26.82</v>
      </c>
      <c r="C120" s="60">
        <v>1</v>
      </c>
    </row>
    <row r="121" spans="1:3">
      <c r="A121" s="58">
        <f>Sheet1!A87</f>
        <v>495</v>
      </c>
      <c r="B121" s="59">
        <f>Sheet1!B87</f>
        <v>27.13</v>
      </c>
      <c r="C121" s="60">
        <v>1</v>
      </c>
    </row>
    <row r="122" spans="1:3">
      <c r="A122" s="58">
        <f>Sheet1!A88</f>
        <v>500</v>
      </c>
      <c r="B122" s="59">
        <f>Sheet1!B88</f>
        <v>27.89</v>
      </c>
      <c r="C122" s="60">
        <v>1</v>
      </c>
    </row>
    <row r="123" spans="1:3">
      <c r="A123" s="58">
        <f>Sheet1!A89</f>
        <v>505</v>
      </c>
      <c r="B123" s="59">
        <f>Sheet1!B89</f>
        <v>28.19</v>
      </c>
      <c r="C123" s="60">
        <v>1</v>
      </c>
    </row>
    <row r="124" spans="1:3">
      <c r="A124" s="58">
        <f>Sheet1!A90</f>
        <v>510</v>
      </c>
      <c r="B124" s="59">
        <f>Sheet1!B90</f>
        <v>28.97</v>
      </c>
      <c r="C124" s="60">
        <v>1</v>
      </c>
    </row>
    <row r="125" spans="1:3">
      <c r="A125" s="58">
        <f>Sheet1!A91</f>
        <v>515</v>
      </c>
      <c r="B125" s="59">
        <f>Sheet1!B91</f>
        <v>29.119999999999997</v>
      </c>
      <c r="C125" s="60">
        <v>1</v>
      </c>
    </row>
    <row r="126" spans="1:3">
      <c r="A126" s="58">
        <f>Sheet1!A92</f>
        <v>520</v>
      </c>
      <c r="B126" s="59">
        <f>Sheet1!B92</f>
        <v>29.249999999999996</v>
      </c>
      <c r="C126" s="60">
        <v>1</v>
      </c>
    </row>
    <row r="127" spans="1:3">
      <c r="A127" s="58">
        <f>Sheet1!A93</f>
        <v>525</v>
      </c>
      <c r="B127" s="59">
        <f>Sheet1!B93</f>
        <v>29.359999999999996</v>
      </c>
      <c r="C127" s="60">
        <v>1</v>
      </c>
    </row>
    <row r="128" spans="1:3">
      <c r="A128" s="58">
        <f>Sheet1!A94</f>
        <v>530</v>
      </c>
      <c r="B128" s="59">
        <f>Sheet1!B94</f>
        <v>29.439999999999994</v>
      </c>
      <c r="C128" s="60">
        <v>1</v>
      </c>
    </row>
    <row r="129" spans="1:3">
      <c r="A129" s="58">
        <f>Sheet1!A95</f>
        <v>535</v>
      </c>
      <c r="B129" s="59">
        <f>Sheet1!B95</f>
        <v>29.509999999999994</v>
      </c>
      <c r="C129" s="60">
        <v>1</v>
      </c>
    </row>
    <row r="130" spans="1:3">
      <c r="A130" s="58">
        <f>Sheet1!A96</f>
        <v>540</v>
      </c>
      <c r="B130" s="59">
        <f>Sheet1!B96</f>
        <v>30.05</v>
      </c>
      <c r="C130" s="60">
        <v>1</v>
      </c>
    </row>
    <row r="131" spans="1:3">
      <c r="A131" s="58">
        <f>Sheet1!A97</f>
        <v>555</v>
      </c>
      <c r="B131" s="59">
        <f>Sheet1!B97</f>
        <v>30.240000000000002</v>
      </c>
      <c r="C131" s="60">
        <v>1</v>
      </c>
    </row>
    <row r="132" spans="1:3">
      <c r="A132" s="58">
        <f>Sheet1!A98</f>
        <v>570</v>
      </c>
      <c r="B132" s="59">
        <f>Sheet1!B98</f>
        <v>30.400000000000002</v>
      </c>
      <c r="C132" s="60">
        <v>1</v>
      </c>
    </row>
    <row r="133" spans="1:3">
      <c r="A133" s="58">
        <f>Sheet1!A99</f>
        <v>585</v>
      </c>
      <c r="B133" s="59">
        <f>Sheet1!B99</f>
        <v>30.540000000000003</v>
      </c>
      <c r="C133" s="60">
        <v>1</v>
      </c>
    </row>
    <row r="134" spans="1:3">
      <c r="A134" s="58">
        <f>Sheet1!A100</f>
        <v>600</v>
      </c>
      <c r="B134" s="59">
        <f>Sheet1!B100</f>
        <v>31.13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opLeftCell="A16" zoomScaleNormal="100" workbookViewId="0">
      <selection activeCell="B57" sqref="B5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2.3170000000000002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2.8236119197465186</v>
      </c>
      <c r="C31" s="60">
        <v>1</v>
      </c>
    </row>
    <row r="32" spans="1:3">
      <c r="A32" s="58">
        <f>LongTest!D11</f>
        <v>2</v>
      </c>
      <c r="B32" s="62">
        <f>LongTest!G11</f>
        <v>5.4783301766738397</v>
      </c>
      <c r="C32" s="60">
        <v>1</v>
      </c>
    </row>
    <row r="33" spans="1:3">
      <c r="A33" s="58">
        <f>LongTest!D12</f>
        <v>3</v>
      </c>
      <c r="B33" s="62">
        <f>LongTest!G12</f>
        <v>7.0312408069561521</v>
      </c>
      <c r="C33" s="60">
        <v>1</v>
      </c>
    </row>
    <row r="34" spans="1:3">
      <c r="A34" s="58">
        <f>LongTest!D13</f>
        <v>4</v>
      </c>
      <c r="B34" s="62">
        <f>LongTest!G13</f>
        <v>8.1330484336011573</v>
      </c>
      <c r="C34" s="60">
        <v>1</v>
      </c>
    </row>
    <row r="35" spans="1:3">
      <c r="A35" s="58">
        <f>LongTest!D14</f>
        <v>5</v>
      </c>
      <c r="B35" s="62">
        <f>LongTest!G14</f>
        <v>8.9876768245164662</v>
      </c>
      <c r="C35" s="60">
        <v>1</v>
      </c>
    </row>
    <row r="36" spans="1:3">
      <c r="A36" s="58">
        <f>LongTest!D15</f>
        <v>10</v>
      </c>
      <c r="B36" s="62">
        <f>LongTest!G15</f>
        <v>11.642395081443787</v>
      </c>
      <c r="C36" s="60">
        <v>1</v>
      </c>
    </row>
    <row r="37" spans="1:3">
      <c r="A37" s="58">
        <f>LongTest!D16</f>
        <v>15</v>
      </c>
      <c r="B37" s="62">
        <f>LongTest!G16</f>
        <v>13.1953057117261</v>
      </c>
      <c r="C37" s="60">
        <v>1</v>
      </c>
    </row>
    <row r="38" spans="1:3">
      <c r="A38" s="58">
        <f>LongTest!D17</f>
        <v>20</v>
      </c>
      <c r="B38" s="62">
        <f>LongTest!G17</f>
        <v>14.297113338371105</v>
      </c>
      <c r="C38" s="60">
        <v>1</v>
      </c>
    </row>
    <row r="39" spans="1:3">
      <c r="A39" s="58">
        <f>LongTest!D18</f>
        <v>25</v>
      </c>
      <c r="B39" s="62">
        <f>LongTest!G18</f>
        <v>15.151741729286421</v>
      </c>
      <c r="C39" s="60">
        <v>1</v>
      </c>
    </row>
    <row r="40" spans="1:3">
      <c r="A40" s="58">
        <f>LongTest!D19</f>
        <v>30</v>
      </c>
      <c r="B40" s="62">
        <f>LongTest!G19</f>
        <v>15.850023968653417</v>
      </c>
      <c r="C40" s="60">
        <v>1</v>
      </c>
    </row>
    <row r="41" spans="1:3">
      <c r="A41" s="58">
        <f>LongTest!D20</f>
        <v>35</v>
      </c>
      <c r="B41" s="62">
        <f>LongTest!G20</f>
        <v>16.440413189777566</v>
      </c>
      <c r="C41" s="60">
        <v>1</v>
      </c>
    </row>
    <row r="42" spans="1:3">
      <c r="A42" s="58">
        <f>LongTest!D21</f>
        <v>40</v>
      </c>
      <c r="B42" s="62">
        <f>LongTest!G21</f>
        <v>16.951831595298422</v>
      </c>
      <c r="C42" s="60">
        <v>1</v>
      </c>
    </row>
    <row r="43" spans="1:3">
      <c r="A43" s="58">
        <f>LongTest!D22</f>
        <v>45</v>
      </c>
      <c r="B43" s="62">
        <f>LongTest!G22</f>
        <v>17.40293459893573</v>
      </c>
      <c r="C43" s="60">
        <v>1</v>
      </c>
    </row>
    <row r="44" spans="1:3">
      <c r="A44" s="58">
        <f>LongTest!D23</f>
        <v>50</v>
      </c>
      <c r="B44" s="62">
        <f>LongTest!G23</f>
        <v>17.806459986213738</v>
      </c>
      <c r="C44" s="60">
        <v>1</v>
      </c>
    </row>
    <row r="45" spans="1:3">
      <c r="A45" s="58">
        <f>LongTest!D24</f>
        <v>55</v>
      </c>
      <c r="B45" s="62">
        <f>LongTest!G24</f>
        <v>18.171493101104524</v>
      </c>
      <c r="C45" s="60">
        <v>1</v>
      </c>
    </row>
    <row r="46" spans="1:3">
      <c r="A46" s="58">
        <f>LongTest!D25</f>
        <v>60</v>
      </c>
      <c r="B46" s="62">
        <f>LongTest!G25</f>
        <v>18.504742225580735</v>
      </c>
      <c r="C46" s="60">
        <v>1</v>
      </c>
    </row>
    <row r="47" spans="1:3">
      <c r="A47" s="58">
        <f>LongTest!D26</f>
        <v>75</v>
      </c>
      <c r="B47" s="62">
        <f>LongTest!G26</f>
        <v>19.359370616496051</v>
      </c>
      <c r="C47" s="60">
        <v>1</v>
      </c>
    </row>
    <row r="48" spans="1:3">
      <c r="A48" s="58">
        <f>LongTest!D27</f>
        <v>90</v>
      </c>
      <c r="B48" s="62">
        <f>LongTest!G27</f>
        <v>20.057652855863047</v>
      </c>
      <c r="C48" s="60">
        <v>1</v>
      </c>
    </row>
    <row r="49" spans="1:3">
      <c r="A49" s="58">
        <f>LongTest!D28</f>
        <v>105</v>
      </c>
      <c r="B49" s="62">
        <f>LongTest!G28</f>
        <v>20.648042076987188</v>
      </c>
      <c r="C49" s="60">
        <v>1</v>
      </c>
    </row>
    <row r="50" spans="1:3">
      <c r="A50" s="58">
        <f>LongTest!D29</f>
        <v>120</v>
      </c>
      <c r="B50" s="62">
        <f>LongTest!G29</f>
        <v>21.159460482508052</v>
      </c>
      <c r="C50" s="60">
        <v>1</v>
      </c>
    </row>
    <row r="51" spans="1:3">
      <c r="A51" s="58">
        <f>LongTest!D30</f>
        <v>140</v>
      </c>
      <c r="B51" s="62">
        <f>LongTest!G30</f>
        <v>21.749849703632194</v>
      </c>
      <c r="C51" s="60">
        <v>1</v>
      </c>
    </row>
    <row r="52" spans="1:3">
      <c r="A52" s="58">
        <f>LongTest!D31</f>
        <v>160</v>
      </c>
      <c r="B52" s="62">
        <f>LongTest!G31</f>
        <v>22.261268109153058</v>
      </c>
      <c r="C52" s="60">
        <v>1</v>
      </c>
    </row>
    <row r="53" spans="1:3">
      <c r="A53" s="58">
        <f>LongTest!D32</f>
        <v>180</v>
      </c>
      <c r="B53" s="62">
        <f>LongTest!G32</f>
        <v>22.712371112790365</v>
      </c>
      <c r="C53" s="60">
        <v>1</v>
      </c>
    </row>
    <row r="54" spans="1:3">
      <c r="A54" s="58">
        <f>LongTest!D33</f>
        <v>240</v>
      </c>
      <c r="B54" s="62">
        <f>LongTest!G33</f>
        <v>23.81417873943537</v>
      </c>
      <c r="C54" s="60">
        <v>1</v>
      </c>
    </row>
    <row r="55" spans="1:3">
      <c r="A55" s="58">
        <f>LongTest!D34</f>
        <v>300</v>
      </c>
      <c r="B55" s="62">
        <f>LongTest!G34</f>
        <v>24.668807130350686</v>
      </c>
      <c r="C55" s="60">
        <v>1</v>
      </c>
    </row>
    <row r="56" spans="1:3">
      <c r="A56" s="58">
        <f>LongTest!D35</f>
        <v>360</v>
      </c>
      <c r="B56" s="62">
        <f>LongTest!G35</f>
        <v>25.367089369717689</v>
      </c>
      <c r="C56" s="60">
        <v>1</v>
      </c>
    </row>
    <row r="57" spans="1:3">
      <c r="A57" s="58">
        <f>LongTest!D36</f>
        <v>420</v>
      </c>
      <c r="B57" s="62">
        <f>LongTest!G36</f>
        <v>25.957478590841824</v>
      </c>
      <c r="C57" s="60">
        <v>1</v>
      </c>
    </row>
    <row r="58" spans="1:3">
      <c r="A58" s="58">
        <f>LongTest!D37</f>
        <v>480</v>
      </c>
      <c r="B58" s="62">
        <f>LongTest!G37</f>
        <v>26.468896996362695</v>
      </c>
      <c r="C58" s="60">
        <v>1</v>
      </c>
    </row>
    <row r="59" spans="1:3">
      <c r="A59" s="58">
        <f>LongTest!D38</f>
        <v>540</v>
      </c>
      <c r="B59" s="62">
        <f>LongTest!G38</f>
        <v>26.92</v>
      </c>
      <c r="C59" s="60">
        <v>1</v>
      </c>
    </row>
    <row r="60" spans="1:3">
      <c r="A60" s="58">
        <f>LongTest!D39</f>
        <v>600</v>
      </c>
      <c r="B60" s="62">
        <f>LongTest!G39</f>
        <v>26.92</v>
      </c>
      <c r="C60" s="60">
        <v>1</v>
      </c>
    </row>
    <row r="61" spans="1:3">
      <c r="A61" s="58">
        <f>LongTest!D40</f>
        <v>660</v>
      </c>
      <c r="B61" s="62">
        <f>LongTest!G40</f>
        <v>26.92</v>
      </c>
      <c r="C61" s="60">
        <v>1</v>
      </c>
    </row>
    <row r="62" spans="1:3">
      <c r="A62" s="58">
        <f>LongTest!D41</f>
        <v>720</v>
      </c>
      <c r="B62" s="62">
        <f>LongTest!G41</f>
        <v>26.92</v>
      </c>
      <c r="C62" s="60">
        <v>1</v>
      </c>
    </row>
    <row r="63" spans="1:3">
      <c r="A63" s="58">
        <f>LongTest!D42</f>
        <v>780</v>
      </c>
      <c r="B63" s="62">
        <f>LongTest!G42</f>
        <v>26.92</v>
      </c>
      <c r="C63" s="60">
        <v>1</v>
      </c>
    </row>
    <row r="64" spans="1:3">
      <c r="A64" s="58">
        <f>LongTest!D43</f>
        <v>840</v>
      </c>
      <c r="B64" s="62">
        <f>LongTest!G43</f>
        <v>26.92</v>
      </c>
      <c r="C64" s="60">
        <v>1</v>
      </c>
    </row>
    <row r="65" spans="1:3">
      <c r="A65" s="58">
        <f>LongTest!D44</f>
        <v>900</v>
      </c>
      <c r="B65" s="62">
        <f>LongTest!G44</f>
        <v>26.92</v>
      </c>
      <c r="C65" s="60">
        <v>1</v>
      </c>
    </row>
    <row r="66" spans="1:3">
      <c r="A66" s="58">
        <f>LongTest!D45</f>
        <v>960</v>
      </c>
      <c r="B66" s="62">
        <f>LongTest!G45</f>
        <v>26.92</v>
      </c>
      <c r="C66" s="60">
        <v>1</v>
      </c>
    </row>
    <row r="67" spans="1:3">
      <c r="A67" s="58">
        <f>LongTest!D46</f>
        <v>1020</v>
      </c>
      <c r="B67" s="62">
        <f>LongTest!G46</f>
        <v>26.92</v>
      </c>
      <c r="C67" s="60">
        <v>1</v>
      </c>
    </row>
    <row r="68" spans="1:3">
      <c r="A68" s="58">
        <f>LongTest!D47</f>
        <v>1080</v>
      </c>
      <c r="B68" s="62">
        <f>LongTest!G47</f>
        <v>26.92</v>
      </c>
      <c r="C68" s="60">
        <v>1</v>
      </c>
    </row>
    <row r="69" spans="1:3">
      <c r="A69" s="58">
        <f>LongTest!D48</f>
        <v>1140</v>
      </c>
      <c r="B69" s="62">
        <f>LongTest!G48</f>
        <v>26.92</v>
      </c>
      <c r="C69" s="60">
        <v>1</v>
      </c>
    </row>
    <row r="70" spans="1:3">
      <c r="A70" s="58">
        <f>LongTest!D49</f>
        <v>1200</v>
      </c>
      <c r="B70" s="62">
        <f>LongTest!G49</f>
        <v>26.92</v>
      </c>
      <c r="C70" s="60">
        <v>1</v>
      </c>
    </row>
    <row r="71" spans="1:3">
      <c r="A71" s="58">
        <f>LongTest!D50</f>
        <v>1260</v>
      </c>
      <c r="B71" s="62">
        <f>LongTest!G50</f>
        <v>26.92</v>
      </c>
      <c r="C71" s="60">
        <v>1</v>
      </c>
    </row>
    <row r="72" spans="1:3">
      <c r="A72" s="58">
        <f>LongTest!D51</f>
        <v>1320</v>
      </c>
      <c r="B72" s="62">
        <f>LongTest!G51</f>
        <v>26.92</v>
      </c>
      <c r="C72" s="60">
        <v>1</v>
      </c>
    </row>
    <row r="73" spans="1:3">
      <c r="A73" s="58">
        <f>LongTest!D52</f>
        <v>1380</v>
      </c>
      <c r="B73" s="62">
        <f>LongTest!G52</f>
        <v>26.92</v>
      </c>
      <c r="C73" s="60">
        <v>1</v>
      </c>
    </row>
    <row r="74" spans="1:3">
      <c r="A74" s="58">
        <f>LongTest!D53</f>
        <v>1440</v>
      </c>
      <c r="B74" s="62">
        <f>LongTest!G53</f>
        <v>26.92</v>
      </c>
      <c r="C74" s="60">
        <v>1</v>
      </c>
    </row>
    <row r="75" spans="1:3">
      <c r="A75" s="58">
        <f>LongTest!D54</f>
        <v>1500</v>
      </c>
      <c r="B75" s="62">
        <f>LongTest!G54</f>
        <v>26.92</v>
      </c>
      <c r="C75" s="60">
        <v>1</v>
      </c>
    </row>
    <row r="76" spans="1:3">
      <c r="A76" s="58">
        <f>LongTest!D55</f>
        <v>1560</v>
      </c>
      <c r="B76" s="62">
        <f>LongTest!G55</f>
        <v>26.92</v>
      </c>
      <c r="C76" s="60">
        <v>1</v>
      </c>
    </row>
    <row r="77" spans="1:3">
      <c r="A77" s="58">
        <f>LongTest!D56</f>
        <v>1620</v>
      </c>
      <c r="B77" s="62">
        <f>LongTest!G56</f>
        <v>26.92</v>
      </c>
      <c r="C77" s="60">
        <v>1</v>
      </c>
    </row>
    <row r="78" spans="1:3">
      <c r="A78" s="58">
        <f>LongTest!D57</f>
        <v>1680</v>
      </c>
      <c r="B78" s="62">
        <f>LongTest!G57</f>
        <v>26.92</v>
      </c>
      <c r="C78" s="60">
        <v>1</v>
      </c>
    </row>
    <row r="79" spans="1:3">
      <c r="A79" s="58">
        <f>LongTest!D58</f>
        <v>1740</v>
      </c>
      <c r="B79" s="62">
        <f>LongTest!G58</f>
        <v>26.92</v>
      </c>
      <c r="C79" s="60">
        <v>1</v>
      </c>
    </row>
    <row r="80" spans="1:3">
      <c r="A80" s="58">
        <f>LongTest!D59</f>
        <v>1800</v>
      </c>
      <c r="B80" s="62">
        <f>LongTest!G59</f>
        <v>26.92</v>
      </c>
      <c r="C80" s="60">
        <v>1</v>
      </c>
    </row>
    <row r="81" spans="1:3">
      <c r="A81" s="58">
        <f>LongTest!D60</f>
        <v>1860</v>
      </c>
      <c r="B81" s="62">
        <f>LongTest!G60</f>
        <v>26.92</v>
      </c>
      <c r="C81" s="60">
        <v>1</v>
      </c>
    </row>
    <row r="82" spans="1:3">
      <c r="A82" s="58">
        <f>LongTest!D61</f>
        <v>1920</v>
      </c>
      <c r="B82" s="62">
        <f>LongTest!G61</f>
        <v>26.92</v>
      </c>
      <c r="C82" s="60">
        <v>1</v>
      </c>
    </row>
    <row r="83" spans="1:3">
      <c r="A83" s="58">
        <f>LongTest!D62</f>
        <v>1980</v>
      </c>
      <c r="B83" s="62">
        <f>LongTest!G62</f>
        <v>26.92</v>
      </c>
      <c r="C83" s="60">
        <v>1</v>
      </c>
    </row>
    <row r="84" spans="1:3">
      <c r="A84" s="58">
        <f>LongTest!D63</f>
        <v>2040</v>
      </c>
      <c r="B84" s="62">
        <f>LongTest!G63</f>
        <v>26.92</v>
      </c>
      <c r="C84" s="60">
        <v>1</v>
      </c>
    </row>
    <row r="85" spans="1:3">
      <c r="A85" s="58">
        <f>LongTest!D64</f>
        <v>2100</v>
      </c>
      <c r="B85" s="62">
        <f>LongTest!G64</f>
        <v>26.92</v>
      </c>
      <c r="C85" s="60">
        <v>1</v>
      </c>
    </row>
    <row r="86" spans="1:3">
      <c r="A86" s="58">
        <f>LongTest!D65</f>
        <v>2160</v>
      </c>
      <c r="B86" s="62">
        <f>LongTest!G65</f>
        <v>26.92</v>
      </c>
      <c r="C86" s="60">
        <v>1</v>
      </c>
    </row>
    <row r="87" spans="1:3">
      <c r="A87" s="58">
        <f>LongTest!D66</f>
        <v>2220</v>
      </c>
      <c r="B87" s="62">
        <f>LongTest!G66</f>
        <v>26.92</v>
      </c>
      <c r="C87" s="60">
        <v>1</v>
      </c>
    </row>
    <row r="88" spans="1:3">
      <c r="A88" s="58">
        <f>LongTest!D67</f>
        <v>2280</v>
      </c>
      <c r="B88" s="62">
        <f>LongTest!G67</f>
        <v>26.92</v>
      </c>
      <c r="C88" s="60">
        <v>1</v>
      </c>
    </row>
    <row r="89" spans="1:3">
      <c r="A89" s="58">
        <f>LongTest!D68</f>
        <v>2340</v>
      </c>
      <c r="B89" s="62">
        <f>LongTest!G68</f>
        <v>26.92</v>
      </c>
      <c r="C89" s="60">
        <v>1</v>
      </c>
    </row>
    <row r="90" spans="1:3">
      <c r="A90" s="58">
        <f>LongTest!D69</f>
        <v>2400</v>
      </c>
      <c r="B90" s="62">
        <f>LongTest!G69</f>
        <v>26.92</v>
      </c>
      <c r="C90" s="60">
        <v>1</v>
      </c>
    </row>
    <row r="91" spans="1:3">
      <c r="A91" s="58">
        <f>LongTest!D70</f>
        <v>2460</v>
      </c>
      <c r="B91" s="62">
        <f>LongTest!G70</f>
        <v>26.92</v>
      </c>
      <c r="C91" s="60">
        <v>1</v>
      </c>
    </row>
    <row r="92" spans="1:3">
      <c r="A92" s="58">
        <f>LongTest!D71</f>
        <v>2520</v>
      </c>
      <c r="B92" s="62">
        <f>LongTest!G71</f>
        <v>26.92</v>
      </c>
      <c r="C92" s="60">
        <v>1</v>
      </c>
    </row>
    <row r="93" spans="1:3">
      <c r="A93" s="58">
        <f>LongTest!D72</f>
        <v>2580</v>
      </c>
      <c r="B93" s="62">
        <f>LongTest!G72</f>
        <v>26.92</v>
      </c>
      <c r="C93" s="60">
        <v>1</v>
      </c>
    </row>
    <row r="94" spans="1:3">
      <c r="A94" s="58">
        <f>LongTest!D73</f>
        <v>2640</v>
      </c>
      <c r="B94" s="62">
        <f>LongTest!G73</f>
        <v>26.92</v>
      </c>
      <c r="C94" s="60">
        <v>1</v>
      </c>
    </row>
    <row r="95" spans="1:3">
      <c r="A95" s="58">
        <f>LongTest!D74</f>
        <v>2700</v>
      </c>
      <c r="B95" s="62">
        <f>LongTest!G74</f>
        <v>26.92</v>
      </c>
      <c r="C95" s="60">
        <v>1</v>
      </c>
    </row>
    <row r="96" spans="1:3">
      <c r="A96" s="58">
        <f>LongTest!D75</f>
        <v>2760</v>
      </c>
      <c r="B96" s="62">
        <f>LongTest!G75</f>
        <v>26.92</v>
      </c>
      <c r="C96" s="60">
        <v>1</v>
      </c>
    </row>
    <row r="97" spans="1:3">
      <c r="A97" s="58">
        <f>LongTest!D76</f>
        <v>2820</v>
      </c>
      <c r="B97" s="62">
        <f>LongTest!G76</f>
        <v>26.92</v>
      </c>
      <c r="C97" s="60">
        <v>1</v>
      </c>
    </row>
    <row r="98" spans="1:3">
      <c r="A98" s="58">
        <f>LongTest!D77</f>
        <v>2880</v>
      </c>
      <c r="B98" s="62">
        <f>LongTest!G77</f>
        <v>26.92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N29" sqref="N29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07"/>
      <c r="M6" s="607"/>
      <c r="N6" s="60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2.3170000000000002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26.92</v>
      </c>
      <c r="C32" s="60">
        <v>1</v>
      </c>
    </row>
    <row r="33" spans="1:3">
      <c r="A33" s="58">
        <f>$A$32+LongTest!D78</f>
        <v>2881</v>
      </c>
      <c r="B33" s="59">
        <f>LongTest!G78</f>
        <v>16.977140693723946</v>
      </c>
      <c r="C33" s="60">
        <v>1</v>
      </c>
    </row>
    <row r="34" spans="1:3">
      <c r="A34" s="58">
        <f>$A$32+LongTest!D79</f>
        <v>2882</v>
      </c>
      <c r="B34" s="59">
        <f>LongTest!G79</f>
        <v>15.380211090210949</v>
      </c>
      <c r="C34" s="60">
        <v>1</v>
      </c>
    </row>
    <row r="35" spans="1:3">
      <c r="A35" s="58">
        <f>$A$32+LongTest!D80</f>
        <v>2883</v>
      </c>
      <c r="B35" s="59">
        <f>LongTest!G80</f>
        <v>13.93349430548664</v>
      </c>
      <c r="C35" s="60">
        <v>1</v>
      </c>
    </row>
    <row r="36" spans="1:3">
      <c r="A36" s="58">
        <f>$A$32+LongTest!D81</f>
        <v>2884</v>
      </c>
      <c r="B36" s="59">
        <f>LongTest!G81</f>
        <v>12.622860793152199</v>
      </c>
      <c r="C36" s="60">
        <v>1</v>
      </c>
    </row>
    <row r="37" spans="1:3">
      <c r="A37" s="58">
        <f>$A$32+LongTest!D82</f>
        <v>2885</v>
      </c>
      <c r="B37" s="59">
        <f>LongTest!G82</f>
        <v>11.435510081671076</v>
      </c>
      <c r="C37" s="60">
        <v>1</v>
      </c>
    </row>
    <row r="38" spans="1:3">
      <c r="A38" s="58">
        <f>$A$32+LongTest!D83</f>
        <v>2890</v>
      </c>
      <c r="B38" s="59">
        <f>LongTest!G83</f>
        <v>8.5025420042012705</v>
      </c>
      <c r="C38" s="60">
        <v>1</v>
      </c>
    </row>
    <row r="39" spans="1:3">
      <c r="A39" s="58">
        <f>$A$32+LongTest!D84</f>
        <v>2895</v>
      </c>
      <c r="B39" s="59">
        <f>LongTest!G84</f>
        <v>7.960627178404037</v>
      </c>
      <c r="C39" s="60">
        <v>1</v>
      </c>
    </row>
    <row r="40" spans="1:3">
      <c r="A40" s="58">
        <f>$A$32+LongTest!D85</f>
        <v>2900</v>
      </c>
      <c r="B40" s="59">
        <f>LongTest!G85</f>
        <v>6.5334531567732759</v>
      </c>
      <c r="C40" s="60">
        <v>1</v>
      </c>
    </row>
    <row r="41" spans="1:3">
      <c r="A41" s="58">
        <f>$A$32+LongTest!D86</f>
        <v>2905</v>
      </c>
      <c r="B41" s="59">
        <f>LongTest!G86</f>
        <v>5.9188935588149674</v>
      </c>
      <c r="C41" s="60">
        <v>1</v>
      </c>
    </row>
    <row r="42" spans="1:3">
      <c r="A42" s="58">
        <f>$A$32+LongTest!D87</f>
        <v>2910</v>
      </c>
      <c r="B42" s="59">
        <f>LongTest!G87</f>
        <v>5.3621415995402115</v>
      </c>
      <c r="C42" s="60">
        <v>1</v>
      </c>
    </row>
    <row r="43" spans="1:3">
      <c r="A43" s="58">
        <f>$A$32+LongTest!D88</f>
        <v>2915</v>
      </c>
      <c r="B43" s="59">
        <f>LongTest!G88</f>
        <v>5.1884487084291395</v>
      </c>
      <c r="C43" s="60">
        <v>1</v>
      </c>
    </row>
    <row r="44" spans="1:3">
      <c r="A44" s="58">
        <f>$A$32+LongTest!D89</f>
        <v>2920</v>
      </c>
      <c r="B44" s="59">
        <f>LongTest!G89</f>
        <v>5.0203821552023769</v>
      </c>
      <c r="C44" s="60">
        <v>1</v>
      </c>
    </row>
    <row r="45" spans="1:3">
      <c r="A45" s="58">
        <f>$A$32+LongTest!D90</f>
        <v>2925</v>
      </c>
      <c r="B45" s="59">
        <f>LongTest!G90</f>
        <v>4.8577596890044861</v>
      </c>
      <c r="C45" s="60">
        <v>1</v>
      </c>
    </row>
    <row r="46" spans="1:3">
      <c r="A46" s="58">
        <f>$A$32+LongTest!D91</f>
        <v>2930</v>
      </c>
      <c r="B46" s="59">
        <f>LongTest!G91</f>
        <v>4.7004049625313247</v>
      </c>
      <c r="C46" s="60">
        <v>1</v>
      </c>
    </row>
    <row r="47" spans="1:3">
      <c r="A47" s="58">
        <f>$A$32+LongTest!D92</f>
        <v>2935</v>
      </c>
      <c r="B47" s="59">
        <f>LongTest!G92</f>
        <v>4.5481473407995727</v>
      </c>
      <c r="C47" s="60">
        <v>1</v>
      </c>
    </row>
    <row r="48" spans="1:3">
      <c r="A48" s="58">
        <f>$A$32+LongTest!D93</f>
        <v>2940</v>
      </c>
      <c r="B48" s="59">
        <f>LongTest!G93</f>
        <v>4.40082171611067</v>
      </c>
      <c r="C48" s="60">
        <v>1</v>
      </c>
    </row>
    <row r="49" spans="1:3">
      <c r="A49" s="58">
        <f>$A$32+LongTest!D94</f>
        <v>2955</v>
      </c>
      <c r="B49" s="59">
        <f>LongTest!G94</f>
        <v>4.2582683290085486</v>
      </c>
      <c r="C49" s="60">
        <v>1</v>
      </c>
    </row>
    <row r="50" spans="1:3">
      <c r="A50" s="58">
        <f>$A$32+LongTest!D95</f>
        <v>2970</v>
      </c>
      <c r="B50" s="59">
        <f>LongTest!G95</f>
        <v>4.1203325950369525</v>
      </c>
      <c r="C50" s="60">
        <v>1</v>
      </c>
    </row>
    <row r="51" spans="1:3">
      <c r="A51" s="58">
        <f>$A$32+LongTest!D96</f>
        <v>2985</v>
      </c>
      <c r="B51" s="59">
        <f>LongTest!G96</f>
        <v>3.9868649371085385</v>
      </c>
      <c r="C51" s="60">
        <v>1</v>
      </c>
    </row>
    <row r="52" spans="1:3">
      <c r="A52" s="58">
        <f>$A$32+LongTest!D97</f>
        <v>3000</v>
      </c>
      <c r="B52" s="59">
        <f>LongTest!G97</f>
        <v>3.6118463896313284</v>
      </c>
      <c r="C52" s="60">
        <v>1</v>
      </c>
    </row>
    <row r="53" spans="1:3">
      <c r="A53" s="58">
        <f>$A$32+LongTest!D98</f>
        <v>3060</v>
      </c>
      <c r="B53" s="59">
        <f>LongTest!G98</f>
        <v>3.4948498444975815</v>
      </c>
      <c r="C53" s="60">
        <v>1</v>
      </c>
    </row>
    <row r="54" spans="1:3">
      <c r="A54" s="58">
        <f>$A$32+LongTest!D99</f>
        <v>3120</v>
      </c>
      <c r="B54" s="59">
        <f>LongTest!G99</f>
        <v>2.8682963336010681</v>
      </c>
      <c r="C54" s="60">
        <v>1</v>
      </c>
    </row>
    <row r="55" spans="1:3">
      <c r="A55" s="58">
        <f>$A$32+LongTest!D100</f>
        <v>3180</v>
      </c>
      <c r="B55" s="59">
        <f>LongTest!G100</f>
        <v>2.3540707679622961</v>
      </c>
      <c r="C55" s="60">
        <v>1</v>
      </c>
    </row>
    <row r="56" spans="1:3">
      <c r="A56" s="58">
        <f>$A$32+LongTest!D101</f>
        <v>3240</v>
      </c>
      <c r="B56" s="59">
        <f>LongTest!G101</f>
        <v>1.9320350954174961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C6" sqref="C6:J6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14" t="s">
        <v>313</v>
      </c>
      <c r="B1" s="614"/>
      <c r="C1" s="614"/>
      <c r="D1" s="614"/>
      <c r="E1" s="614"/>
      <c r="F1" s="614"/>
      <c r="G1" s="614"/>
      <c r="H1" s="614"/>
      <c r="I1" s="614"/>
      <c r="J1" s="614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C79</f>
        <v>45728.430555555555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0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213" t="s">
        <v>325</v>
      </c>
      <c r="H7" s="628">
        <f>Input!I50</f>
        <v>48</v>
      </c>
      <c r="I7" s="621"/>
      <c r="J7" s="214" t="s">
        <v>298</v>
      </c>
    </row>
    <row r="8" spans="1:10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301</v>
      </c>
      <c r="H8" s="628">
        <f>LongTest!G7</f>
        <v>158</v>
      </c>
      <c r="I8" s="621"/>
      <c r="J8" s="214" t="s">
        <v>298</v>
      </c>
    </row>
    <row r="9" spans="1:10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303</v>
      </c>
      <c r="H9" s="628">
        <f>LongTest!G8</f>
        <v>38.270000000000003</v>
      </c>
      <c r="I9" s="621"/>
      <c r="J9" s="214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32">
        <v>1</v>
      </c>
      <c r="E12" s="632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32">
        <v>2</v>
      </c>
      <c r="E13" s="632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32">
        <v>3</v>
      </c>
      <c r="E14" s="632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32">
        <v>4</v>
      </c>
      <c r="E15" s="632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32">
        <v>5</v>
      </c>
      <c r="E16" s="632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32">
        <v>10</v>
      </c>
      <c r="E17" s="632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32">
        <v>15</v>
      </c>
      <c r="E18" s="632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32">
        <v>20</v>
      </c>
      <c r="E19" s="632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32">
        <v>25</v>
      </c>
      <c r="E20" s="632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32">
        <v>30</v>
      </c>
      <c r="E21" s="632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32">
        <v>35</v>
      </c>
      <c r="E22" s="632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32">
        <v>40</v>
      </c>
      <c r="E23" s="632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32">
        <v>45</v>
      </c>
      <c r="E24" s="632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32">
        <v>50</v>
      </c>
      <c r="E25" s="632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32">
        <v>55</v>
      </c>
      <c r="E26" s="632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32">
        <v>60</v>
      </c>
      <c r="E27" s="632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32">
        <v>75</v>
      </c>
      <c r="E28" s="632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32">
        <v>90</v>
      </c>
      <c r="E29" s="632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32">
        <v>105</v>
      </c>
      <c r="E30" s="632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32">
        <v>120</v>
      </c>
      <c r="E31" s="632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32">
        <v>140</v>
      </c>
      <c r="E32" s="632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32">
        <v>160</v>
      </c>
      <c r="E33" s="632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32">
        <v>180</v>
      </c>
      <c r="E34" s="632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32">
        <v>240</v>
      </c>
      <c r="E35" s="632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32">
        <v>300</v>
      </c>
      <c r="E36" s="632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32">
        <v>360</v>
      </c>
      <c r="E37" s="632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32">
        <v>420</v>
      </c>
      <c r="E38" s="632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32">
        <v>480</v>
      </c>
      <c r="E39" s="632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32">
        <v>540</v>
      </c>
      <c r="E40" s="632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32">
        <v>600</v>
      </c>
      <c r="E41" s="632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32">
        <v>660</v>
      </c>
      <c r="E42" s="632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32">
        <v>720</v>
      </c>
      <c r="E43" s="632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32">
        <v>780</v>
      </c>
      <c r="E44" s="632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32">
        <v>840</v>
      </c>
      <c r="E45" s="632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32">
        <v>900</v>
      </c>
      <c r="E46" s="632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32">
        <v>960</v>
      </c>
      <c r="E47" s="632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32">
        <v>1020</v>
      </c>
      <c r="E48" s="632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32">
        <v>1080</v>
      </c>
      <c r="E49" s="632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32">
        <v>1140</v>
      </c>
      <c r="E50" s="632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32">
        <v>1200</v>
      </c>
      <c r="E51" s="632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32">
        <v>1260</v>
      </c>
      <c r="E52" s="632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32">
        <v>1320</v>
      </c>
      <c r="E53" s="632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32">
        <v>1380</v>
      </c>
      <c r="E54" s="632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32">
        <v>1440</v>
      </c>
      <c r="E55" s="632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35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35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35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35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35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35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35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35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35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35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35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35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35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35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35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35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35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35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35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35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35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35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35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0"/>
      <c r="B79" s="217"/>
      <c r="C79" s="217">
        <f t="shared" si="4"/>
        <v>45728.430555555555</v>
      </c>
      <c r="D79" s="608">
        <v>2880</v>
      </c>
      <c r="E79" s="635"/>
      <c r="F79" s="213">
        <f>LongTest!F77</f>
        <v>38.270000000000003</v>
      </c>
      <c r="G79" s="213">
        <f>LongTest!G77</f>
        <v>26.92</v>
      </c>
      <c r="H79" s="213">
        <f>H63</f>
        <v>15.6</v>
      </c>
      <c r="I79" s="213">
        <f t="shared" ref="I79:J79" si="5">I63</f>
        <v>211</v>
      </c>
      <c r="J79" s="214">
        <f t="shared" si="5"/>
        <v>7.12</v>
      </c>
    </row>
    <row r="80" spans="1:10" ht="24.95" customHeight="1">
      <c r="A80" s="240"/>
      <c r="B80" s="213">
        <v>0</v>
      </c>
      <c r="C80" s="217">
        <f>$C$4+(D80+2880)/1440</f>
        <v>45728.431250000001</v>
      </c>
      <c r="D80" s="608">
        <v>1</v>
      </c>
      <c r="E80" s="635"/>
      <c r="F80" s="218">
        <f>LongTest!F78</f>
        <v>28.327140693723948</v>
      </c>
      <c r="G80" s="218">
        <f>LongTest!G78</f>
        <v>16.977140693723946</v>
      </c>
      <c r="H80" s="628" t="s">
        <v>191</v>
      </c>
      <c r="I80" s="637"/>
      <c r="J80" s="638"/>
    </row>
    <row r="81" spans="1:10" ht="24.95" customHeight="1">
      <c r="A81" s="240"/>
      <c r="B81" s="217"/>
      <c r="C81" s="217">
        <f t="shared" ref="C81:C103" si="6">$C$4+(D81+2880)/1440</f>
        <v>45728.431944444441</v>
      </c>
      <c r="D81" s="608">
        <v>2</v>
      </c>
      <c r="E81" s="635"/>
      <c r="F81" s="218">
        <f>LongTest!F79</f>
        <v>26.73021109021095</v>
      </c>
      <c r="G81" s="218">
        <f>LongTest!G79</f>
        <v>15.380211090210949</v>
      </c>
      <c r="H81" s="608"/>
      <c r="I81" s="609"/>
      <c r="J81" s="610"/>
    </row>
    <row r="82" spans="1:10" ht="24.95" customHeight="1">
      <c r="A82" s="240"/>
      <c r="B82" s="217"/>
      <c r="C82" s="217">
        <f t="shared" si="6"/>
        <v>45728.432638888888</v>
      </c>
      <c r="D82" s="608">
        <v>3</v>
      </c>
      <c r="E82" s="635"/>
      <c r="F82" s="218">
        <f>LongTest!F80</f>
        <v>25.283494305486641</v>
      </c>
      <c r="G82" s="218">
        <f>LongTest!G80</f>
        <v>13.93349430548664</v>
      </c>
      <c r="H82" s="608"/>
      <c r="I82" s="609"/>
      <c r="J82" s="610"/>
    </row>
    <row r="83" spans="1:10" ht="24.95" customHeight="1">
      <c r="A83" s="240"/>
      <c r="B83" s="217"/>
      <c r="C83" s="217">
        <f t="shared" si="6"/>
        <v>45728.433333333334</v>
      </c>
      <c r="D83" s="608">
        <v>4</v>
      </c>
      <c r="E83" s="635"/>
      <c r="F83" s="218">
        <f>LongTest!F81</f>
        <v>23.972860793152201</v>
      </c>
      <c r="G83" s="218">
        <f>LongTest!G81</f>
        <v>12.622860793152199</v>
      </c>
      <c r="H83" s="608"/>
      <c r="I83" s="609"/>
      <c r="J83" s="610"/>
    </row>
    <row r="84" spans="1:10" ht="24.95" customHeight="1">
      <c r="A84" s="240"/>
      <c r="B84" s="217"/>
      <c r="C84" s="217">
        <f t="shared" si="6"/>
        <v>45728.434027777774</v>
      </c>
      <c r="D84" s="608">
        <v>5</v>
      </c>
      <c r="E84" s="635"/>
      <c r="F84" s="218">
        <f>LongTest!F82</f>
        <v>22.785510081671077</v>
      </c>
      <c r="G84" s="218">
        <f>LongTest!G82</f>
        <v>11.435510081671076</v>
      </c>
      <c r="H84" s="608"/>
      <c r="I84" s="609"/>
      <c r="J84" s="610"/>
    </row>
    <row r="85" spans="1:10" ht="24.95" customHeight="1">
      <c r="A85" s="240"/>
      <c r="B85" s="217"/>
      <c r="C85" s="217">
        <f t="shared" si="6"/>
        <v>45728.4375</v>
      </c>
      <c r="D85" s="608">
        <v>10</v>
      </c>
      <c r="E85" s="635"/>
      <c r="F85" s="218">
        <f>LongTest!F83</f>
        <v>19.852542004201268</v>
      </c>
      <c r="G85" s="218">
        <f>LongTest!G83</f>
        <v>8.5025420042012705</v>
      </c>
      <c r="H85" s="608"/>
      <c r="I85" s="609"/>
      <c r="J85" s="610"/>
    </row>
    <row r="86" spans="1:10" ht="24.95" customHeight="1">
      <c r="A86" s="240"/>
      <c r="B86" s="217"/>
      <c r="C86" s="217">
        <f t="shared" si="6"/>
        <v>45728.440972222219</v>
      </c>
      <c r="D86" s="608">
        <v>15</v>
      </c>
      <c r="E86" s="635"/>
      <c r="F86" s="218">
        <f>LongTest!F84</f>
        <v>19.310627178404037</v>
      </c>
      <c r="G86" s="218">
        <f>LongTest!G84</f>
        <v>7.960627178404037</v>
      </c>
      <c r="H86" s="608"/>
      <c r="I86" s="609"/>
      <c r="J86" s="610"/>
    </row>
    <row r="87" spans="1:10" ht="24.95" customHeight="1">
      <c r="A87" s="240"/>
      <c r="B87" s="217"/>
      <c r="C87" s="217">
        <f t="shared" si="6"/>
        <v>45728.444444444445</v>
      </c>
      <c r="D87" s="608">
        <v>20</v>
      </c>
      <c r="E87" s="635"/>
      <c r="F87" s="218">
        <f>LongTest!F85</f>
        <v>17.883453156773275</v>
      </c>
      <c r="G87" s="218">
        <f>LongTest!G85</f>
        <v>6.5334531567732759</v>
      </c>
      <c r="H87" s="608"/>
      <c r="I87" s="609"/>
      <c r="J87" s="610"/>
    </row>
    <row r="88" spans="1:10" ht="24.95" customHeight="1">
      <c r="A88" s="240"/>
      <c r="B88" s="217"/>
      <c r="C88" s="217">
        <f t="shared" si="6"/>
        <v>45728.447916666664</v>
      </c>
      <c r="D88" s="608">
        <v>25</v>
      </c>
      <c r="E88" s="635"/>
      <c r="F88" s="218">
        <f>LongTest!F86</f>
        <v>17.268893558814966</v>
      </c>
      <c r="G88" s="218">
        <f>LongTest!G86</f>
        <v>5.9188935588149674</v>
      </c>
      <c r="H88" s="608"/>
      <c r="I88" s="609"/>
      <c r="J88" s="610"/>
    </row>
    <row r="89" spans="1:10" ht="24.95" customHeight="1">
      <c r="A89" s="240"/>
      <c r="B89" s="217"/>
      <c r="C89" s="217">
        <f t="shared" si="6"/>
        <v>45728.451388888891</v>
      </c>
      <c r="D89" s="608">
        <v>30</v>
      </c>
      <c r="E89" s="635"/>
      <c r="F89" s="218">
        <f>LongTest!F87</f>
        <v>16.71214159954021</v>
      </c>
      <c r="G89" s="218">
        <f>LongTest!G87</f>
        <v>5.3621415995402115</v>
      </c>
      <c r="H89" s="608"/>
      <c r="I89" s="609"/>
      <c r="J89" s="610"/>
    </row>
    <row r="90" spans="1:10" ht="24.95" customHeight="1">
      <c r="A90" s="240"/>
      <c r="B90" s="217"/>
      <c r="C90" s="217">
        <f t="shared" si="6"/>
        <v>45728.454861111109</v>
      </c>
      <c r="D90" s="608">
        <v>35</v>
      </c>
      <c r="E90" s="635"/>
      <c r="F90" s="218">
        <f>LongTest!F88</f>
        <v>16.53844870842914</v>
      </c>
      <c r="G90" s="218">
        <f>LongTest!G88</f>
        <v>5.1884487084291395</v>
      </c>
      <c r="H90" s="608"/>
      <c r="I90" s="609"/>
      <c r="J90" s="610"/>
    </row>
    <row r="91" spans="1:10" ht="24.95" customHeight="1">
      <c r="A91" s="240"/>
      <c r="B91" s="217"/>
      <c r="C91" s="217">
        <f t="shared" si="6"/>
        <v>45728.458333333336</v>
      </c>
      <c r="D91" s="608">
        <v>40</v>
      </c>
      <c r="E91" s="635"/>
      <c r="F91" s="218">
        <f>LongTest!F89</f>
        <v>16.370382155202378</v>
      </c>
      <c r="G91" s="218">
        <f>LongTest!G89</f>
        <v>5.0203821552023769</v>
      </c>
      <c r="H91" s="608"/>
      <c r="I91" s="609"/>
      <c r="J91" s="610"/>
    </row>
    <row r="92" spans="1:10" ht="24.95" customHeight="1">
      <c r="A92" s="240"/>
      <c r="B92" s="217"/>
      <c r="C92" s="217">
        <f t="shared" si="6"/>
        <v>45728.461805555555</v>
      </c>
      <c r="D92" s="608">
        <v>45</v>
      </c>
      <c r="E92" s="635"/>
      <c r="F92" s="218">
        <f>LongTest!F90</f>
        <v>16.207759689004487</v>
      </c>
      <c r="G92" s="218">
        <f>LongTest!G90</f>
        <v>4.8577596890044861</v>
      </c>
      <c r="H92" s="608"/>
      <c r="I92" s="609"/>
      <c r="J92" s="610"/>
    </row>
    <row r="93" spans="1:10" ht="24.95" customHeight="1">
      <c r="A93" s="240"/>
      <c r="B93" s="217"/>
      <c r="C93" s="217">
        <f t="shared" si="6"/>
        <v>45728.465277777774</v>
      </c>
      <c r="D93" s="608">
        <v>50</v>
      </c>
      <c r="E93" s="635"/>
      <c r="F93" s="218">
        <f>LongTest!F91</f>
        <v>16.050404962531324</v>
      </c>
      <c r="G93" s="218">
        <f>LongTest!G91</f>
        <v>4.7004049625313247</v>
      </c>
      <c r="H93" s="608"/>
      <c r="I93" s="609"/>
      <c r="J93" s="610"/>
    </row>
    <row r="94" spans="1:10" ht="24.95" customHeight="1">
      <c r="A94" s="240"/>
      <c r="B94" s="217"/>
      <c r="C94" s="217">
        <f t="shared" si="6"/>
        <v>45728.46875</v>
      </c>
      <c r="D94" s="608">
        <v>55</v>
      </c>
      <c r="E94" s="635"/>
      <c r="F94" s="218">
        <f>LongTest!F92</f>
        <v>15.898147340799571</v>
      </c>
      <c r="G94" s="218">
        <f>LongTest!G92</f>
        <v>4.5481473407995727</v>
      </c>
      <c r="H94" s="608"/>
      <c r="I94" s="609"/>
      <c r="J94" s="610"/>
    </row>
    <row r="95" spans="1:10" ht="24.95" customHeight="1">
      <c r="A95" s="240"/>
      <c r="B95" s="217"/>
      <c r="C95" s="217">
        <f t="shared" si="6"/>
        <v>45728.472222222219</v>
      </c>
      <c r="D95" s="608">
        <v>60</v>
      </c>
      <c r="E95" s="635"/>
      <c r="F95" s="218">
        <f>LongTest!F93</f>
        <v>15.75082171611067</v>
      </c>
      <c r="G95" s="218">
        <f>LongTest!G93</f>
        <v>4.40082171611067</v>
      </c>
      <c r="H95" s="608"/>
      <c r="I95" s="609"/>
      <c r="J95" s="610"/>
    </row>
    <row r="96" spans="1:10" ht="24.95" customHeight="1">
      <c r="A96" s="240"/>
      <c r="B96" s="217"/>
      <c r="C96" s="217">
        <f t="shared" si="6"/>
        <v>45728.482638888891</v>
      </c>
      <c r="D96" s="608">
        <v>75</v>
      </c>
      <c r="E96" s="635"/>
      <c r="F96" s="218">
        <f>LongTest!F94</f>
        <v>15.608268329008549</v>
      </c>
      <c r="G96" s="218">
        <f>LongTest!G94</f>
        <v>4.2582683290085486</v>
      </c>
      <c r="H96" s="608"/>
      <c r="I96" s="609"/>
      <c r="J96" s="610"/>
    </row>
    <row r="97" spans="1:10" ht="24.95" customHeight="1">
      <c r="A97" s="240"/>
      <c r="B97" s="217"/>
      <c r="C97" s="217">
        <f t="shared" si="6"/>
        <v>45728.493055555555</v>
      </c>
      <c r="D97" s="608">
        <v>90</v>
      </c>
      <c r="E97" s="635"/>
      <c r="F97" s="218">
        <f>LongTest!F95</f>
        <v>15.470332595036952</v>
      </c>
      <c r="G97" s="218">
        <f>LongTest!G95</f>
        <v>4.1203325950369525</v>
      </c>
      <c r="H97" s="608"/>
      <c r="I97" s="609"/>
      <c r="J97" s="610"/>
    </row>
    <row r="98" spans="1:10" ht="24.95" customHeight="1">
      <c r="A98" s="240"/>
      <c r="B98" s="217"/>
      <c r="C98" s="217">
        <f t="shared" si="6"/>
        <v>45728.503472222219</v>
      </c>
      <c r="D98" s="608">
        <v>105</v>
      </c>
      <c r="E98" s="635"/>
      <c r="F98" s="218">
        <f>LongTest!F96</f>
        <v>15.336864937108539</v>
      </c>
      <c r="G98" s="218">
        <f>LongTest!G96</f>
        <v>3.9868649371085385</v>
      </c>
      <c r="H98" s="608"/>
      <c r="I98" s="609"/>
      <c r="J98" s="610"/>
    </row>
    <row r="99" spans="1:10" ht="24.95" customHeight="1">
      <c r="A99" s="240"/>
      <c r="B99" s="217"/>
      <c r="C99" s="217">
        <f t="shared" si="6"/>
        <v>45728.513888888891</v>
      </c>
      <c r="D99" s="608">
        <v>120</v>
      </c>
      <c r="E99" s="635"/>
      <c r="F99" s="218">
        <f>LongTest!F97</f>
        <v>14.961846389631328</v>
      </c>
      <c r="G99" s="218">
        <f>LongTest!G97</f>
        <v>3.6118463896313284</v>
      </c>
      <c r="H99" s="608"/>
      <c r="I99" s="609"/>
      <c r="J99" s="610"/>
    </row>
    <row r="100" spans="1:10" ht="24.95" customHeight="1">
      <c r="A100" s="240"/>
      <c r="B100" s="217"/>
      <c r="C100" s="217">
        <f t="shared" si="6"/>
        <v>45728.555555555555</v>
      </c>
      <c r="D100" s="608">
        <v>180</v>
      </c>
      <c r="E100" s="635"/>
      <c r="F100" s="218">
        <f>LongTest!F98</f>
        <v>14.844849844497581</v>
      </c>
      <c r="G100" s="218">
        <f>LongTest!G98</f>
        <v>3.4948498444975815</v>
      </c>
      <c r="H100" s="608"/>
      <c r="I100" s="609"/>
      <c r="J100" s="610"/>
    </row>
    <row r="101" spans="1:10" ht="24.95" customHeight="1">
      <c r="A101" s="240"/>
      <c r="B101" s="217"/>
      <c r="C101" s="217">
        <f t="shared" si="6"/>
        <v>45728.597222222219</v>
      </c>
      <c r="D101" s="608">
        <v>240</v>
      </c>
      <c r="E101" s="635"/>
      <c r="F101" s="218">
        <f>LongTest!F99</f>
        <v>14.218296333601067</v>
      </c>
      <c r="G101" s="218">
        <f>LongTest!G99</f>
        <v>2.8682963336010681</v>
      </c>
      <c r="H101" s="608"/>
      <c r="I101" s="609"/>
      <c r="J101" s="610"/>
    </row>
    <row r="102" spans="1:10" ht="24.95" customHeight="1">
      <c r="A102" s="240"/>
      <c r="B102" s="217"/>
      <c r="C102" s="217">
        <f t="shared" si="6"/>
        <v>45728.638888888891</v>
      </c>
      <c r="D102" s="608">
        <v>300</v>
      </c>
      <c r="E102" s="635"/>
      <c r="F102" s="218">
        <f>LongTest!F100</f>
        <v>13.704070767962296</v>
      </c>
      <c r="G102" s="218">
        <f>LongTest!G100</f>
        <v>2.3540707679622961</v>
      </c>
      <c r="H102" s="608"/>
      <c r="I102" s="609"/>
      <c r="J102" s="610"/>
    </row>
    <row r="103" spans="1:10" ht="24.95" customHeight="1" thickBot="1">
      <c r="A103" s="244"/>
      <c r="B103" s="245"/>
      <c r="C103" s="245">
        <f t="shared" si="6"/>
        <v>45728.680555555555</v>
      </c>
      <c r="D103" s="611">
        <v>360</v>
      </c>
      <c r="E103" s="636"/>
      <c r="F103" s="246">
        <f>LongTest!F101</f>
        <v>13.282035095417495</v>
      </c>
      <c r="G103" s="246">
        <f>LongTest!G101</f>
        <v>1.9320350954174961</v>
      </c>
      <c r="H103" s="611" t="s">
        <v>320</v>
      </c>
      <c r="I103" s="612"/>
      <c r="J103" s="61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0" zoomScaleNormal="130" zoomScaleSheetLayoutView="100" workbookViewId="0">
      <selection activeCell="C5" sqref="C5:J5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313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C55</f>
        <v>45727.430555555555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0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213" t="s">
        <v>325</v>
      </c>
      <c r="H7" s="628">
        <f>Input!I50</f>
        <v>48</v>
      </c>
      <c r="I7" s="621"/>
      <c r="J7" s="214" t="s">
        <v>298</v>
      </c>
    </row>
    <row r="8" spans="1:10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301</v>
      </c>
      <c r="H8" s="628">
        <f>LongTest!G7</f>
        <v>158</v>
      </c>
      <c r="I8" s="621"/>
      <c r="J8" s="214" t="s">
        <v>298</v>
      </c>
    </row>
    <row r="9" spans="1:10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303</v>
      </c>
      <c r="H9" s="628">
        <f>LongTest!G8</f>
        <v>38.270000000000003</v>
      </c>
      <c r="I9" s="621"/>
      <c r="J9" s="214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55" si="0">$C$4+D12/1440</f>
        <v>45726.431250000001</v>
      </c>
      <c r="D12" s="632">
        <v>1</v>
      </c>
      <c r="E12" s="632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32">
        <v>2</v>
      </c>
      <c r="E13" s="632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32">
        <v>3</v>
      </c>
      <c r="E14" s="632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32">
        <v>4</v>
      </c>
      <c r="E15" s="632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32">
        <v>5</v>
      </c>
      <c r="E16" s="632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32">
        <v>10</v>
      </c>
      <c r="E17" s="632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32">
        <v>15</v>
      </c>
      <c r="E18" s="632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32">
        <v>20</v>
      </c>
      <c r="E19" s="632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32">
        <v>25</v>
      </c>
      <c r="E20" s="632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32">
        <v>30</v>
      </c>
      <c r="E21" s="632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32">
        <v>35</v>
      </c>
      <c r="E22" s="632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32">
        <v>40</v>
      </c>
      <c r="E23" s="632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32">
        <v>45</v>
      </c>
      <c r="E24" s="632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32">
        <v>50</v>
      </c>
      <c r="E25" s="632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32">
        <v>55</v>
      </c>
      <c r="E26" s="632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32">
        <v>60</v>
      </c>
      <c r="E27" s="632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32">
        <v>75</v>
      </c>
      <c r="E28" s="632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32">
        <v>90</v>
      </c>
      <c r="E29" s="632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32">
        <v>105</v>
      </c>
      <c r="E30" s="632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32">
        <v>120</v>
      </c>
      <c r="E31" s="632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32">
        <v>140</v>
      </c>
      <c r="E32" s="632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32">
        <v>160</v>
      </c>
      <c r="E33" s="632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32">
        <v>180</v>
      </c>
      <c r="E34" s="632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32">
        <v>240</v>
      </c>
      <c r="E35" s="632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32">
        <v>300</v>
      </c>
      <c r="E36" s="632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32">
        <v>360</v>
      </c>
      <c r="E37" s="632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32">
        <v>420</v>
      </c>
      <c r="E38" s="632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32">
        <v>480</v>
      </c>
      <c r="E39" s="632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32">
        <v>540</v>
      </c>
      <c r="E40" s="632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32">
        <v>600</v>
      </c>
      <c r="E41" s="632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32">
        <v>660</v>
      </c>
      <c r="E42" s="632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32">
        <v>720</v>
      </c>
      <c r="E43" s="632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si="0"/>
        <v>45726.972222222219</v>
      </c>
      <c r="D44" s="632">
        <v>780</v>
      </c>
      <c r="E44" s="632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0"/>
        <v>45727.013888888891</v>
      </c>
      <c r="D45" s="632">
        <v>840</v>
      </c>
      <c r="E45" s="632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0"/>
        <v>45727.055555555555</v>
      </c>
      <c r="D46" s="632">
        <v>900</v>
      </c>
      <c r="E46" s="632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0"/>
        <v>45727.097222222219</v>
      </c>
      <c r="D47" s="632">
        <v>960</v>
      </c>
      <c r="E47" s="632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0"/>
        <v>45727.138888888891</v>
      </c>
      <c r="D48" s="632">
        <v>1020</v>
      </c>
      <c r="E48" s="632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0"/>
        <v>45727.180555555555</v>
      </c>
      <c r="D49" s="632">
        <v>1080</v>
      </c>
      <c r="E49" s="632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0"/>
        <v>45727.222222222219</v>
      </c>
      <c r="D50" s="632">
        <v>1140</v>
      </c>
      <c r="E50" s="632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0"/>
        <v>45727.263888888891</v>
      </c>
      <c r="D51" s="632">
        <v>1200</v>
      </c>
      <c r="E51" s="632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0"/>
        <v>45727.305555555555</v>
      </c>
      <c r="D52" s="632">
        <v>1260</v>
      </c>
      <c r="E52" s="632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0"/>
        <v>45727.347222222219</v>
      </c>
      <c r="D53" s="632">
        <v>1320</v>
      </c>
      <c r="E53" s="632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0"/>
        <v>45727.388888888891</v>
      </c>
      <c r="D54" s="632">
        <v>1380</v>
      </c>
      <c r="E54" s="632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0"/>
        <v>45727.430555555555</v>
      </c>
      <c r="D55" s="632">
        <v>1440</v>
      </c>
      <c r="E55" s="632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/>
      <c r="D56" s="608"/>
      <c r="E56" s="635"/>
      <c r="F56" s="213"/>
      <c r="G56" s="213"/>
      <c r="H56" s="213"/>
      <c r="I56" s="213"/>
      <c r="J56" s="214"/>
    </row>
    <row r="57" spans="1:10" ht="24.95" customHeight="1">
      <c r="A57" s="240"/>
      <c r="B57" s="217"/>
      <c r="C57" s="217"/>
      <c r="D57" s="608"/>
      <c r="E57" s="635"/>
      <c r="F57" s="213"/>
      <c r="G57" s="213"/>
      <c r="H57" s="213"/>
      <c r="I57" s="213"/>
      <c r="J57" s="214"/>
    </row>
    <row r="58" spans="1:10" ht="24.95" customHeight="1">
      <c r="A58" s="240"/>
      <c r="B58" s="213">
        <v>0</v>
      </c>
      <c r="C58" s="217">
        <f>$C$4+(D58+1440)/1440</f>
        <v>45727.431250000001</v>
      </c>
      <c r="D58" s="608">
        <v>1</v>
      </c>
      <c r="E58" s="635"/>
      <c r="F58" s="218">
        <f>LongTest!F78</f>
        <v>28.327140693723948</v>
      </c>
      <c r="G58" s="218">
        <f>LongTest!G78</f>
        <v>16.977140693723946</v>
      </c>
      <c r="H58" s="628" t="s">
        <v>191</v>
      </c>
      <c r="I58" s="637"/>
      <c r="J58" s="638"/>
    </row>
    <row r="59" spans="1:10" ht="24.95" customHeight="1">
      <c r="A59" s="240"/>
      <c r="B59" s="217"/>
      <c r="C59" s="217">
        <f t="shared" ref="C59:C77" si="1">$C$4+(D59+1440)/1440</f>
        <v>45727.431944444441</v>
      </c>
      <c r="D59" s="608">
        <v>2</v>
      </c>
      <c r="E59" s="635"/>
      <c r="F59" s="218">
        <f>LongTest!F79</f>
        <v>26.73021109021095</v>
      </c>
      <c r="G59" s="218">
        <f>LongTest!G79</f>
        <v>15.380211090210949</v>
      </c>
      <c r="H59" s="608"/>
      <c r="I59" s="609"/>
      <c r="J59" s="610"/>
    </row>
    <row r="60" spans="1:10" ht="24.95" customHeight="1">
      <c r="A60" s="240"/>
      <c r="B60" s="217"/>
      <c r="C60" s="217">
        <f t="shared" si="1"/>
        <v>45727.432638888888</v>
      </c>
      <c r="D60" s="608">
        <v>3</v>
      </c>
      <c r="E60" s="635"/>
      <c r="F60" s="218">
        <f>LongTest!F80</f>
        <v>25.283494305486641</v>
      </c>
      <c r="G60" s="218">
        <f>LongTest!G80</f>
        <v>13.93349430548664</v>
      </c>
      <c r="H60" s="608"/>
      <c r="I60" s="609"/>
      <c r="J60" s="610"/>
    </row>
    <row r="61" spans="1:10" ht="24.95" customHeight="1">
      <c r="A61" s="240"/>
      <c r="B61" s="217"/>
      <c r="C61" s="217">
        <f t="shared" si="1"/>
        <v>45727.433333333334</v>
      </c>
      <c r="D61" s="608">
        <v>4</v>
      </c>
      <c r="E61" s="635"/>
      <c r="F61" s="218">
        <f>LongTest!F81</f>
        <v>23.972860793152201</v>
      </c>
      <c r="G61" s="218">
        <f>LongTest!G81</f>
        <v>12.622860793152199</v>
      </c>
      <c r="H61" s="608"/>
      <c r="I61" s="609"/>
      <c r="J61" s="610"/>
    </row>
    <row r="62" spans="1:10" ht="24.95" customHeight="1">
      <c r="A62" s="240"/>
      <c r="B62" s="217"/>
      <c r="C62" s="217">
        <f t="shared" si="1"/>
        <v>45727.434027777774</v>
      </c>
      <c r="D62" s="608">
        <v>5</v>
      </c>
      <c r="E62" s="635"/>
      <c r="F62" s="218">
        <f>LongTest!F82</f>
        <v>22.785510081671077</v>
      </c>
      <c r="G62" s="218">
        <f>LongTest!G82</f>
        <v>11.435510081671076</v>
      </c>
      <c r="H62" s="608"/>
      <c r="I62" s="609"/>
      <c r="J62" s="610"/>
    </row>
    <row r="63" spans="1:10" ht="24.95" customHeight="1">
      <c r="A63" s="240"/>
      <c r="B63" s="217"/>
      <c r="C63" s="217">
        <f t="shared" si="1"/>
        <v>45727.4375</v>
      </c>
      <c r="D63" s="608">
        <v>10</v>
      </c>
      <c r="E63" s="635"/>
      <c r="F63" s="218">
        <f>LongTest!F83</f>
        <v>19.852542004201268</v>
      </c>
      <c r="G63" s="218">
        <f>LongTest!G83</f>
        <v>8.5025420042012705</v>
      </c>
      <c r="H63" s="608"/>
      <c r="I63" s="609"/>
      <c r="J63" s="610"/>
    </row>
    <row r="64" spans="1:10" ht="24.95" customHeight="1">
      <c r="A64" s="240"/>
      <c r="B64" s="217"/>
      <c r="C64" s="217">
        <f t="shared" si="1"/>
        <v>45727.440972222219</v>
      </c>
      <c r="D64" s="608">
        <v>15</v>
      </c>
      <c r="E64" s="635"/>
      <c r="F64" s="218">
        <f>LongTest!F84</f>
        <v>19.310627178404037</v>
      </c>
      <c r="G64" s="218">
        <f>LongTest!G84</f>
        <v>7.960627178404037</v>
      </c>
      <c r="H64" s="608"/>
      <c r="I64" s="609"/>
      <c r="J64" s="610"/>
    </row>
    <row r="65" spans="1:10" ht="24.95" customHeight="1">
      <c r="A65" s="240"/>
      <c r="B65" s="217"/>
      <c r="C65" s="217">
        <f t="shared" si="1"/>
        <v>45727.444444444445</v>
      </c>
      <c r="D65" s="608">
        <v>20</v>
      </c>
      <c r="E65" s="635"/>
      <c r="F65" s="218">
        <f>LongTest!F85</f>
        <v>17.883453156773275</v>
      </c>
      <c r="G65" s="218">
        <f>LongTest!G85</f>
        <v>6.5334531567732759</v>
      </c>
      <c r="H65" s="608"/>
      <c r="I65" s="609"/>
      <c r="J65" s="610"/>
    </row>
    <row r="66" spans="1:10" ht="24.95" customHeight="1">
      <c r="A66" s="240"/>
      <c r="B66" s="217"/>
      <c r="C66" s="217">
        <f t="shared" si="1"/>
        <v>45727.447916666664</v>
      </c>
      <c r="D66" s="608">
        <v>25</v>
      </c>
      <c r="E66" s="635"/>
      <c r="F66" s="218">
        <f>LongTest!F86</f>
        <v>17.268893558814966</v>
      </c>
      <c r="G66" s="218">
        <f>LongTest!G86</f>
        <v>5.9188935588149674</v>
      </c>
      <c r="H66" s="608"/>
      <c r="I66" s="609"/>
      <c r="J66" s="610"/>
    </row>
    <row r="67" spans="1:10" ht="24.95" customHeight="1">
      <c r="A67" s="240"/>
      <c r="B67" s="217"/>
      <c r="C67" s="217">
        <f t="shared" si="1"/>
        <v>45727.451388888891</v>
      </c>
      <c r="D67" s="608">
        <v>30</v>
      </c>
      <c r="E67" s="635"/>
      <c r="F67" s="218">
        <f>LongTest!F87</f>
        <v>16.71214159954021</v>
      </c>
      <c r="G67" s="218">
        <f>LongTest!G87</f>
        <v>5.3621415995402115</v>
      </c>
      <c r="H67" s="608"/>
      <c r="I67" s="609"/>
      <c r="J67" s="610"/>
    </row>
    <row r="68" spans="1:10" ht="24.95" customHeight="1">
      <c r="A68" s="240"/>
      <c r="B68" s="217"/>
      <c r="C68" s="217">
        <f t="shared" si="1"/>
        <v>45727.454861111109</v>
      </c>
      <c r="D68" s="608">
        <v>35</v>
      </c>
      <c r="E68" s="635"/>
      <c r="F68" s="218">
        <f>LongTest!F88</f>
        <v>16.53844870842914</v>
      </c>
      <c r="G68" s="218">
        <f>LongTest!G88</f>
        <v>5.1884487084291395</v>
      </c>
      <c r="H68" s="608"/>
      <c r="I68" s="609"/>
      <c r="J68" s="610"/>
    </row>
    <row r="69" spans="1:10" ht="24.95" customHeight="1">
      <c r="A69" s="240"/>
      <c r="B69" s="217"/>
      <c r="C69" s="217">
        <f t="shared" si="1"/>
        <v>45727.458333333336</v>
      </c>
      <c r="D69" s="608">
        <v>40</v>
      </c>
      <c r="E69" s="635"/>
      <c r="F69" s="218">
        <f>LongTest!F89</f>
        <v>16.370382155202378</v>
      </c>
      <c r="G69" s="218">
        <f>LongTest!G89</f>
        <v>5.0203821552023769</v>
      </c>
      <c r="H69" s="608"/>
      <c r="I69" s="609"/>
      <c r="J69" s="610"/>
    </row>
    <row r="70" spans="1:10" ht="24.95" customHeight="1">
      <c r="A70" s="240"/>
      <c r="B70" s="217"/>
      <c r="C70" s="217">
        <f t="shared" si="1"/>
        <v>45727.461805555555</v>
      </c>
      <c r="D70" s="608">
        <v>45</v>
      </c>
      <c r="E70" s="635"/>
      <c r="F70" s="218">
        <f>LongTest!F90</f>
        <v>16.207759689004487</v>
      </c>
      <c r="G70" s="218">
        <f>LongTest!G90</f>
        <v>4.8577596890044861</v>
      </c>
      <c r="H70" s="608"/>
      <c r="I70" s="609"/>
      <c r="J70" s="610"/>
    </row>
    <row r="71" spans="1:10" ht="24.95" customHeight="1">
      <c r="A71" s="240"/>
      <c r="B71" s="217"/>
      <c r="C71" s="217">
        <f t="shared" si="1"/>
        <v>45727.465277777774</v>
      </c>
      <c r="D71" s="608">
        <v>50</v>
      </c>
      <c r="E71" s="635"/>
      <c r="F71" s="218">
        <f>LongTest!F91</f>
        <v>16.050404962531324</v>
      </c>
      <c r="G71" s="218">
        <f>LongTest!G91</f>
        <v>4.7004049625313247</v>
      </c>
      <c r="H71" s="608"/>
      <c r="I71" s="609"/>
      <c r="J71" s="610"/>
    </row>
    <row r="72" spans="1:10" ht="24.95" customHeight="1">
      <c r="A72" s="240"/>
      <c r="B72" s="217"/>
      <c r="C72" s="217">
        <f t="shared" si="1"/>
        <v>45727.46875</v>
      </c>
      <c r="D72" s="608">
        <v>55</v>
      </c>
      <c r="E72" s="635"/>
      <c r="F72" s="218">
        <f>LongTest!F92</f>
        <v>15.898147340799571</v>
      </c>
      <c r="G72" s="218">
        <f>LongTest!G92</f>
        <v>4.5481473407995727</v>
      </c>
      <c r="H72" s="608"/>
      <c r="I72" s="609"/>
      <c r="J72" s="610"/>
    </row>
    <row r="73" spans="1:10" ht="24.95" customHeight="1">
      <c r="A73" s="240"/>
      <c r="B73" s="217"/>
      <c r="C73" s="217">
        <f t="shared" si="1"/>
        <v>45727.472222222219</v>
      </c>
      <c r="D73" s="608">
        <v>60</v>
      </c>
      <c r="E73" s="635"/>
      <c r="F73" s="218">
        <f>LongTest!F93</f>
        <v>15.75082171611067</v>
      </c>
      <c r="G73" s="218">
        <f>LongTest!G93</f>
        <v>4.40082171611067</v>
      </c>
      <c r="H73" s="608"/>
      <c r="I73" s="609"/>
      <c r="J73" s="610"/>
    </row>
    <row r="74" spans="1:10" ht="24.95" customHeight="1">
      <c r="A74" s="240"/>
      <c r="B74" s="217"/>
      <c r="C74" s="217">
        <f t="shared" si="1"/>
        <v>45727.482638888891</v>
      </c>
      <c r="D74" s="608">
        <v>75</v>
      </c>
      <c r="E74" s="635"/>
      <c r="F74" s="218">
        <f>LongTest!F94</f>
        <v>15.608268329008549</v>
      </c>
      <c r="G74" s="218">
        <f>LongTest!G94</f>
        <v>4.2582683290085486</v>
      </c>
      <c r="H74" s="608"/>
      <c r="I74" s="609"/>
      <c r="J74" s="610"/>
    </row>
    <row r="75" spans="1:10" ht="24.95" customHeight="1">
      <c r="A75" s="240"/>
      <c r="B75" s="217"/>
      <c r="C75" s="217">
        <f t="shared" si="1"/>
        <v>45727.493055555555</v>
      </c>
      <c r="D75" s="608">
        <v>90</v>
      </c>
      <c r="E75" s="635"/>
      <c r="F75" s="218">
        <f>LongTest!F95</f>
        <v>15.470332595036952</v>
      </c>
      <c r="G75" s="218">
        <f>LongTest!G95</f>
        <v>4.1203325950369525</v>
      </c>
      <c r="H75" s="608"/>
      <c r="I75" s="609"/>
      <c r="J75" s="610"/>
    </row>
    <row r="76" spans="1:10" ht="24.95" customHeight="1">
      <c r="A76" s="240"/>
      <c r="B76" s="217"/>
      <c r="C76" s="217">
        <f t="shared" si="1"/>
        <v>45727.503472222219</v>
      </c>
      <c r="D76" s="608">
        <v>105</v>
      </c>
      <c r="E76" s="635"/>
      <c r="F76" s="218">
        <f>LongTest!F96</f>
        <v>15.336864937108539</v>
      </c>
      <c r="G76" s="218">
        <f>LongTest!G96</f>
        <v>3.9868649371085385</v>
      </c>
      <c r="H76" s="608"/>
      <c r="I76" s="609"/>
      <c r="J76" s="610"/>
    </row>
    <row r="77" spans="1:10" ht="24.95" customHeight="1">
      <c r="A77" s="240"/>
      <c r="B77" s="217"/>
      <c r="C77" s="217">
        <f t="shared" si="1"/>
        <v>45727.513888888891</v>
      </c>
      <c r="D77" s="608">
        <v>120</v>
      </c>
      <c r="E77" s="635"/>
      <c r="F77" s="218">
        <f>LongTest!F97</f>
        <v>14.961846389631328</v>
      </c>
      <c r="G77" s="218">
        <f>LongTest!G97</f>
        <v>3.6118463896313284</v>
      </c>
      <c r="H77" s="608" t="s">
        <v>326</v>
      </c>
      <c r="I77" s="609"/>
      <c r="J77" s="610"/>
    </row>
    <row r="78" spans="1:10" ht="24.95" customHeight="1">
      <c r="A78" s="240"/>
      <c r="B78" s="217"/>
      <c r="C78" s="217"/>
      <c r="D78" s="608"/>
      <c r="E78" s="635"/>
      <c r="F78" s="218"/>
      <c r="G78" s="218"/>
      <c r="H78" s="608"/>
      <c r="I78" s="609"/>
      <c r="J78" s="610"/>
    </row>
    <row r="79" spans="1:10" ht="24.95" customHeight="1">
      <c r="A79" s="240"/>
      <c r="B79" s="217"/>
      <c r="C79" s="217"/>
      <c r="D79" s="608"/>
      <c r="E79" s="635"/>
      <c r="F79" s="218"/>
      <c r="G79" s="218"/>
      <c r="H79" s="608"/>
      <c r="I79" s="609"/>
      <c r="J79" s="610"/>
    </row>
    <row r="80" spans="1:10" ht="24.95" customHeight="1">
      <c r="A80" s="240"/>
      <c r="B80" s="217"/>
      <c r="C80" s="217"/>
      <c r="D80" s="608"/>
      <c r="E80" s="635"/>
      <c r="F80" s="218"/>
      <c r="G80" s="218"/>
      <c r="H80" s="608"/>
      <c r="I80" s="609"/>
      <c r="J80" s="610"/>
    </row>
    <row r="81" spans="1:10" ht="24.95" customHeight="1" thickBot="1">
      <c r="A81" s="244"/>
      <c r="B81" s="245"/>
      <c r="C81" s="245"/>
      <c r="D81" s="611"/>
      <c r="E81" s="636"/>
      <c r="F81" s="246"/>
      <c r="G81" s="246"/>
      <c r="H81" s="611"/>
      <c r="I81" s="612"/>
      <c r="J81" s="61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1" ht="45" customHeight="1" thickBot="1">
      <c r="A1" s="639" t="s">
        <v>317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1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1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1" ht="24.95" customHeight="1">
      <c r="A4" s="620" t="s">
        <v>294</v>
      </c>
      <c r="B4" s="621"/>
      <c r="C4" s="622">
        <f>StepTest!C12</f>
        <v>45725.430555555555</v>
      </c>
      <c r="D4" s="623"/>
      <c r="E4" s="623"/>
      <c r="F4" s="623"/>
      <c r="G4" s="623"/>
      <c r="H4" s="623"/>
      <c r="I4" s="623"/>
      <c r="J4" s="624"/>
    </row>
    <row r="5" spans="1:11" ht="24.95" customHeight="1">
      <c r="A5" s="620" t="s">
        <v>295</v>
      </c>
      <c r="B5" s="621"/>
      <c r="C5" s="622">
        <f>StepTest!C51</f>
        <v>45725.847222222219</v>
      </c>
      <c r="D5" s="623"/>
      <c r="E5" s="623"/>
      <c r="F5" s="623"/>
      <c r="G5" s="623"/>
      <c r="H5" s="623"/>
      <c r="I5" s="623"/>
      <c r="J5" s="624"/>
    </row>
    <row r="6" spans="1:11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1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608"/>
      <c r="H7" s="609"/>
      <c r="I7" s="609"/>
      <c r="J7" s="610"/>
    </row>
    <row r="8" spans="1:11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325</v>
      </c>
      <c r="H8" s="628">
        <f>LongTest!G7</f>
        <v>158</v>
      </c>
      <c r="I8" s="621"/>
      <c r="J8" s="214" t="s">
        <v>298</v>
      </c>
    </row>
    <row r="9" spans="1:11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318</v>
      </c>
      <c r="H9" s="628">
        <f>Input!M51</f>
        <v>200</v>
      </c>
      <c r="I9" s="621"/>
      <c r="J9" s="214" t="s">
        <v>306</v>
      </c>
    </row>
    <row r="10" spans="1:11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1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  <c r="K11" s="247"/>
    </row>
    <row r="12" spans="1:11" ht="24.95" customHeight="1">
      <c r="A12" s="215">
        <v>1</v>
      </c>
      <c r="B12" s="216">
        <f>Input!D20</f>
        <v>125</v>
      </c>
      <c r="C12" s="217">
        <f t="shared" ref="C12:C51" si="0">$C$4+D12/1440</f>
        <v>45725.431250000001</v>
      </c>
      <c r="D12" s="632">
        <v>1</v>
      </c>
      <c r="E12" s="632"/>
      <c r="F12" s="218">
        <f>StepTest!F12</f>
        <v>12.65</v>
      </c>
      <c r="G12" s="218">
        <f>StepTest!G12</f>
        <v>1.3</v>
      </c>
      <c r="H12" s="653"/>
      <c r="I12" s="654"/>
      <c r="J12" s="655"/>
    </row>
    <row r="13" spans="1:11" ht="24.95" customHeight="1">
      <c r="A13" s="215"/>
      <c r="B13" s="213"/>
      <c r="C13" s="217">
        <f t="shared" si="0"/>
        <v>45725.431944444441</v>
      </c>
      <c r="D13" s="632">
        <v>2</v>
      </c>
      <c r="E13" s="632"/>
      <c r="F13" s="218">
        <f>StepTest!F13</f>
        <v>13.83</v>
      </c>
      <c r="G13" s="218">
        <f>StepTest!G13</f>
        <v>2.48</v>
      </c>
      <c r="H13" s="653"/>
      <c r="I13" s="654"/>
      <c r="J13" s="655"/>
    </row>
    <row r="14" spans="1:11" ht="24.95" customHeight="1">
      <c r="A14" s="215"/>
      <c r="B14" s="213"/>
      <c r="C14" s="217">
        <f t="shared" si="0"/>
        <v>45725.432638888888</v>
      </c>
      <c r="D14" s="632">
        <v>3</v>
      </c>
      <c r="E14" s="632"/>
      <c r="F14" s="218">
        <f>StepTest!F14</f>
        <v>14.7</v>
      </c>
      <c r="G14" s="218">
        <f>StepTest!G14</f>
        <v>3.35</v>
      </c>
      <c r="H14" s="653"/>
      <c r="I14" s="654"/>
      <c r="J14" s="655"/>
    </row>
    <row r="15" spans="1:11" ht="24.95" customHeight="1">
      <c r="A15" s="215"/>
      <c r="B15" s="213"/>
      <c r="C15" s="217">
        <f t="shared" si="0"/>
        <v>45725.433333333334</v>
      </c>
      <c r="D15" s="632">
        <v>4</v>
      </c>
      <c r="E15" s="632"/>
      <c r="F15" s="218">
        <f>StepTest!F15</f>
        <v>15.32</v>
      </c>
      <c r="G15" s="218">
        <f>StepTest!G15</f>
        <v>3.97</v>
      </c>
      <c r="H15" s="653"/>
      <c r="I15" s="654"/>
      <c r="J15" s="655"/>
    </row>
    <row r="16" spans="1:11" ht="24.95" customHeight="1">
      <c r="A16" s="215"/>
      <c r="B16" s="213"/>
      <c r="C16" s="217">
        <f t="shared" si="0"/>
        <v>45725.434027777774</v>
      </c>
      <c r="D16" s="632">
        <v>5</v>
      </c>
      <c r="E16" s="632"/>
      <c r="F16" s="218">
        <f>StepTest!F16</f>
        <v>15.8</v>
      </c>
      <c r="G16" s="218">
        <f>StepTest!G16</f>
        <v>4.45</v>
      </c>
      <c r="H16" s="608"/>
      <c r="I16" s="609"/>
      <c r="J16" s="610"/>
    </row>
    <row r="17" spans="1:10" ht="24.95" customHeight="1">
      <c r="A17" s="215"/>
      <c r="B17" s="213"/>
      <c r="C17" s="217">
        <f t="shared" si="0"/>
        <v>45725.4375</v>
      </c>
      <c r="D17" s="632">
        <v>10</v>
      </c>
      <c r="E17" s="632"/>
      <c r="F17" s="218">
        <f>StepTest!F17</f>
        <v>17.28</v>
      </c>
      <c r="G17" s="218">
        <f>StepTest!G17</f>
        <v>5.93</v>
      </c>
      <c r="H17" s="608"/>
      <c r="I17" s="609"/>
      <c r="J17" s="610"/>
    </row>
    <row r="18" spans="1:10" ht="24.95" customHeight="1">
      <c r="A18" s="215"/>
      <c r="B18" s="213"/>
      <c r="C18" s="217">
        <f t="shared" si="0"/>
        <v>45725.440972222219</v>
      </c>
      <c r="D18" s="632">
        <v>15</v>
      </c>
      <c r="E18" s="632"/>
      <c r="F18" s="218">
        <f>StepTest!F18</f>
        <v>18.149999999999999</v>
      </c>
      <c r="G18" s="218">
        <f>StepTest!G18</f>
        <v>6.8</v>
      </c>
      <c r="H18" s="608"/>
      <c r="I18" s="609"/>
      <c r="J18" s="610"/>
    </row>
    <row r="19" spans="1:10" ht="24.95" customHeight="1">
      <c r="A19" s="215"/>
      <c r="B19" s="213"/>
      <c r="C19" s="217">
        <f t="shared" si="0"/>
        <v>45725.444444444445</v>
      </c>
      <c r="D19" s="632">
        <v>20</v>
      </c>
      <c r="E19" s="632"/>
      <c r="F19" s="218">
        <f>StepTest!F19</f>
        <v>18.77</v>
      </c>
      <c r="G19" s="218">
        <f>StepTest!G19</f>
        <v>7.42</v>
      </c>
      <c r="H19" s="608"/>
      <c r="I19" s="609"/>
      <c r="J19" s="610"/>
    </row>
    <row r="20" spans="1:10" ht="24.95" customHeight="1">
      <c r="A20" s="215"/>
      <c r="B20" s="213"/>
      <c r="C20" s="217">
        <f t="shared" si="0"/>
        <v>45725.447916666664</v>
      </c>
      <c r="D20" s="632">
        <v>25</v>
      </c>
      <c r="E20" s="632"/>
      <c r="F20" s="218">
        <f>StepTest!F20</f>
        <v>19.239999999999998</v>
      </c>
      <c r="G20" s="218">
        <f>StepTest!G20</f>
        <v>7.89</v>
      </c>
      <c r="H20" s="608"/>
      <c r="I20" s="609"/>
      <c r="J20" s="610"/>
    </row>
    <row r="21" spans="1:10" ht="24.95" customHeight="1">
      <c r="A21" s="215"/>
      <c r="B21" s="213"/>
      <c r="C21" s="217">
        <f t="shared" si="0"/>
        <v>45725.451388888891</v>
      </c>
      <c r="D21" s="632">
        <v>30</v>
      </c>
      <c r="E21" s="632"/>
      <c r="F21" s="218">
        <f>StepTest!F21</f>
        <v>19.63</v>
      </c>
      <c r="G21" s="218">
        <f>StepTest!G21</f>
        <v>8.2799999999999994</v>
      </c>
      <c r="H21" s="608"/>
      <c r="I21" s="609"/>
      <c r="J21" s="610"/>
    </row>
    <row r="22" spans="1:10" ht="24.95" customHeight="1">
      <c r="A22" s="215"/>
      <c r="B22" s="213"/>
      <c r="C22" s="217">
        <f t="shared" si="0"/>
        <v>45725.454861111109</v>
      </c>
      <c r="D22" s="632">
        <v>35</v>
      </c>
      <c r="E22" s="632"/>
      <c r="F22" s="218">
        <f>StepTest!F22</f>
        <v>19.97</v>
      </c>
      <c r="G22" s="218">
        <f>StepTest!G22</f>
        <v>8.6199999999999992</v>
      </c>
      <c r="H22" s="608"/>
      <c r="I22" s="609"/>
      <c r="J22" s="610"/>
    </row>
    <row r="23" spans="1:10" ht="24.95" customHeight="1">
      <c r="A23" s="215"/>
      <c r="B23" s="213"/>
      <c r="C23" s="217">
        <f t="shared" si="0"/>
        <v>45725.458333333336</v>
      </c>
      <c r="D23" s="632">
        <v>40</v>
      </c>
      <c r="E23" s="632"/>
      <c r="F23" s="218">
        <f>StepTest!F23</f>
        <v>20.25</v>
      </c>
      <c r="G23" s="218">
        <f>StepTest!G23</f>
        <v>8.9</v>
      </c>
      <c r="H23" s="608"/>
      <c r="I23" s="609"/>
      <c r="J23" s="610"/>
    </row>
    <row r="24" spans="1:10" ht="24.95" customHeight="1">
      <c r="A24" s="215"/>
      <c r="B24" s="213"/>
      <c r="C24" s="217">
        <f t="shared" si="0"/>
        <v>45725.461805555555</v>
      </c>
      <c r="D24" s="632">
        <v>45</v>
      </c>
      <c r="E24" s="632"/>
      <c r="F24" s="218">
        <f>StepTest!F24</f>
        <v>20.5</v>
      </c>
      <c r="G24" s="218">
        <f>StepTest!G24</f>
        <v>9.15</v>
      </c>
      <c r="H24" s="608"/>
      <c r="I24" s="609"/>
      <c r="J24" s="610"/>
    </row>
    <row r="25" spans="1:10" ht="24.95" customHeight="1">
      <c r="A25" s="215"/>
      <c r="B25" s="213"/>
      <c r="C25" s="217">
        <f t="shared" si="0"/>
        <v>45725.465277777774</v>
      </c>
      <c r="D25" s="632">
        <v>50</v>
      </c>
      <c r="E25" s="632"/>
      <c r="F25" s="218">
        <f>StepTest!F25</f>
        <v>20.73</v>
      </c>
      <c r="G25" s="218">
        <f>StepTest!G25</f>
        <v>9.3800000000000008</v>
      </c>
      <c r="H25" s="608"/>
      <c r="I25" s="609"/>
      <c r="J25" s="610"/>
    </row>
    <row r="26" spans="1:10" ht="24.95" customHeight="1">
      <c r="A26" s="215"/>
      <c r="B26" s="213"/>
      <c r="C26" s="217">
        <f t="shared" si="0"/>
        <v>45725.46875</v>
      </c>
      <c r="D26" s="632">
        <v>55</v>
      </c>
      <c r="E26" s="632"/>
      <c r="F26" s="218">
        <f>StepTest!F26</f>
        <v>20.93</v>
      </c>
      <c r="G26" s="218">
        <f>StepTest!G26</f>
        <v>9.58</v>
      </c>
      <c r="H26" s="608"/>
      <c r="I26" s="609"/>
      <c r="J26" s="610"/>
    </row>
    <row r="27" spans="1:10" ht="24.95" customHeight="1">
      <c r="A27" s="215"/>
      <c r="B27" s="213"/>
      <c r="C27" s="217">
        <f t="shared" si="0"/>
        <v>45725.472222222219</v>
      </c>
      <c r="D27" s="632">
        <v>60</v>
      </c>
      <c r="E27" s="632"/>
      <c r="F27" s="218">
        <f>StepTest!F27</f>
        <v>21.119999999999997</v>
      </c>
      <c r="G27" s="218">
        <f>StepTest!G27</f>
        <v>9.77</v>
      </c>
      <c r="H27" s="608"/>
      <c r="I27" s="609"/>
      <c r="J27" s="610"/>
    </row>
    <row r="28" spans="1:10" ht="24.95" customHeight="1">
      <c r="A28" s="215"/>
      <c r="B28" s="213"/>
      <c r="C28" s="217">
        <f t="shared" si="0"/>
        <v>45725.482638888891</v>
      </c>
      <c r="D28" s="632">
        <v>75</v>
      </c>
      <c r="E28" s="632"/>
      <c r="F28" s="218">
        <f>StepTest!F28</f>
        <v>21.6</v>
      </c>
      <c r="G28" s="218">
        <f>StepTest!G28</f>
        <v>10.25</v>
      </c>
      <c r="H28" s="608"/>
      <c r="I28" s="609"/>
      <c r="J28" s="610"/>
    </row>
    <row r="29" spans="1:10" ht="24.95" customHeight="1">
      <c r="A29" s="215"/>
      <c r="B29" s="213"/>
      <c r="C29" s="217">
        <f t="shared" si="0"/>
        <v>45725.493055555555</v>
      </c>
      <c r="D29" s="632">
        <v>90</v>
      </c>
      <c r="E29" s="632"/>
      <c r="F29" s="218">
        <f>StepTest!F29</f>
        <v>21.990000000000002</v>
      </c>
      <c r="G29" s="218">
        <f>StepTest!G29</f>
        <v>10.64</v>
      </c>
      <c r="H29" s="608"/>
      <c r="I29" s="609"/>
      <c r="J29" s="610"/>
    </row>
    <row r="30" spans="1:10" ht="24.95" customHeight="1">
      <c r="A30" s="215"/>
      <c r="B30" s="213"/>
      <c r="C30" s="217">
        <f t="shared" si="0"/>
        <v>45725.503472222219</v>
      </c>
      <c r="D30" s="632">
        <v>105</v>
      </c>
      <c r="E30" s="632"/>
      <c r="F30" s="218">
        <f>StepTest!F30</f>
        <v>22.32</v>
      </c>
      <c r="G30" s="218">
        <f>StepTest!G30</f>
        <v>10.97</v>
      </c>
      <c r="H30" s="608"/>
      <c r="I30" s="609"/>
      <c r="J30" s="610"/>
    </row>
    <row r="31" spans="1:10" ht="24.95" customHeight="1">
      <c r="A31" s="215"/>
      <c r="B31" s="213"/>
      <c r="C31" s="217">
        <f t="shared" si="0"/>
        <v>45725.513888888891</v>
      </c>
      <c r="D31" s="632">
        <v>120</v>
      </c>
      <c r="E31" s="632"/>
      <c r="F31" s="218">
        <f>StepTest!F31</f>
        <v>22.61</v>
      </c>
      <c r="G31" s="218">
        <f>StepTest!G31</f>
        <v>11.26</v>
      </c>
      <c r="H31" s="608"/>
      <c r="I31" s="609"/>
      <c r="J31" s="610"/>
    </row>
    <row r="32" spans="1:10" ht="24.95" customHeight="1">
      <c r="A32" s="219">
        <v>2</v>
      </c>
      <c r="B32" s="216">
        <f>Input!D21</f>
        <v>160</v>
      </c>
      <c r="C32" s="217">
        <f t="shared" si="0"/>
        <v>45725.520833333336</v>
      </c>
      <c r="D32" s="632">
        <v>130</v>
      </c>
      <c r="E32" s="632"/>
      <c r="F32" s="218">
        <f>StepTest!F32</f>
        <v>24.86</v>
      </c>
      <c r="G32" s="218">
        <f>StepTest!G32</f>
        <v>13.51</v>
      </c>
      <c r="H32" s="608"/>
      <c r="I32" s="609"/>
      <c r="J32" s="610"/>
    </row>
    <row r="33" spans="1:10" ht="24.95" customHeight="1">
      <c r="A33" s="219"/>
      <c r="B33" s="216"/>
      <c r="C33" s="217">
        <f t="shared" si="0"/>
        <v>45725.527777777774</v>
      </c>
      <c r="D33" s="632">
        <v>140</v>
      </c>
      <c r="E33" s="632"/>
      <c r="F33" s="218">
        <f>StepTest!F33</f>
        <v>25.240000000000002</v>
      </c>
      <c r="G33" s="218">
        <f>StepTest!G33</f>
        <v>13.89</v>
      </c>
      <c r="H33" s="608"/>
      <c r="I33" s="609"/>
      <c r="J33" s="610"/>
    </row>
    <row r="34" spans="1:10" ht="24.95" customHeight="1">
      <c r="A34" s="219"/>
      <c r="B34" s="216"/>
      <c r="C34" s="217">
        <f t="shared" si="0"/>
        <v>45725.534722222219</v>
      </c>
      <c r="D34" s="632">
        <v>150</v>
      </c>
      <c r="E34" s="632"/>
      <c r="F34" s="218">
        <f>StepTest!F34</f>
        <v>25.61</v>
      </c>
      <c r="G34" s="218">
        <f>StepTest!G34</f>
        <v>14.26</v>
      </c>
      <c r="H34" s="608"/>
      <c r="I34" s="609"/>
      <c r="J34" s="610"/>
    </row>
    <row r="35" spans="1:10" ht="24.95" customHeight="1">
      <c r="A35" s="219"/>
      <c r="B35" s="216"/>
      <c r="C35" s="217">
        <f t="shared" si="0"/>
        <v>45725.555555555555</v>
      </c>
      <c r="D35" s="632">
        <v>180</v>
      </c>
      <c r="E35" s="632"/>
      <c r="F35" s="218">
        <f>StepTest!F35</f>
        <v>25.990000000000002</v>
      </c>
      <c r="G35" s="218">
        <f>StepTest!G35</f>
        <v>14.64</v>
      </c>
      <c r="H35" s="608"/>
      <c r="I35" s="609"/>
      <c r="J35" s="610"/>
    </row>
    <row r="36" spans="1:10" ht="24.95" customHeight="1">
      <c r="A36" s="219"/>
      <c r="B36" s="216"/>
      <c r="C36" s="217">
        <f t="shared" si="0"/>
        <v>45725.597222222219</v>
      </c>
      <c r="D36" s="632">
        <v>240</v>
      </c>
      <c r="E36" s="632"/>
      <c r="F36" s="218">
        <f>StepTest!F36</f>
        <v>26.369999999999997</v>
      </c>
      <c r="G36" s="218">
        <f>StepTest!G36</f>
        <v>15.02</v>
      </c>
      <c r="H36" s="608"/>
      <c r="I36" s="609"/>
      <c r="J36" s="610"/>
    </row>
    <row r="37" spans="1:10" ht="24.95" customHeight="1">
      <c r="A37" s="219">
        <v>3</v>
      </c>
      <c r="B37" s="216">
        <f>Input!D22</f>
        <v>194.65</v>
      </c>
      <c r="C37" s="217">
        <f t="shared" si="0"/>
        <v>45725.604166666664</v>
      </c>
      <c r="D37" s="632">
        <v>250</v>
      </c>
      <c r="E37" s="632"/>
      <c r="F37" s="218">
        <f>StepTest!F37</f>
        <v>28.9</v>
      </c>
      <c r="G37" s="218">
        <f>StepTest!G37</f>
        <v>17.55</v>
      </c>
      <c r="H37" s="608"/>
      <c r="I37" s="609"/>
      <c r="J37" s="610"/>
    </row>
    <row r="38" spans="1:10" ht="24.95" customHeight="1">
      <c r="A38" s="219"/>
      <c r="B38" s="216"/>
      <c r="C38" s="217">
        <f t="shared" si="0"/>
        <v>45725.611111111109</v>
      </c>
      <c r="D38" s="632">
        <v>260</v>
      </c>
      <c r="E38" s="632"/>
      <c r="F38" s="218">
        <f>StepTest!F38</f>
        <v>29.32</v>
      </c>
      <c r="G38" s="218">
        <f>StepTest!G38</f>
        <v>17.97</v>
      </c>
      <c r="H38" s="608"/>
      <c r="I38" s="609"/>
      <c r="J38" s="610"/>
    </row>
    <row r="39" spans="1:10" ht="24.95" customHeight="1">
      <c r="A39" s="219"/>
      <c r="B39" s="216"/>
      <c r="C39" s="217">
        <f t="shared" si="0"/>
        <v>45725.618055555555</v>
      </c>
      <c r="D39" s="632">
        <v>270</v>
      </c>
      <c r="E39" s="632"/>
      <c r="F39" s="218">
        <f>StepTest!F39</f>
        <v>29.740000000000002</v>
      </c>
      <c r="G39" s="218">
        <f>StepTest!G39</f>
        <v>18.39</v>
      </c>
      <c r="H39" s="608"/>
      <c r="I39" s="609"/>
      <c r="J39" s="610"/>
    </row>
    <row r="40" spans="1:10" ht="24.95" customHeight="1">
      <c r="A40" s="219"/>
      <c r="B40" s="216"/>
      <c r="C40" s="217">
        <f t="shared" si="0"/>
        <v>45725.638888888891</v>
      </c>
      <c r="D40" s="632">
        <v>300</v>
      </c>
      <c r="E40" s="632"/>
      <c r="F40" s="218">
        <f>StepTest!F40</f>
        <v>30.159999999999997</v>
      </c>
      <c r="G40" s="218">
        <f>StepTest!G40</f>
        <v>18.809999999999999</v>
      </c>
      <c r="H40" s="608"/>
      <c r="I40" s="609"/>
      <c r="J40" s="610"/>
    </row>
    <row r="41" spans="1:10" ht="24.95" customHeight="1">
      <c r="A41" s="219"/>
      <c r="B41" s="216"/>
      <c r="C41" s="217">
        <f t="shared" si="0"/>
        <v>45725.680555555555</v>
      </c>
      <c r="D41" s="632">
        <v>360</v>
      </c>
      <c r="E41" s="632"/>
      <c r="F41" s="218">
        <f>StepTest!F41</f>
        <v>30.589999999999996</v>
      </c>
      <c r="G41" s="218">
        <f>StepTest!G41</f>
        <v>19.239999999999998</v>
      </c>
      <c r="H41" s="608"/>
      <c r="I41" s="609"/>
      <c r="J41" s="610"/>
    </row>
    <row r="42" spans="1:10" ht="24.95" customHeight="1">
      <c r="A42" s="219">
        <v>4</v>
      </c>
      <c r="B42" s="216">
        <f>Input!D23</f>
        <v>229</v>
      </c>
      <c r="C42" s="217">
        <f t="shared" si="0"/>
        <v>45725.6875</v>
      </c>
      <c r="D42" s="628">
        <v>370</v>
      </c>
      <c r="E42" s="621"/>
      <c r="F42" s="218">
        <f>StepTest!F42</f>
        <v>33.409999999999997</v>
      </c>
      <c r="G42" s="218">
        <f>StepTest!G42</f>
        <v>22.06</v>
      </c>
      <c r="H42" s="608"/>
      <c r="I42" s="609"/>
      <c r="J42" s="610"/>
    </row>
    <row r="43" spans="1:10" ht="24.95" customHeight="1">
      <c r="A43" s="219"/>
      <c r="B43" s="216"/>
      <c r="C43" s="217">
        <f t="shared" si="0"/>
        <v>45725.694444444445</v>
      </c>
      <c r="D43" s="628">
        <v>380</v>
      </c>
      <c r="E43" s="621"/>
      <c r="F43" s="218">
        <f>StepTest!F43</f>
        <v>33.880000000000003</v>
      </c>
      <c r="G43" s="218">
        <f>StepTest!G43</f>
        <v>22.53</v>
      </c>
      <c r="H43" s="608"/>
      <c r="I43" s="609"/>
      <c r="J43" s="610"/>
    </row>
    <row r="44" spans="1:10" ht="24.95" customHeight="1">
      <c r="A44" s="219"/>
      <c r="B44" s="216"/>
      <c r="C44" s="217">
        <f t="shared" si="0"/>
        <v>45725.701388888891</v>
      </c>
      <c r="D44" s="628">
        <v>390</v>
      </c>
      <c r="E44" s="621"/>
      <c r="F44" s="218">
        <f>StepTest!F44</f>
        <v>34.35</v>
      </c>
      <c r="G44" s="218">
        <f>StepTest!G44</f>
        <v>23</v>
      </c>
      <c r="H44" s="608"/>
      <c r="I44" s="609"/>
      <c r="J44" s="610"/>
    </row>
    <row r="45" spans="1:10" ht="24.95" customHeight="1">
      <c r="A45" s="219"/>
      <c r="B45" s="216"/>
      <c r="C45" s="217">
        <f t="shared" si="0"/>
        <v>45725.722222222219</v>
      </c>
      <c r="D45" s="628">
        <v>420</v>
      </c>
      <c r="E45" s="621"/>
      <c r="F45" s="218">
        <f>StepTest!F45</f>
        <v>34.82</v>
      </c>
      <c r="G45" s="218">
        <f>StepTest!G45</f>
        <v>23.47</v>
      </c>
      <c r="H45" s="608"/>
      <c r="I45" s="609"/>
      <c r="J45" s="610"/>
    </row>
    <row r="46" spans="1:10" ht="24.95" customHeight="1">
      <c r="A46" s="219"/>
      <c r="B46" s="216"/>
      <c r="C46" s="217">
        <f t="shared" si="0"/>
        <v>45725.763888888891</v>
      </c>
      <c r="D46" s="628">
        <v>480</v>
      </c>
      <c r="E46" s="621"/>
      <c r="F46" s="218">
        <f>StepTest!F46</f>
        <v>35.299999999999997</v>
      </c>
      <c r="G46" s="218">
        <f>StepTest!G46</f>
        <v>23.95</v>
      </c>
      <c r="H46" s="608"/>
      <c r="I46" s="609"/>
      <c r="J46" s="610"/>
    </row>
    <row r="47" spans="1:10" ht="24.95" customHeight="1">
      <c r="A47" s="219">
        <v>5</v>
      </c>
      <c r="B47" s="216">
        <f>Input!D24</f>
        <v>263.34999999999997</v>
      </c>
      <c r="C47" s="217">
        <f t="shared" si="0"/>
        <v>45725.770833333336</v>
      </c>
      <c r="D47" s="628">
        <v>490</v>
      </c>
      <c r="E47" s="621"/>
      <c r="F47" s="218">
        <f>StepTest!F47</f>
        <v>38.17</v>
      </c>
      <c r="G47" s="218">
        <f>StepTest!G47</f>
        <v>26.82</v>
      </c>
      <c r="H47" s="608"/>
      <c r="I47" s="609"/>
      <c r="J47" s="610"/>
    </row>
    <row r="48" spans="1:10" ht="24.95" customHeight="1">
      <c r="A48" s="219"/>
      <c r="B48" s="216"/>
      <c r="C48" s="217">
        <f t="shared" si="0"/>
        <v>45725.777777777774</v>
      </c>
      <c r="D48" s="628">
        <v>500</v>
      </c>
      <c r="E48" s="621"/>
      <c r="F48" s="218">
        <f>StepTest!F48</f>
        <v>39.24</v>
      </c>
      <c r="G48" s="218">
        <f>StepTest!G48</f>
        <v>27.89</v>
      </c>
      <c r="H48" s="608"/>
      <c r="I48" s="609"/>
      <c r="J48" s="610"/>
    </row>
    <row r="49" spans="1:10" ht="24.95" customHeight="1">
      <c r="A49" s="219"/>
      <c r="B49" s="216"/>
      <c r="C49" s="217">
        <f t="shared" si="0"/>
        <v>45725.784722222219</v>
      </c>
      <c r="D49" s="628">
        <v>510</v>
      </c>
      <c r="E49" s="621"/>
      <c r="F49" s="218">
        <f>StepTest!F49</f>
        <v>40.32</v>
      </c>
      <c r="G49" s="218">
        <f>StepTest!G49</f>
        <v>28.97</v>
      </c>
      <c r="H49" s="608"/>
      <c r="I49" s="609"/>
      <c r="J49" s="610"/>
    </row>
    <row r="50" spans="1:10" ht="24.95" customHeight="1">
      <c r="A50" s="219"/>
      <c r="B50" s="216"/>
      <c r="C50" s="217">
        <f t="shared" si="0"/>
        <v>45725.805555555555</v>
      </c>
      <c r="D50" s="628">
        <v>540</v>
      </c>
      <c r="E50" s="621"/>
      <c r="F50" s="218">
        <f>StepTest!F50</f>
        <v>41.4</v>
      </c>
      <c r="G50" s="218">
        <f>StepTest!G50</f>
        <v>30.05</v>
      </c>
      <c r="H50" s="608"/>
      <c r="I50" s="609"/>
      <c r="J50" s="610"/>
    </row>
    <row r="51" spans="1:10" ht="24.95" customHeight="1">
      <c r="A51" s="220"/>
      <c r="B51" s="221"/>
      <c r="C51" s="222">
        <f t="shared" si="0"/>
        <v>45725.847222222219</v>
      </c>
      <c r="D51" s="656">
        <v>600</v>
      </c>
      <c r="E51" s="657"/>
      <c r="F51" s="223">
        <f>StepTest!F51</f>
        <v>42.48</v>
      </c>
      <c r="G51" s="223">
        <f>StepTest!G51</f>
        <v>31.13</v>
      </c>
      <c r="H51" s="650"/>
      <c r="I51" s="651"/>
      <c r="J51" s="652"/>
    </row>
    <row r="52" spans="1:10" ht="24.95" customHeight="1">
      <c r="A52" s="240"/>
      <c r="B52" s="248"/>
      <c r="C52" s="248"/>
      <c r="D52" s="642"/>
      <c r="E52" s="648"/>
      <c r="F52" s="248"/>
      <c r="G52" s="248"/>
      <c r="H52" s="642"/>
      <c r="I52" s="643"/>
      <c r="J52" s="644"/>
    </row>
    <row r="53" spans="1:10" ht="24.95" customHeight="1">
      <c r="A53" s="240"/>
      <c r="B53" s="248"/>
      <c r="C53" s="248"/>
      <c r="D53" s="642"/>
      <c r="E53" s="648"/>
      <c r="F53" s="248"/>
      <c r="G53" s="248"/>
      <c r="H53" s="642"/>
      <c r="I53" s="643"/>
      <c r="J53" s="644"/>
    </row>
    <row r="54" spans="1:10" ht="24.95" customHeight="1">
      <c r="A54" s="240"/>
      <c r="B54" s="248"/>
      <c r="C54" s="248"/>
      <c r="D54" s="642"/>
      <c r="E54" s="648"/>
      <c r="F54" s="248"/>
      <c r="G54" s="248"/>
      <c r="H54" s="642"/>
      <c r="I54" s="643"/>
      <c r="J54" s="644"/>
    </row>
    <row r="55" spans="1:10" ht="24.95" customHeight="1">
      <c r="A55" s="240"/>
      <c r="B55" s="248"/>
      <c r="C55" s="248"/>
      <c r="D55" s="642"/>
      <c r="E55" s="648"/>
      <c r="F55" s="248"/>
      <c r="G55" s="248"/>
      <c r="H55" s="642"/>
      <c r="I55" s="643"/>
      <c r="J55" s="644"/>
    </row>
    <row r="56" spans="1:10" ht="24.95" customHeight="1">
      <c r="A56" s="240"/>
      <c r="B56" s="248"/>
      <c r="C56" s="248"/>
      <c r="D56" s="642"/>
      <c r="E56" s="648"/>
      <c r="F56" s="248"/>
      <c r="G56" s="248"/>
      <c r="H56" s="642"/>
      <c r="I56" s="643"/>
      <c r="J56" s="644"/>
    </row>
    <row r="57" spans="1:10" ht="24.95" customHeight="1" thickBot="1">
      <c r="A57" s="244"/>
      <c r="B57" s="249"/>
      <c r="C57" s="249"/>
      <c r="D57" s="645"/>
      <c r="E57" s="649"/>
      <c r="F57" s="249"/>
      <c r="G57" s="249"/>
      <c r="H57" s="645"/>
      <c r="I57" s="646"/>
      <c r="J57" s="647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C79" sqref="C79"/>
    </sheetView>
  </sheetViews>
  <sheetFormatPr defaultRowHeight="16.5"/>
  <cols>
    <col min="1" max="2" width="9" style="235"/>
    <col min="3" max="3" width="11.375" style="235" customWidth="1"/>
    <col min="4" max="4" width="6.75" style="235" customWidth="1"/>
    <col min="5" max="5" width="7.25" style="235" customWidth="1"/>
    <col min="6" max="6" width="13.875" style="235" bestFit="1" customWidth="1"/>
    <col min="7" max="7" width="12.125" style="235" customWidth="1"/>
    <col min="8" max="16384" width="9" style="235"/>
  </cols>
  <sheetData>
    <row r="1" spans="1:10" ht="45.75" customHeight="1" thickBot="1">
      <c r="A1" s="639" t="s">
        <v>316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0" ht="24.95" customHeight="1">
      <c r="A4" s="620" t="s">
        <v>294</v>
      </c>
      <c r="B4" s="621"/>
      <c r="C4" s="622">
        <f>LongTest!C10</f>
        <v>45726.430555555555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295</v>
      </c>
      <c r="B5" s="621"/>
      <c r="C5" s="622">
        <f>LongTest!C77</f>
        <v>45728.430555555555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0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213" t="s">
        <v>325</v>
      </c>
      <c r="H7" s="628">
        <f>Input!I50</f>
        <v>48</v>
      </c>
      <c r="I7" s="621"/>
      <c r="J7" s="214" t="s">
        <v>298</v>
      </c>
    </row>
    <row r="8" spans="1:10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301</v>
      </c>
      <c r="H8" s="628">
        <f>LongTest!G7</f>
        <v>158</v>
      </c>
      <c r="I8" s="621"/>
      <c r="J8" s="214" t="s">
        <v>298</v>
      </c>
    </row>
    <row r="9" spans="1:10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303</v>
      </c>
      <c r="H9" s="628">
        <f>LongTest!G8</f>
        <v>38.270000000000003</v>
      </c>
      <c r="I9" s="621"/>
      <c r="J9" s="214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15">
        <v>1</v>
      </c>
      <c r="B12" s="216">
        <f>LongTest!B10</f>
        <v>200</v>
      </c>
      <c r="C12" s="217">
        <f t="shared" ref="C12:C43" si="0">$C$4+D12/1440</f>
        <v>45726.431250000001</v>
      </c>
      <c r="D12" s="632">
        <v>1</v>
      </c>
      <c r="E12" s="632"/>
      <c r="F12" s="218">
        <f>LongTest!F10</f>
        <v>14.173611919746518</v>
      </c>
      <c r="G12" s="218">
        <f>LongTest!G10</f>
        <v>2.8236119197465186</v>
      </c>
      <c r="H12" s="152"/>
      <c r="I12" s="152"/>
      <c r="J12" s="236"/>
    </row>
    <row r="13" spans="1:10" ht="24.95" customHeight="1">
      <c r="A13" s="215"/>
      <c r="B13" s="213"/>
      <c r="C13" s="217">
        <f t="shared" si="0"/>
        <v>45726.431944444441</v>
      </c>
      <c r="D13" s="632">
        <v>2</v>
      </c>
      <c r="E13" s="632"/>
      <c r="F13" s="218">
        <f>LongTest!F11</f>
        <v>16.828330176673838</v>
      </c>
      <c r="G13" s="218">
        <f>LongTest!G11</f>
        <v>5.4783301766738397</v>
      </c>
      <c r="H13" s="152"/>
      <c r="I13" s="152"/>
      <c r="J13" s="236"/>
    </row>
    <row r="14" spans="1:10" ht="24.95" customHeight="1">
      <c r="A14" s="215"/>
      <c r="B14" s="213"/>
      <c r="C14" s="217">
        <f t="shared" si="0"/>
        <v>45726.432638888888</v>
      </c>
      <c r="D14" s="632">
        <v>3</v>
      </c>
      <c r="E14" s="632"/>
      <c r="F14" s="218">
        <f>LongTest!F12</f>
        <v>18.38124080695615</v>
      </c>
      <c r="G14" s="218">
        <f>LongTest!G12</f>
        <v>7.0312408069561521</v>
      </c>
      <c r="H14" s="152"/>
      <c r="I14" s="152"/>
      <c r="J14" s="236"/>
    </row>
    <row r="15" spans="1:10" ht="24.95" customHeight="1">
      <c r="A15" s="215"/>
      <c r="B15" s="213"/>
      <c r="C15" s="217">
        <f t="shared" si="0"/>
        <v>45726.433333333334</v>
      </c>
      <c r="D15" s="632">
        <v>4</v>
      </c>
      <c r="E15" s="632"/>
      <c r="F15" s="218">
        <f>LongTest!F13</f>
        <v>19.483048433601155</v>
      </c>
      <c r="G15" s="218">
        <f>LongTest!G13</f>
        <v>8.1330484336011573</v>
      </c>
      <c r="H15" s="152"/>
      <c r="I15" s="152"/>
      <c r="J15" s="236"/>
    </row>
    <row r="16" spans="1:10" ht="24.95" customHeight="1">
      <c r="A16" s="215"/>
      <c r="B16" s="213"/>
      <c r="C16" s="217">
        <f t="shared" si="0"/>
        <v>45726.434027777774</v>
      </c>
      <c r="D16" s="632">
        <v>5</v>
      </c>
      <c r="E16" s="632"/>
      <c r="F16" s="218">
        <f>LongTest!F14</f>
        <v>20.337676824516464</v>
      </c>
      <c r="G16" s="218">
        <f>LongTest!G14</f>
        <v>8.9876768245164662</v>
      </c>
      <c r="H16" s="213">
        <f>'w1'!D14</f>
        <v>15.3</v>
      </c>
      <c r="I16" s="213">
        <f>'w1'!E14</f>
        <v>216</v>
      </c>
      <c r="J16" s="214">
        <f>'w1'!F14</f>
        <v>7.3</v>
      </c>
    </row>
    <row r="17" spans="1:10" ht="24.95" customHeight="1">
      <c r="A17" s="215"/>
      <c r="B17" s="213"/>
      <c r="C17" s="217">
        <f t="shared" si="0"/>
        <v>45726.4375</v>
      </c>
      <c r="D17" s="632">
        <v>10</v>
      </c>
      <c r="E17" s="632"/>
      <c r="F17" s="218">
        <f>LongTest!F15</f>
        <v>22.992395081443789</v>
      </c>
      <c r="G17" s="218">
        <f>LongTest!G15</f>
        <v>11.642395081443787</v>
      </c>
      <c r="H17" s="213"/>
      <c r="I17" s="213"/>
      <c r="J17" s="214"/>
    </row>
    <row r="18" spans="1:10" ht="24.95" customHeight="1">
      <c r="A18" s="215"/>
      <c r="B18" s="213"/>
      <c r="C18" s="217">
        <f t="shared" si="0"/>
        <v>45726.440972222219</v>
      </c>
      <c r="D18" s="632">
        <v>15</v>
      </c>
      <c r="E18" s="632"/>
      <c r="F18" s="218">
        <f>LongTest!F16</f>
        <v>24.545305711726101</v>
      </c>
      <c r="G18" s="218">
        <f>LongTest!G16</f>
        <v>13.1953057117261</v>
      </c>
      <c r="H18" s="213"/>
      <c r="I18" s="213"/>
      <c r="J18" s="214"/>
    </row>
    <row r="19" spans="1:10" ht="24.95" customHeight="1">
      <c r="A19" s="215"/>
      <c r="B19" s="213"/>
      <c r="C19" s="217">
        <f t="shared" si="0"/>
        <v>45726.444444444445</v>
      </c>
      <c r="D19" s="632">
        <v>20</v>
      </c>
      <c r="E19" s="632"/>
      <c r="F19" s="218">
        <f>LongTest!F17</f>
        <v>25.647113338371106</v>
      </c>
      <c r="G19" s="218">
        <f>LongTest!G17</f>
        <v>14.297113338371105</v>
      </c>
      <c r="H19" s="213"/>
      <c r="I19" s="213"/>
      <c r="J19" s="214"/>
    </row>
    <row r="20" spans="1:10" ht="24.95" customHeight="1">
      <c r="A20" s="215"/>
      <c r="B20" s="213"/>
      <c r="C20" s="217">
        <f t="shared" si="0"/>
        <v>45726.447916666664</v>
      </c>
      <c r="D20" s="632">
        <v>25</v>
      </c>
      <c r="E20" s="632"/>
      <c r="F20" s="218">
        <f>LongTest!F18</f>
        <v>26.501741729286422</v>
      </c>
      <c r="G20" s="218">
        <f>LongTest!G18</f>
        <v>15.151741729286421</v>
      </c>
      <c r="H20" s="213"/>
      <c r="I20" s="213"/>
      <c r="J20" s="214"/>
    </row>
    <row r="21" spans="1:10" ht="24.95" customHeight="1">
      <c r="A21" s="215"/>
      <c r="B21" s="213"/>
      <c r="C21" s="217">
        <f t="shared" si="0"/>
        <v>45726.451388888891</v>
      </c>
      <c r="D21" s="632">
        <v>30</v>
      </c>
      <c r="E21" s="632"/>
      <c r="F21" s="218">
        <f>LongTest!F19</f>
        <v>27.200023968653419</v>
      </c>
      <c r="G21" s="218">
        <f>LongTest!G19</f>
        <v>15.850023968653417</v>
      </c>
      <c r="H21" s="213">
        <f>'w1'!D15</f>
        <v>15.1</v>
      </c>
      <c r="I21" s="213">
        <f>'w1'!E15</f>
        <v>216</v>
      </c>
      <c r="J21" s="214">
        <f>'w1'!F15</f>
        <v>7.13</v>
      </c>
    </row>
    <row r="22" spans="1:10" ht="24.95" customHeight="1">
      <c r="A22" s="215"/>
      <c r="B22" s="213"/>
      <c r="C22" s="217">
        <f t="shared" si="0"/>
        <v>45726.454861111109</v>
      </c>
      <c r="D22" s="632">
        <v>35</v>
      </c>
      <c r="E22" s="632"/>
      <c r="F22" s="218">
        <f>LongTest!F20</f>
        <v>27.790413189777567</v>
      </c>
      <c r="G22" s="218">
        <f>LongTest!G20</f>
        <v>16.440413189777566</v>
      </c>
      <c r="H22" s="213"/>
      <c r="I22" s="213"/>
      <c r="J22" s="214"/>
    </row>
    <row r="23" spans="1:10" ht="24.95" customHeight="1">
      <c r="A23" s="215"/>
      <c r="B23" s="213"/>
      <c r="C23" s="217">
        <f t="shared" si="0"/>
        <v>45726.458333333336</v>
      </c>
      <c r="D23" s="632">
        <v>40</v>
      </c>
      <c r="E23" s="632"/>
      <c r="F23" s="218">
        <f>LongTest!F21</f>
        <v>28.301831595298424</v>
      </c>
      <c r="G23" s="218">
        <f>LongTest!G21</f>
        <v>16.951831595298422</v>
      </c>
      <c r="H23" s="213"/>
      <c r="I23" s="213"/>
      <c r="J23" s="214"/>
    </row>
    <row r="24" spans="1:10" ht="24.95" customHeight="1">
      <c r="A24" s="215"/>
      <c r="B24" s="213"/>
      <c r="C24" s="217">
        <f t="shared" si="0"/>
        <v>45726.461805555555</v>
      </c>
      <c r="D24" s="632">
        <v>45</v>
      </c>
      <c r="E24" s="632"/>
      <c r="F24" s="218">
        <f>LongTest!F22</f>
        <v>28.752934598935731</v>
      </c>
      <c r="G24" s="218">
        <f>LongTest!G22</f>
        <v>17.40293459893573</v>
      </c>
      <c r="H24" s="213"/>
      <c r="I24" s="213"/>
      <c r="J24" s="214"/>
    </row>
    <row r="25" spans="1:10" ht="24.95" customHeight="1">
      <c r="A25" s="215"/>
      <c r="B25" s="213"/>
      <c r="C25" s="217">
        <f t="shared" si="0"/>
        <v>45726.465277777774</v>
      </c>
      <c r="D25" s="632">
        <v>50</v>
      </c>
      <c r="E25" s="632"/>
      <c r="F25" s="218">
        <f>LongTest!F23</f>
        <v>29.15645998621374</v>
      </c>
      <c r="G25" s="218">
        <f>LongTest!G23</f>
        <v>17.806459986213738</v>
      </c>
      <c r="H25" s="213"/>
      <c r="I25" s="213"/>
      <c r="J25" s="214"/>
    </row>
    <row r="26" spans="1:10" ht="24.95" customHeight="1">
      <c r="A26" s="215"/>
      <c r="B26" s="213"/>
      <c r="C26" s="217">
        <f t="shared" si="0"/>
        <v>45726.46875</v>
      </c>
      <c r="D26" s="632">
        <v>55</v>
      </c>
      <c r="E26" s="632"/>
      <c r="F26" s="218">
        <f>LongTest!F24</f>
        <v>29.521493101104525</v>
      </c>
      <c r="G26" s="218">
        <f>LongTest!G24</f>
        <v>18.171493101104524</v>
      </c>
      <c r="H26" s="213"/>
      <c r="I26" s="213"/>
      <c r="J26" s="214"/>
    </row>
    <row r="27" spans="1:10" ht="24.95" customHeight="1">
      <c r="A27" s="215"/>
      <c r="B27" s="213"/>
      <c r="C27" s="217">
        <f t="shared" si="0"/>
        <v>45726.472222222219</v>
      </c>
      <c r="D27" s="632">
        <v>60</v>
      </c>
      <c r="E27" s="632"/>
      <c r="F27" s="218">
        <f>LongTest!F25</f>
        <v>29.854742225580736</v>
      </c>
      <c r="G27" s="218">
        <f>LongTest!G25</f>
        <v>18.504742225580735</v>
      </c>
      <c r="H27" s="213">
        <f>'w1'!D16</f>
        <v>15.700000000000001</v>
      </c>
      <c r="I27" s="213">
        <f>'w1'!E16</f>
        <v>210</v>
      </c>
      <c r="J27" s="214">
        <f>'w1'!F16</f>
        <v>7.12</v>
      </c>
    </row>
    <row r="28" spans="1:10" ht="24.95" customHeight="1">
      <c r="A28" s="215"/>
      <c r="B28" s="213"/>
      <c r="C28" s="217">
        <f t="shared" si="0"/>
        <v>45726.482638888891</v>
      </c>
      <c r="D28" s="632">
        <v>75</v>
      </c>
      <c r="E28" s="632"/>
      <c r="F28" s="218">
        <f>LongTest!F26</f>
        <v>30.709370616496052</v>
      </c>
      <c r="G28" s="218">
        <f>LongTest!G26</f>
        <v>19.359370616496051</v>
      </c>
      <c r="H28" s="213"/>
      <c r="I28" s="213"/>
      <c r="J28" s="214"/>
    </row>
    <row r="29" spans="1:10" ht="24.95" customHeight="1">
      <c r="A29" s="215"/>
      <c r="B29" s="213"/>
      <c r="C29" s="217">
        <f t="shared" si="0"/>
        <v>45726.493055555555</v>
      </c>
      <c r="D29" s="632">
        <v>90</v>
      </c>
      <c r="E29" s="632"/>
      <c r="F29" s="218">
        <f>LongTest!F27</f>
        <v>31.407652855863049</v>
      </c>
      <c r="G29" s="218">
        <f>LongTest!G27</f>
        <v>20.057652855863047</v>
      </c>
      <c r="H29" s="213"/>
      <c r="I29" s="213"/>
      <c r="J29" s="214"/>
    </row>
    <row r="30" spans="1:10" ht="24.95" customHeight="1">
      <c r="A30" s="215"/>
      <c r="B30" s="213"/>
      <c r="C30" s="217">
        <f t="shared" si="0"/>
        <v>45726.503472222219</v>
      </c>
      <c r="D30" s="632">
        <v>105</v>
      </c>
      <c r="E30" s="632"/>
      <c r="F30" s="218">
        <f>LongTest!F28</f>
        <v>31.99804207698719</v>
      </c>
      <c r="G30" s="218">
        <f>LongTest!G28</f>
        <v>20.648042076987188</v>
      </c>
      <c r="H30" s="213"/>
      <c r="I30" s="213"/>
      <c r="J30" s="214"/>
    </row>
    <row r="31" spans="1:10" ht="24.95" customHeight="1">
      <c r="A31" s="215"/>
      <c r="B31" s="213"/>
      <c r="C31" s="217">
        <f t="shared" si="0"/>
        <v>45726.513888888891</v>
      </c>
      <c r="D31" s="632">
        <v>120</v>
      </c>
      <c r="E31" s="632"/>
      <c r="F31" s="218">
        <f>LongTest!F29</f>
        <v>32.509460482508054</v>
      </c>
      <c r="G31" s="218">
        <f>LongTest!G29</f>
        <v>21.159460482508052</v>
      </c>
      <c r="H31" s="213">
        <f>'w1'!D17</f>
        <v>15.5</v>
      </c>
      <c r="I31" s="213">
        <f>'w1'!E17</f>
        <v>210</v>
      </c>
      <c r="J31" s="214">
        <f>'w1'!F17</f>
        <v>7.3</v>
      </c>
    </row>
    <row r="32" spans="1:10" ht="24.95" customHeight="1">
      <c r="A32" s="215"/>
      <c r="B32" s="237"/>
      <c r="C32" s="217">
        <f t="shared" si="0"/>
        <v>45726.527777777774</v>
      </c>
      <c r="D32" s="632">
        <v>140</v>
      </c>
      <c r="E32" s="632"/>
      <c r="F32" s="218">
        <f>LongTest!F30</f>
        <v>33.099849703632195</v>
      </c>
      <c r="G32" s="218">
        <f>LongTest!G30</f>
        <v>21.749849703632194</v>
      </c>
      <c r="H32" s="213"/>
      <c r="I32" s="213"/>
      <c r="J32" s="214"/>
    </row>
    <row r="33" spans="1:10" ht="24.95" customHeight="1">
      <c r="A33" s="215"/>
      <c r="B33" s="213"/>
      <c r="C33" s="217">
        <f t="shared" si="0"/>
        <v>45726.541666666664</v>
      </c>
      <c r="D33" s="632">
        <v>160</v>
      </c>
      <c r="E33" s="632"/>
      <c r="F33" s="218">
        <f>LongTest!F31</f>
        <v>33.611268109153059</v>
      </c>
      <c r="G33" s="218">
        <f>LongTest!G31</f>
        <v>22.261268109153058</v>
      </c>
      <c r="H33" s="213"/>
      <c r="I33" s="213"/>
      <c r="J33" s="214"/>
    </row>
    <row r="34" spans="1:10" ht="24.95" customHeight="1">
      <c r="A34" s="215"/>
      <c r="B34" s="213"/>
      <c r="C34" s="217">
        <f t="shared" si="0"/>
        <v>45726.555555555555</v>
      </c>
      <c r="D34" s="632">
        <v>180</v>
      </c>
      <c r="E34" s="632"/>
      <c r="F34" s="218">
        <f>LongTest!F32</f>
        <v>34.062371112790366</v>
      </c>
      <c r="G34" s="218">
        <f>LongTest!G32</f>
        <v>22.712371112790365</v>
      </c>
      <c r="H34" s="213"/>
      <c r="I34" s="213"/>
      <c r="J34" s="214"/>
    </row>
    <row r="35" spans="1:10" ht="24.95" customHeight="1">
      <c r="A35" s="215"/>
      <c r="B35" s="213"/>
      <c r="C35" s="217">
        <f t="shared" si="0"/>
        <v>45726.597222222219</v>
      </c>
      <c r="D35" s="632">
        <v>240</v>
      </c>
      <c r="E35" s="632"/>
      <c r="F35" s="218">
        <f>LongTest!F33</f>
        <v>35.164178739435371</v>
      </c>
      <c r="G35" s="218">
        <f>LongTest!G33</f>
        <v>23.81417873943537</v>
      </c>
      <c r="H35" s="213">
        <f>'w1'!D18</f>
        <v>15.3</v>
      </c>
      <c r="I35" s="213">
        <f>'w1'!E18</f>
        <v>214</v>
      </c>
      <c r="J35" s="214">
        <f>'w1'!F18</f>
        <v>7.33</v>
      </c>
    </row>
    <row r="36" spans="1:10" ht="24.95" customHeight="1">
      <c r="A36" s="215"/>
      <c r="B36" s="213"/>
      <c r="C36" s="217">
        <f t="shared" si="0"/>
        <v>45726.638888888891</v>
      </c>
      <c r="D36" s="632">
        <v>300</v>
      </c>
      <c r="E36" s="632"/>
      <c r="F36" s="218">
        <f>LongTest!F34</f>
        <v>36.018807130350687</v>
      </c>
      <c r="G36" s="218">
        <f>LongTest!G34</f>
        <v>24.668807130350686</v>
      </c>
      <c r="H36" s="213"/>
      <c r="I36" s="213"/>
      <c r="J36" s="214"/>
    </row>
    <row r="37" spans="1:10" ht="24.95" customHeight="1">
      <c r="A37" s="238"/>
      <c r="B37" s="239"/>
      <c r="C37" s="217">
        <f t="shared" si="0"/>
        <v>45726.680555555555</v>
      </c>
      <c r="D37" s="632">
        <v>360</v>
      </c>
      <c r="E37" s="632"/>
      <c r="F37" s="218">
        <f>LongTest!F35</f>
        <v>36.717089369717691</v>
      </c>
      <c r="G37" s="218">
        <f>LongTest!G35</f>
        <v>25.367089369717689</v>
      </c>
      <c r="H37" s="213"/>
      <c r="I37" s="213"/>
      <c r="J37" s="214"/>
    </row>
    <row r="38" spans="1:10" ht="24.95" customHeight="1">
      <c r="A38" s="215"/>
      <c r="B38" s="213"/>
      <c r="C38" s="217">
        <f t="shared" si="0"/>
        <v>45726.722222222219</v>
      </c>
      <c r="D38" s="632">
        <v>420</v>
      </c>
      <c r="E38" s="632"/>
      <c r="F38" s="218">
        <f>LongTest!F36</f>
        <v>37.307478590841825</v>
      </c>
      <c r="G38" s="218">
        <f>LongTest!G36</f>
        <v>25.957478590841824</v>
      </c>
      <c r="H38" s="213"/>
      <c r="I38" s="213"/>
      <c r="J38" s="214"/>
    </row>
    <row r="39" spans="1:10" ht="24.95" customHeight="1">
      <c r="A39" s="215"/>
      <c r="B39" s="213"/>
      <c r="C39" s="217">
        <f t="shared" si="0"/>
        <v>45726.763888888891</v>
      </c>
      <c r="D39" s="632">
        <v>480</v>
      </c>
      <c r="E39" s="632"/>
      <c r="F39" s="218">
        <f>LongTest!F37</f>
        <v>37.818896996362696</v>
      </c>
      <c r="G39" s="218">
        <f>LongTest!G37</f>
        <v>26.468896996362695</v>
      </c>
      <c r="H39" s="213">
        <f>'w1'!D19</f>
        <v>15.1</v>
      </c>
      <c r="I39" s="213">
        <f>'w1'!E19</f>
        <v>215</v>
      </c>
      <c r="J39" s="214">
        <f>'w1'!F19</f>
        <v>7.1000000000000005</v>
      </c>
    </row>
    <row r="40" spans="1:10" ht="24.95" customHeight="1">
      <c r="A40" s="215"/>
      <c r="B40" s="213"/>
      <c r="C40" s="217">
        <f t="shared" si="0"/>
        <v>45726.805555555555</v>
      </c>
      <c r="D40" s="632">
        <v>540</v>
      </c>
      <c r="E40" s="632"/>
      <c r="F40" s="218">
        <f>LongTest!F38</f>
        <v>38.270000000000003</v>
      </c>
      <c r="G40" s="218">
        <f>LongTest!G38</f>
        <v>26.92</v>
      </c>
      <c r="H40" s="213"/>
      <c r="I40" s="213"/>
      <c r="J40" s="214"/>
    </row>
    <row r="41" spans="1:10" ht="24.95" customHeight="1">
      <c r="A41" s="215"/>
      <c r="B41" s="213"/>
      <c r="C41" s="217">
        <f t="shared" si="0"/>
        <v>45726.847222222219</v>
      </c>
      <c r="D41" s="632">
        <v>600</v>
      </c>
      <c r="E41" s="632"/>
      <c r="F41" s="218">
        <f>LongTest!F39</f>
        <v>38.270000000000003</v>
      </c>
      <c r="G41" s="218">
        <f>LongTest!G39</f>
        <v>26.92</v>
      </c>
      <c r="H41" s="213"/>
      <c r="I41" s="213"/>
      <c r="J41" s="214"/>
    </row>
    <row r="42" spans="1:10" ht="24.95" customHeight="1">
      <c r="A42" s="238"/>
      <c r="B42" s="239"/>
      <c r="C42" s="217">
        <f t="shared" si="0"/>
        <v>45726.888888888891</v>
      </c>
      <c r="D42" s="632">
        <v>660</v>
      </c>
      <c r="E42" s="632"/>
      <c r="F42" s="218">
        <f>LongTest!F40</f>
        <v>38.270000000000003</v>
      </c>
      <c r="G42" s="218">
        <f>LongTest!G40</f>
        <v>26.92</v>
      </c>
      <c r="H42" s="213"/>
      <c r="I42" s="213"/>
      <c r="J42" s="214"/>
    </row>
    <row r="43" spans="1:10" ht="24.95" customHeight="1">
      <c r="A43" s="215"/>
      <c r="B43" s="213"/>
      <c r="C43" s="217">
        <f t="shared" si="0"/>
        <v>45726.930555555555</v>
      </c>
      <c r="D43" s="632">
        <v>720</v>
      </c>
      <c r="E43" s="632"/>
      <c r="F43" s="218">
        <f>LongTest!F41</f>
        <v>38.270000000000003</v>
      </c>
      <c r="G43" s="218">
        <f>LongTest!G41</f>
        <v>26.92</v>
      </c>
      <c r="H43" s="213"/>
      <c r="I43" s="213"/>
      <c r="J43" s="214"/>
    </row>
    <row r="44" spans="1:10" ht="24.95" customHeight="1">
      <c r="A44" s="215"/>
      <c r="B44" s="213"/>
      <c r="C44" s="217">
        <f t="shared" ref="C44:C75" si="1">$C$4+D44/1440</f>
        <v>45726.972222222219</v>
      </c>
      <c r="D44" s="632">
        <v>780</v>
      </c>
      <c r="E44" s="632"/>
      <c r="F44" s="213">
        <f>LongTest!F42</f>
        <v>38.270000000000003</v>
      </c>
      <c r="G44" s="213">
        <f>LongTest!G42</f>
        <v>26.92</v>
      </c>
      <c r="H44" s="213"/>
      <c r="I44" s="213"/>
      <c r="J44" s="214"/>
    </row>
    <row r="45" spans="1:10" ht="24.95" customHeight="1">
      <c r="A45" s="215"/>
      <c r="B45" s="213"/>
      <c r="C45" s="217">
        <f t="shared" si="1"/>
        <v>45727.013888888891</v>
      </c>
      <c r="D45" s="632">
        <v>840</v>
      </c>
      <c r="E45" s="632"/>
      <c r="F45" s="213">
        <f>LongTest!F43</f>
        <v>38.270000000000003</v>
      </c>
      <c r="G45" s="213">
        <f>LongTest!G43</f>
        <v>26.92</v>
      </c>
      <c r="H45" s="213"/>
      <c r="I45" s="213"/>
      <c r="J45" s="214"/>
    </row>
    <row r="46" spans="1:10" ht="24.95" customHeight="1">
      <c r="A46" s="215"/>
      <c r="B46" s="213"/>
      <c r="C46" s="217">
        <f t="shared" si="1"/>
        <v>45727.055555555555</v>
      </c>
      <c r="D46" s="632">
        <v>900</v>
      </c>
      <c r="E46" s="632"/>
      <c r="F46" s="213">
        <f>LongTest!F44</f>
        <v>38.270000000000003</v>
      </c>
      <c r="G46" s="213">
        <f>LongTest!G44</f>
        <v>26.92</v>
      </c>
      <c r="H46" s="213"/>
      <c r="I46" s="213"/>
      <c r="J46" s="214"/>
    </row>
    <row r="47" spans="1:10" ht="24.95" customHeight="1">
      <c r="A47" s="238"/>
      <c r="B47" s="239"/>
      <c r="C47" s="217">
        <f t="shared" si="1"/>
        <v>45727.097222222219</v>
      </c>
      <c r="D47" s="632">
        <v>960</v>
      </c>
      <c r="E47" s="632"/>
      <c r="F47" s="213">
        <f>LongTest!F45</f>
        <v>38.270000000000003</v>
      </c>
      <c r="G47" s="213">
        <f>LongTest!G45</f>
        <v>26.92</v>
      </c>
      <c r="H47" s="213"/>
      <c r="I47" s="213"/>
      <c r="J47" s="214"/>
    </row>
    <row r="48" spans="1:10" ht="24.95" customHeight="1">
      <c r="A48" s="215"/>
      <c r="B48" s="213"/>
      <c r="C48" s="217">
        <f t="shared" si="1"/>
        <v>45727.138888888891</v>
      </c>
      <c r="D48" s="632">
        <v>1020</v>
      </c>
      <c r="E48" s="632"/>
      <c r="F48" s="213">
        <f>LongTest!F46</f>
        <v>38.270000000000003</v>
      </c>
      <c r="G48" s="213">
        <f>LongTest!G46</f>
        <v>26.92</v>
      </c>
      <c r="H48" s="213"/>
      <c r="I48" s="213"/>
      <c r="J48" s="214"/>
    </row>
    <row r="49" spans="1:10" ht="24.95" customHeight="1">
      <c r="A49" s="215"/>
      <c r="B49" s="213"/>
      <c r="C49" s="217">
        <f t="shared" si="1"/>
        <v>45727.180555555555</v>
      </c>
      <c r="D49" s="632">
        <v>1080</v>
      </c>
      <c r="E49" s="632"/>
      <c r="F49" s="213">
        <f>LongTest!F47</f>
        <v>38.270000000000003</v>
      </c>
      <c r="G49" s="213">
        <f>LongTest!G47</f>
        <v>26.92</v>
      </c>
      <c r="H49" s="213"/>
      <c r="I49" s="213"/>
      <c r="J49" s="214"/>
    </row>
    <row r="50" spans="1:10" ht="24.95" customHeight="1">
      <c r="A50" s="215"/>
      <c r="B50" s="213"/>
      <c r="C50" s="217">
        <f t="shared" si="1"/>
        <v>45727.222222222219</v>
      </c>
      <c r="D50" s="632">
        <v>1140</v>
      </c>
      <c r="E50" s="632"/>
      <c r="F50" s="213">
        <f>LongTest!F48</f>
        <v>38.270000000000003</v>
      </c>
      <c r="G50" s="213">
        <f>LongTest!G48</f>
        <v>26.92</v>
      </c>
      <c r="H50" s="213"/>
      <c r="I50" s="213"/>
      <c r="J50" s="214"/>
    </row>
    <row r="51" spans="1:10" ht="24.95" customHeight="1">
      <c r="A51" s="215"/>
      <c r="B51" s="213"/>
      <c r="C51" s="217">
        <f t="shared" si="1"/>
        <v>45727.263888888891</v>
      </c>
      <c r="D51" s="632">
        <v>1200</v>
      </c>
      <c r="E51" s="632"/>
      <c r="F51" s="213">
        <f>LongTest!F49</f>
        <v>38.270000000000003</v>
      </c>
      <c r="G51" s="213">
        <f>LongTest!G49</f>
        <v>26.92</v>
      </c>
      <c r="H51" s="213"/>
      <c r="I51" s="213"/>
      <c r="J51" s="214"/>
    </row>
    <row r="52" spans="1:10" ht="24.95" customHeight="1">
      <c r="A52" s="215"/>
      <c r="B52" s="213"/>
      <c r="C52" s="217">
        <f t="shared" si="1"/>
        <v>45727.305555555555</v>
      </c>
      <c r="D52" s="632">
        <v>1260</v>
      </c>
      <c r="E52" s="632"/>
      <c r="F52" s="213">
        <f>LongTest!F50</f>
        <v>38.270000000000003</v>
      </c>
      <c r="G52" s="213">
        <f>LongTest!G50</f>
        <v>26.92</v>
      </c>
      <c r="H52" s="213"/>
      <c r="I52" s="213"/>
      <c r="J52" s="214"/>
    </row>
    <row r="53" spans="1:10" ht="24.95" customHeight="1">
      <c r="A53" s="215"/>
      <c r="B53" s="213"/>
      <c r="C53" s="217">
        <f t="shared" si="1"/>
        <v>45727.347222222219</v>
      </c>
      <c r="D53" s="632">
        <v>1320</v>
      </c>
      <c r="E53" s="632"/>
      <c r="F53" s="213">
        <f>LongTest!F51</f>
        <v>38.270000000000003</v>
      </c>
      <c r="G53" s="213">
        <f>LongTest!G51</f>
        <v>26.92</v>
      </c>
      <c r="H53" s="213"/>
      <c r="I53" s="213"/>
      <c r="J53" s="214"/>
    </row>
    <row r="54" spans="1:10" ht="24.95" customHeight="1">
      <c r="A54" s="215"/>
      <c r="B54" s="213"/>
      <c r="C54" s="217">
        <f t="shared" si="1"/>
        <v>45727.388888888891</v>
      </c>
      <c r="D54" s="632">
        <v>1380</v>
      </c>
      <c r="E54" s="632"/>
      <c r="F54" s="213">
        <f>LongTest!F52</f>
        <v>38.270000000000003</v>
      </c>
      <c r="G54" s="213">
        <f>LongTest!G52</f>
        <v>26.92</v>
      </c>
      <c r="H54" s="213"/>
      <c r="I54" s="213"/>
      <c r="J54" s="214"/>
    </row>
    <row r="55" spans="1:10" ht="24.95" customHeight="1">
      <c r="A55" s="215"/>
      <c r="B55" s="213"/>
      <c r="C55" s="217">
        <f t="shared" si="1"/>
        <v>45727.430555555555</v>
      </c>
      <c r="D55" s="632">
        <v>1440</v>
      </c>
      <c r="E55" s="632"/>
      <c r="F55" s="213">
        <f>LongTest!F53</f>
        <v>38.270000000000003</v>
      </c>
      <c r="G55" s="213">
        <f>LongTest!G53</f>
        <v>26.92</v>
      </c>
      <c r="H55" s="213">
        <f>'w1'!D20</f>
        <v>15.6</v>
      </c>
      <c r="I55" s="213">
        <f>'w1'!E20</f>
        <v>211</v>
      </c>
      <c r="J55" s="214">
        <f>'w1'!F20</f>
        <v>7.12</v>
      </c>
    </row>
    <row r="56" spans="1:10" ht="24.95" customHeight="1">
      <c r="A56" s="240"/>
      <c r="B56" s="217"/>
      <c r="C56" s="217">
        <f t="shared" si="1"/>
        <v>45727.472222222219</v>
      </c>
      <c r="D56" s="608">
        <v>1500</v>
      </c>
      <c r="E56" s="635"/>
      <c r="F56" s="213">
        <f>LongTest!F54</f>
        <v>38.270000000000003</v>
      </c>
      <c r="G56" s="213">
        <f>LongTest!G54</f>
        <v>26.92</v>
      </c>
      <c r="H56" s="213"/>
      <c r="I56" s="213"/>
      <c r="J56" s="214"/>
    </row>
    <row r="57" spans="1:10" ht="24.95" customHeight="1">
      <c r="A57" s="240"/>
      <c r="B57" s="217"/>
      <c r="C57" s="217">
        <f t="shared" si="1"/>
        <v>45727.513888888891</v>
      </c>
      <c r="D57" s="608">
        <v>1560</v>
      </c>
      <c r="E57" s="635"/>
      <c r="F57" s="213">
        <f>LongTest!F55</f>
        <v>38.270000000000003</v>
      </c>
      <c r="G57" s="213">
        <f>LongTest!G55</f>
        <v>26.92</v>
      </c>
      <c r="H57" s="213"/>
      <c r="I57" s="213"/>
      <c r="J57" s="214"/>
    </row>
    <row r="58" spans="1:10" ht="24.95" customHeight="1">
      <c r="A58" s="240"/>
      <c r="B58" s="217"/>
      <c r="C58" s="217">
        <f t="shared" si="1"/>
        <v>45727.555555555555</v>
      </c>
      <c r="D58" s="608">
        <v>1620</v>
      </c>
      <c r="E58" s="635"/>
      <c r="F58" s="213">
        <f>LongTest!F56</f>
        <v>38.270000000000003</v>
      </c>
      <c r="G58" s="213">
        <f>LongTest!G56</f>
        <v>26.92</v>
      </c>
      <c r="H58" s="213"/>
      <c r="I58" s="213"/>
      <c r="J58" s="214"/>
    </row>
    <row r="59" spans="1:10" ht="24.95" customHeight="1">
      <c r="A59" s="240"/>
      <c r="B59" s="217"/>
      <c r="C59" s="217">
        <f t="shared" si="1"/>
        <v>45727.597222222219</v>
      </c>
      <c r="D59" s="608">
        <v>1680</v>
      </c>
      <c r="E59" s="635"/>
      <c r="F59" s="213">
        <f>LongTest!F57</f>
        <v>38.270000000000003</v>
      </c>
      <c r="G59" s="213">
        <f>LongTest!G57</f>
        <v>26.92</v>
      </c>
      <c r="H59" s="213">
        <f>H55</f>
        <v>15.6</v>
      </c>
      <c r="I59" s="213">
        <f t="shared" ref="I59:J59" si="2">I55</f>
        <v>211</v>
      </c>
      <c r="J59" s="214">
        <f t="shared" si="2"/>
        <v>7.12</v>
      </c>
    </row>
    <row r="60" spans="1:10" ht="24.95" customHeight="1">
      <c r="A60" s="240"/>
      <c r="B60" s="217"/>
      <c r="C60" s="217">
        <f t="shared" si="1"/>
        <v>45727.638888888891</v>
      </c>
      <c r="D60" s="608">
        <v>1740</v>
      </c>
      <c r="E60" s="635"/>
      <c r="F60" s="213">
        <f>LongTest!F58</f>
        <v>38.270000000000003</v>
      </c>
      <c r="G60" s="213">
        <f>LongTest!G58</f>
        <v>26.92</v>
      </c>
      <c r="H60" s="213"/>
      <c r="I60" s="213"/>
      <c r="J60" s="214"/>
    </row>
    <row r="61" spans="1:10" ht="24.95" customHeight="1">
      <c r="A61" s="240"/>
      <c r="B61" s="217"/>
      <c r="C61" s="217">
        <f t="shared" si="1"/>
        <v>45727.680555555555</v>
      </c>
      <c r="D61" s="608">
        <v>1800</v>
      </c>
      <c r="E61" s="635"/>
      <c r="F61" s="213">
        <f>LongTest!F59</f>
        <v>38.270000000000003</v>
      </c>
      <c r="G61" s="213">
        <f>LongTest!G59</f>
        <v>26.92</v>
      </c>
      <c r="H61" s="213"/>
      <c r="I61" s="213"/>
      <c r="J61" s="214"/>
    </row>
    <row r="62" spans="1:10" ht="24.95" customHeight="1">
      <c r="A62" s="240"/>
      <c r="B62" s="217"/>
      <c r="C62" s="217">
        <f t="shared" si="1"/>
        <v>45727.722222222219</v>
      </c>
      <c r="D62" s="608">
        <v>1860</v>
      </c>
      <c r="E62" s="635"/>
      <c r="F62" s="213">
        <f>LongTest!F60</f>
        <v>38.270000000000003</v>
      </c>
      <c r="G62" s="213">
        <f>LongTest!G60</f>
        <v>26.92</v>
      </c>
      <c r="H62" s="213"/>
      <c r="I62" s="213"/>
      <c r="J62" s="214"/>
    </row>
    <row r="63" spans="1:10" ht="24.95" customHeight="1">
      <c r="A63" s="240"/>
      <c r="B63" s="217"/>
      <c r="C63" s="217">
        <f t="shared" si="1"/>
        <v>45727.763888888891</v>
      </c>
      <c r="D63" s="608">
        <v>1920</v>
      </c>
      <c r="E63" s="635"/>
      <c r="F63" s="213">
        <f>LongTest!F61</f>
        <v>38.270000000000003</v>
      </c>
      <c r="G63" s="213">
        <f>LongTest!G61</f>
        <v>26.92</v>
      </c>
      <c r="H63" s="213">
        <f>H59</f>
        <v>15.6</v>
      </c>
      <c r="I63" s="213">
        <f t="shared" ref="I63:J63" si="3">I59</f>
        <v>211</v>
      </c>
      <c r="J63" s="214">
        <f t="shared" si="3"/>
        <v>7.12</v>
      </c>
    </row>
    <row r="64" spans="1:10" ht="24.95" customHeight="1">
      <c r="A64" s="240"/>
      <c r="B64" s="217"/>
      <c r="C64" s="217">
        <f t="shared" si="1"/>
        <v>45727.805555555555</v>
      </c>
      <c r="D64" s="608">
        <v>1980</v>
      </c>
      <c r="E64" s="635"/>
      <c r="F64" s="213">
        <f>LongTest!F62</f>
        <v>38.270000000000003</v>
      </c>
      <c r="G64" s="213">
        <f>LongTest!G62</f>
        <v>26.92</v>
      </c>
      <c r="H64" s="213"/>
      <c r="I64" s="213"/>
      <c r="J64" s="214"/>
    </row>
    <row r="65" spans="1:10" ht="24.95" customHeight="1">
      <c r="A65" s="240"/>
      <c r="B65" s="217"/>
      <c r="C65" s="217">
        <f t="shared" si="1"/>
        <v>45727.847222222219</v>
      </c>
      <c r="D65" s="608">
        <v>2040</v>
      </c>
      <c r="E65" s="635"/>
      <c r="F65" s="213">
        <f>LongTest!F63</f>
        <v>38.270000000000003</v>
      </c>
      <c r="G65" s="213">
        <f>LongTest!G63</f>
        <v>26.92</v>
      </c>
      <c r="H65" s="213"/>
      <c r="I65" s="213"/>
      <c r="J65" s="214"/>
    </row>
    <row r="66" spans="1:10" ht="24.95" customHeight="1">
      <c r="A66" s="240"/>
      <c r="B66" s="217"/>
      <c r="C66" s="217">
        <f t="shared" si="1"/>
        <v>45727.888888888891</v>
      </c>
      <c r="D66" s="608">
        <v>2100</v>
      </c>
      <c r="E66" s="635"/>
      <c r="F66" s="213">
        <f>LongTest!F64</f>
        <v>38.270000000000003</v>
      </c>
      <c r="G66" s="213">
        <f>LongTest!G64</f>
        <v>26.92</v>
      </c>
      <c r="H66" s="213"/>
      <c r="I66" s="213"/>
      <c r="J66" s="214"/>
    </row>
    <row r="67" spans="1:10" ht="24.95" customHeight="1">
      <c r="A67" s="240"/>
      <c r="B67" s="217"/>
      <c r="C67" s="217">
        <f t="shared" si="1"/>
        <v>45727.930555555555</v>
      </c>
      <c r="D67" s="608">
        <v>2160</v>
      </c>
      <c r="E67" s="635"/>
      <c r="F67" s="213">
        <f>LongTest!F65</f>
        <v>38.270000000000003</v>
      </c>
      <c r="G67" s="213">
        <f>LongTest!G65</f>
        <v>26.92</v>
      </c>
      <c r="H67" s="213"/>
      <c r="I67" s="213"/>
      <c r="J67" s="214"/>
    </row>
    <row r="68" spans="1:10" ht="24.95" customHeight="1">
      <c r="A68" s="240"/>
      <c r="B68" s="217"/>
      <c r="C68" s="217">
        <f t="shared" si="1"/>
        <v>45727.972222222219</v>
      </c>
      <c r="D68" s="608">
        <v>2220</v>
      </c>
      <c r="E68" s="635"/>
      <c r="F68" s="213">
        <f>LongTest!F66</f>
        <v>38.270000000000003</v>
      </c>
      <c r="G68" s="213">
        <f>LongTest!G66</f>
        <v>26.92</v>
      </c>
      <c r="H68" s="213"/>
      <c r="I68" s="213"/>
      <c r="J68" s="214"/>
    </row>
    <row r="69" spans="1:10" ht="24.95" customHeight="1">
      <c r="A69" s="240"/>
      <c r="B69" s="217"/>
      <c r="C69" s="217">
        <f t="shared" si="1"/>
        <v>45728.013888888891</v>
      </c>
      <c r="D69" s="608">
        <v>2280</v>
      </c>
      <c r="E69" s="635"/>
      <c r="F69" s="213">
        <f>LongTest!F67</f>
        <v>38.270000000000003</v>
      </c>
      <c r="G69" s="213">
        <f>LongTest!G67</f>
        <v>26.92</v>
      </c>
      <c r="H69" s="213"/>
      <c r="I69" s="213"/>
      <c r="J69" s="214"/>
    </row>
    <row r="70" spans="1:10" ht="24.95" customHeight="1">
      <c r="A70" s="240"/>
      <c r="B70" s="217"/>
      <c r="C70" s="217">
        <f t="shared" si="1"/>
        <v>45728.055555555555</v>
      </c>
      <c r="D70" s="608">
        <v>2340</v>
      </c>
      <c r="E70" s="635"/>
      <c r="F70" s="213">
        <f>LongTest!F68</f>
        <v>38.270000000000003</v>
      </c>
      <c r="G70" s="213">
        <f>LongTest!G68</f>
        <v>26.92</v>
      </c>
      <c r="H70" s="213"/>
      <c r="I70" s="213"/>
      <c r="J70" s="214"/>
    </row>
    <row r="71" spans="1:10" ht="24.95" customHeight="1">
      <c r="A71" s="240"/>
      <c r="B71" s="217"/>
      <c r="C71" s="217">
        <f t="shared" si="1"/>
        <v>45728.097222222219</v>
      </c>
      <c r="D71" s="608">
        <v>2400</v>
      </c>
      <c r="E71" s="635"/>
      <c r="F71" s="213">
        <f>LongTest!F69</f>
        <v>38.270000000000003</v>
      </c>
      <c r="G71" s="213">
        <f>LongTest!G69</f>
        <v>26.92</v>
      </c>
      <c r="H71" s="213"/>
      <c r="I71" s="213"/>
      <c r="J71" s="214"/>
    </row>
    <row r="72" spans="1:10" ht="24.95" customHeight="1">
      <c r="A72" s="240"/>
      <c r="B72" s="217"/>
      <c r="C72" s="217">
        <f t="shared" si="1"/>
        <v>45728.138888888891</v>
      </c>
      <c r="D72" s="608">
        <v>2460</v>
      </c>
      <c r="E72" s="635"/>
      <c r="F72" s="213">
        <f>LongTest!F70</f>
        <v>38.270000000000003</v>
      </c>
      <c r="G72" s="213">
        <f>LongTest!G70</f>
        <v>26.92</v>
      </c>
      <c r="H72" s="213"/>
      <c r="I72" s="213"/>
      <c r="J72" s="214"/>
    </row>
    <row r="73" spans="1:10" ht="24.95" customHeight="1">
      <c r="A73" s="240"/>
      <c r="B73" s="217"/>
      <c r="C73" s="217">
        <f t="shared" si="1"/>
        <v>45728.180555555555</v>
      </c>
      <c r="D73" s="608">
        <v>2520</v>
      </c>
      <c r="E73" s="635"/>
      <c r="F73" s="213">
        <f>LongTest!F71</f>
        <v>38.270000000000003</v>
      </c>
      <c r="G73" s="213">
        <f>LongTest!G71</f>
        <v>26.92</v>
      </c>
      <c r="H73" s="213"/>
      <c r="I73" s="213"/>
      <c r="J73" s="214"/>
    </row>
    <row r="74" spans="1:10" ht="24.95" customHeight="1">
      <c r="A74" s="240"/>
      <c r="B74" s="217"/>
      <c r="C74" s="217">
        <f t="shared" si="1"/>
        <v>45728.222222222219</v>
      </c>
      <c r="D74" s="608">
        <v>2580</v>
      </c>
      <c r="E74" s="635"/>
      <c r="F74" s="213">
        <f>LongTest!F72</f>
        <v>38.270000000000003</v>
      </c>
      <c r="G74" s="213">
        <f>LongTest!G72</f>
        <v>26.92</v>
      </c>
      <c r="H74" s="213"/>
      <c r="I74" s="213"/>
      <c r="J74" s="214"/>
    </row>
    <row r="75" spans="1:10" ht="24.95" customHeight="1">
      <c r="A75" s="240"/>
      <c r="B75" s="217"/>
      <c r="C75" s="217">
        <f t="shared" si="1"/>
        <v>45728.263888888891</v>
      </c>
      <c r="D75" s="608">
        <v>2640</v>
      </c>
      <c r="E75" s="635"/>
      <c r="F75" s="213">
        <f>LongTest!F73</f>
        <v>38.270000000000003</v>
      </c>
      <c r="G75" s="213">
        <f>LongTest!G73</f>
        <v>26.92</v>
      </c>
      <c r="H75" s="213"/>
      <c r="I75" s="213"/>
      <c r="J75" s="214"/>
    </row>
    <row r="76" spans="1:10" ht="24.95" customHeight="1">
      <c r="A76" s="240"/>
      <c r="B76" s="217"/>
      <c r="C76" s="217">
        <f t="shared" ref="C76:C79" si="4">$C$4+D76/1440</f>
        <v>45728.305555555555</v>
      </c>
      <c r="D76" s="608">
        <v>2700</v>
      </c>
      <c r="E76" s="635"/>
      <c r="F76" s="213">
        <f>LongTest!F74</f>
        <v>38.270000000000003</v>
      </c>
      <c r="G76" s="213">
        <f>LongTest!G74</f>
        <v>26.92</v>
      </c>
      <c r="H76" s="213"/>
      <c r="I76" s="213"/>
      <c r="J76" s="214"/>
    </row>
    <row r="77" spans="1:10" ht="24.95" customHeight="1">
      <c r="A77" s="240"/>
      <c r="B77" s="217"/>
      <c r="C77" s="217">
        <f t="shared" si="4"/>
        <v>45728.347222222219</v>
      </c>
      <c r="D77" s="608">
        <v>2760</v>
      </c>
      <c r="E77" s="635"/>
      <c r="F77" s="213">
        <f>LongTest!F75</f>
        <v>38.270000000000003</v>
      </c>
      <c r="G77" s="213">
        <f>LongTest!G75</f>
        <v>26.92</v>
      </c>
      <c r="H77" s="213"/>
      <c r="I77" s="213"/>
      <c r="J77" s="214"/>
    </row>
    <row r="78" spans="1:10" ht="24.95" customHeight="1">
      <c r="A78" s="240"/>
      <c r="B78" s="217"/>
      <c r="C78" s="217">
        <f t="shared" si="4"/>
        <v>45728.388888888891</v>
      </c>
      <c r="D78" s="608">
        <v>2820</v>
      </c>
      <c r="E78" s="635"/>
      <c r="F78" s="213">
        <f>LongTest!F76</f>
        <v>38.270000000000003</v>
      </c>
      <c r="G78" s="213">
        <f>LongTest!G76</f>
        <v>26.92</v>
      </c>
      <c r="H78" s="213"/>
      <c r="I78" s="213"/>
      <c r="J78" s="214"/>
    </row>
    <row r="79" spans="1:10" ht="24.95" customHeight="1">
      <c r="A79" s="241"/>
      <c r="B79" s="222"/>
      <c r="C79" s="222">
        <f t="shared" si="4"/>
        <v>45728.430555555555</v>
      </c>
      <c r="D79" s="650">
        <v>2880</v>
      </c>
      <c r="E79" s="661"/>
      <c r="F79" s="242">
        <f>LongTest!F77</f>
        <v>38.270000000000003</v>
      </c>
      <c r="G79" s="242">
        <f>LongTest!G77</f>
        <v>26.92</v>
      </c>
      <c r="H79" s="242">
        <f>H63</f>
        <v>15.6</v>
      </c>
      <c r="I79" s="242">
        <f t="shared" ref="I79:J79" si="5">I63</f>
        <v>211</v>
      </c>
      <c r="J79" s="243">
        <f t="shared" si="5"/>
        <v>7.12</v>
      </c>
    </row>
    <row r="80" spans="1:10" ht="24.95" customHeight="1" thickBot="1">
      <c r="A80" s="658" t="s">
        <v>321</v>
      </c>
      <c r="B80" s="659"/>
      <c r="C80" s="659"/>
      <c r="D80" s="659"/>
      <c r="E80" s="659"/>
      <c r="F80" s="659"/>
      <c r="G80" s="659"/>
      <c r="H80" s="659"/>
      <c r="I80" s="659"/>
      <c r="J80" s="66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A5" sqref="A5:B5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0" ht="24.95" customHeight="1">
      <c r="A4" s="620" t="s">
        <v>354</v>
      </c>
      <c r="B4" s="621"/>
      <c r="C4" s="622">
        <f>장기28!C5</f>
        <v>45728.430555555555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353</v>
      </c>
      <c r="B5" s="621"/>
      <c r="C5" s="622">
        <f>LongTest!C101</f>
        <v>45728.680555555555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0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213" t="s">
        <v>325</v>
      </c>
      <c r="H7" s="628">
        <f>Input!I50</f>
        <v>48</v>
      </c>
      <c r="I7" s="621"/>
      <c r="J7" s="214" t="s">
        <v>298</v>
      </c>
    </row>
    <row r="8" spans="1:10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301</v>
      </c>
      <c r="H8" s="628">
        <f>LongTest!G7</f>
        <v>158</v>
      </c>
      <c r="I8" s="621"/>
      <c r="J8" s="214" t="s">
        <v>298</v>
      </c>
    </row>
    <row r="9" spans="1:10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303</v>
      </c>
      <c r="H9" s="628">
        <f>LongTest!G8</f>
        <v>38.270000000000003</v>
      </c>
      <c r="I9" s="621"/>
      <c r="J9" s="214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5" si="0">$C$4+D12/1440</f>
        <v>45728.431250000001</v>
      </c>
      <c r="D12" s="608">
        <v>1</v>
      </c>
      <c r="E12" s="635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45728.431944444441</v>
      </c>
      <c r="D13" s="608">
        <v>2</v>
      </c>
      <c r="E13" s="635"/>
      <c r="F13" s="218">
        <f>LongTest!F79</f>
        <v>26.73021109021095</v>
      </c>
      <c r="G13" s="218">
        <f>LongTest!G79</f>
        <v>15.380211090210949</v>
      </c>
      <c r="H13" s="608"/>
      <c r="I13" s="609"/>
      <c r="J13" s="610"/>
    </row>
    <row r="14" spans="1:10" ht="24.95" customHeight="1">
      <c r="A14" s="240"/>
      <c r="B14" s="217"/>
      <c r="C14" s="217">
        <f t="shared" si="0"/>
        <v>45728.432638888888</v>
      </c>
      <c r="D14" s="608">
        <v>3</v>
      </c>
      <c r="E14" s="635"/>
      <c r="F14" s="218">
        <f>LongTest!F80</f>
        <v>25.283494305486641</v>
      </c>
      <c r="G14" s="218">
        <f>LongTest!G80</f>
        <v>13.93349430548664</v>
      </c>
      <c r="H14" s="608"/>
      <c r="I14" s="609"/>
      <c r="J14" s="610"/>
    </row>
    <row r="15" spans="1:10" ht="24.95" customHeight="1">
      <c r="A15" s="240"/>
      <c r="B15" s="217"/>
      <c r="C15" s="217">
        <f t="shared" si="0"/>
        <v>45728.433333333334</v>
      </c>
      <c r="D15" s="608">
        <v>4</v>
      </c>
      <c r="E15" s="635"/>
      <c r="F15" s="218">
        <f>LongTest!F81</f>
        <v>23.972860793152201</v>
      </c>
      <c r="G15" s="218">
        <f>LongTest!G81</f>
        <v>12.622860793152199</v>
      </c>
      <c r="H15" s="608"/>
      <c r="I15" s="609"/>
      <c r="J15" s="610"/>
    </row>
    <row r="16" spans="1:10" ht="24.95" customHeight="1">
      <c r="A16" s="240"/>
      <c r="B16" s="217"/>
      <c r="C16" s="217">
        <f t="shared" si="0"/>
        <v>45728.434027777774</v>
      </c>
      <c r="D16" s="608">
        <v>5</v>
      </c>
      <c r="E16" s="635"/>
      <c r="F16" s="218">
        <f>LongTest!F82</f>
        <v>22.785510081671077</v>
      </c>
      <c r="G16" s="218">
        <f>LongTest!G82</f>
        <v>11.435510081671076</v>
      </c>
      <c r="H16" s="608"/>
      <c r="I16" s="609"/>
      <c r="J16" s="610"/>
    </row>
    <row r="17" spans="1:10" ht="24.95" customHeight="1">
      <c r="A17" s="240"/>
      <c r="B17" s="217"/>
      <c r="C17" s="217">
        <f t="shared" si="0"/>
        <v>45728.4375</v>
      </c>
      <c r="D17" s="608">
        <v>10</v>
      </c>
      <c r="E17" s="635"/>
      <c r="F17" s="218">
        <f>LongTest!F83</f>
        <v>19.852542004201268</v>
      </c>
      <c r="G17" s="218">
        <f>LongTest!G83</f>
        <v>8.5025420042012705</v>
      </c>
      <c r="H17" s="608"/>
      <c r="I17" s="609"/>
      <c r="J17" s="610"/>
    </row>
    <row r="18" spans="1:10" ht="24.95" customHeight="1">
      <c r="A18" s="240"/>
      <c r="B18" s="217"/>
      <c r="C18" s="217">
        <f t="shared" si="0"/>
        <v>45728.440972222219</v>
      </c>
      <c r="D18" s="608">
        <v>15</v>
      </c>
      <c r="E18" s="635"/>
      <c r="F18" s="218">
        <f>LongTest!F84</f>
        <v>19.310627178404037</v>
      </c>
      <c r="G18" s="218">
        <f>LongTest!G84</f>
        <v>7.960627178404037</v>
      </c>
      <c r="H18" s="608"/>
      <c r="I18" s="609"/>
      <c r="J18" s="610"/>
    </row>
    <row r="19" spans="1:10" ht="24.95" customHeight="1">
      <c r="A19" s="240"/>
      <c r="B19" s="217"/>
      <c r="C19" s="217">
        <f t="shared" si="0"/>
        <v>45728.444444444445</v>
      </c>
      <c r="D19" s="608">
        <v>20</v>
      </c>
      <c r="E19" s="635"/>
      <c r="F19" s="218">
        <f>LongTest!F85</f>
        <v>17.883453156773275</v>
      </c>
      <c r="G19" s="218">
        <f>LongTest!G85</f>
        <v>6.5334531567732759</v>
      </c>
      <c r="H19" s="608"/>
      <c r="I19" s="609"/>
      <c r="J19" s="610"/>
    </row>
    <row r="20" spans="1:10" ht="24.95" customHeight="1">
      <c r="A20" s="240"/>
      <c r="B20" s="217"/>
      <c r="C20" s="217">
        <f t="shared" si="0"/>
        <v>45728.447916666664</v>
      </c>
      <c r="D20" s="608">
        <v>25</v>
      </c>
      <c r="E20" s="635"/>
      <c r="F20" s="218">
        <f>LongTest!F86</f>
        <v>17.268893558814966</v>
      </c>
      <c r="G20" s="218">
        <f>LongTest!G86</f>
        <v>5.9188935588149674</v>
      </c>
      <c r="H20" s="608"/>
      <c r="I20" s="609"/>
      <c r="J20" s="610"/>
    </row>
    <row r="21" spans="1:10" ht="24.95" customHeight="1">
      <c r="A21" s="240"/>
      <c r="B21" s="217"/>
      <c r="C21" s="217">
        <f t="shared" si="0"/>
        <v>45728.451388888891</v>
      </c>
      <c r="D21" s="608">
        <v>30</v>
      </c>
      <c r="E21" s="635"/>
      <c r="F21" s="218">
        <f>LongTest!F87</f>
        <v>16.71214159954021</v>
      </c>
      <c r="G21" s="218">
        <f>LongTest!G87</f>
        <v>5.3621415995402115</v>
      </c>
      <c r="H21" s="608"/>
      <c r="I21" s="609"/>
      <c r="J21" s="610"/>
    </row>
    <row r="22" spans="1:10" ht="24.95" customHeight="1">
      <c r="A22" s="240"/>
      <c r="B22" s="217"/>
      <c r="C22" s="217">
        <f t="shared" si="0"/>
        <v>45728.454861111109</v>
      </c>
      <c r="D22" s="608">
        <v>35</v>
      </c>
      <c r="E22" s="635"/>
      <c r="F22" s="218">
        <f>LongTest!F88</f>
        <v>16.53844870842914</v>
      </c>
      <c r="G22" s="218">
        <f>LongTest!G88</f>
        <v>5.1884487084291395</v>
      </c>
      <c r="H22" s="608"/>
      <c r="I22" s="609"/>
      <c r="J22" s="610"/>
    </row>
    <row r="23" spans="1:10" ht="24.95" customHeight="1">
      <c r="A23" s="240"/>
      <c r="B23" s="217"/>
      <c r="C23" s="217">
        <f t="shared" si="0"/>
        <v>45728.458333333336</v>
      </c>
      <c r="D23" s="608">
        <v>40</v>
      </c>
      <c r="E23" s="635"/>
      <c r="F23" s="218">
        <f>LongTest!F89</f>
        <v>16.370382155202378</v>
      </c>
      <c r="G23" s="218">
        <f>LongTest!G89</f>
        <v>5.0203821552023769</v>
      </c>
      <c r="H23" s="608"/>
      <c r="I23" s="609"/>
      <c r="J23" s="610"/>
    </row>
    <row r="24" spans="1:10" ht="24.95" customHeight="1">
      <c r="A24" s="240"/>
      <c r="B24" s="217"/>
      <c r="C24" s="217">
        <f t="shared" si="0"/>
        <v>45728.461805555555</v>
      </c>
      <c r="D24" s="608">
        <v>45</v>
      </c>
      <c r="E24" s="635"/>
      <c r="F24" s="218">
        <f>LongTest!F90</f>
        <v>16.207759689004487</v>
      </c>
      <c r="G24" s="218">
        <f>LongTest!G90</f>
        <v>4.8577596890044861</v>
      </c>
      <c r="H24" s="608"/>
      <c r="I24" s="609"/>
      <c r="J24" s="610"/>
    </row>
    <row r="25" spans="1:10" ht="24.95" customHeight="1">
      <c r="A25" s="240"/>
      <c r="B25" s="217"/>
      <c r="C25" s="217">
        <f t="shared" si="0"/>
        <v>45728.465277777774</v>
      </c>
      <c r="D25" s="608">
        <v>50</v>
      </c>
      <c r="E25" s="635"/>
      <c r="F25" s="218">
        <f>LongTest!F91</f>
        <v>16.050404962531324</v>
      </c>
      <c r="G25" s="218">
        <f>LongTest!G91</f>
        <v>4.7004049625313247</v>
      </c>
      <c r="H25" s="608"/>
      <c r="I25" s="609"/>
      <c r="J25" s="610"/>
    </row>
    <row r="26" spans="1:10" ht="24.95" customHeight="1">
      <c r="A26" s="240"/>
      <c r="B26" s="217"/>
      <c r="C26" s="217">
        <f t="shared" si="0"/>
        <v>45728.46875</v>
      </c>
      <c r="D26" s="608">
        <v>55</v>
      </c>
      <c r="E26" s="635"/>
      <c r="F26" s="218">
        <f>LongTest!F92</f>
        <v>15.898147340799571</v>
      </c>
      <c r="G26" s="218">
        <f>LongTest!G92</f>
        <v>4.5481473407995727</v>
      </c>
      <c r="H26" s="608"/>
      <c r="I26" s="609"/>
      <c r="J26" s="610"/>
    </row>
    <row r="27" spans="1:10" ht="24.95" customHeight="1">
      <c r="A27" s="240"/>
      <c r="B27" s="217"/>
      <c r="C27" s="217">
        <f t="shared" si="0"/>
        <v>45728.472222222219</v>
      </c>
      <c r="D27" s="608">
        <v>60</v>
      </c>
      <c r="E27" s="635"/>
      <c r="F27" s="218">
        <f>LongTest!F93</f>
        <v>15.75082171611067</v>
      </c>
      <c r="G27" s="218">
        <f>LongTest!G93</f>
        <v>4.40082171611067</v>
      </c>
      <c r="H27" s="608"/>
      <c r="I27" s="609"/>
      <c r="J27" s="610"/>
    </row>
    <row r="28" spans="1:10" ht="24.95" customHeight="1">
      <c r="A28" s="240"/>
      <c r="B28" s="217"/>
      <c r="C28" s="217">
        <f t="shared" si="0"/>
        <v>45728.482638888891</v>
      </c>
      <c r="D28" s="608">
        <v>75</v>
      </c>
      <c r="E28" s="635"/>
      <c r="F28" s="218">
        <f>LongTest!F94</f>
        <v>15.608268329008549</v>
      </c>
      <c r="G28" s="218">
        <f>LongTest!G94</f>
        <v>4.2582683290085486</v>
      </c>
      <c r="H28" s="608"/>
      <c r="I28" s="609"/>
      <c r="J28" s="610"/>
    </row>
    <row r="29" spans="1:10" ht="24.95" customHeight="1">
      <c r="A29" s="240"/>
      <c r="B29" s="217"/>
      <c r="C29" s="217">
        <f t="shared" si="0"/>
        <v>45728.493055555555</v>
      </c>
      <c r="D29" s="608">
        <v>90</v>
      </c>
      <c r="E29" s="635"/>
      <c r="F29" s="218">
        <f>LongTest!F95</f>
        <v>15.470332595036952</v>
      </c>
      <c r="G29" s="218">
        <f>LongTest!G95</f>
        <v>4.1203325950369525</v>
      </c>
      <c r="H29" s="608"/>
      <c r="I29" s="609"/>
      <c r="J29" s="610"/>
    </row>
    <row r="30" spans="1:10" ht="24.95" customHeight="1">
      <c r="A30" s="240"/>
      <c r="B30" s="217"/>
      <c r="C30" s="217">
        <f t="shared" si="0"/>
        <v>45728.503472222219</v>
      </c>
      <c r="D30" s="608">
        <v>105</v>
      </c>
      <c r="E30" s="635"/>
      <c r="F30" s="218">
        <f>LongTest!F96</f>
        <v>15.336864937108539</v>
      </c>
      <c r="G30" s="218">
        <f>LongTest!G96</f>
        <v>3.9868649371085385</v>
      </c>
      <c r="H30" s="608"/>
      <c r="I30" s="609"/>
      <c r="J30" s="610"/>
    </row>
    <row r="31" spans="1:10" ht="24.95" customHeight="1">
      <c r="A31" s="240"/>
      <c r="B31" s="217"/>
      <c r="C31" s="217">
        <f t="shared" si="0"/>
        <v>45728.513888888891</v>
      </c>
      <c r="D31" s="608">
        <v>120</v>
      </c>
      <c r="E31" s="635"/>
      <c r="F31" s="218">
        <f>LongTest!F97</f>
        <v>14.961846389631328</v>
      </c>
      <c r="G31" s="218">
        <f>LongTest!G97</f>
        <v>3.6118463896313284</v>
      </c>
      <c r="H31" s="608"/>
      <c r="I31" s="609"/>
      <c r="J31" s="610"/>
    </row>
    <row r="32" spans="1:10" ht="24.95" customHeight="1">
      <c r="A32" s="240"/>
      <c r="B32" s="217"/>
      <c r="C32" s="217">
        <f t="shared" si="0"/>
        <v>45728.555555555555</v>
      </c>
      <c r="D32" s="608">
        <v>180</v>
      </c>
      <c r="E32" s="635"/>
      <c r="F32" s="218">
        <f>LongTest!F98</f>
        <v>14.844849844497581</v>
      </c>
      <c r="G32" s="218">
        <f>LongTest!G98</f>
        <v>3.4948498444975815</v>
      </c>
      <c r="H32" s="608"/>
      <c r="I32" s="609"/>
      <c r="J32" s="610"/>
    </row>
    <row r="33" spans="1:10" ht="24.95" customHeight="1">
      <c r="A33" s="240"/>
      <c r="B33" s="217"/>
      <c r="C33" s="217">
        <f t="shared" si="0"/>
        <v>45728.597222222219</v>
      </c>
      <c r="D33" s="608">
        <v>240</v>
      </c>
      <c r="E33" s="635"/>
      <c r="F33" s="218">
        <f>LongTest!F99</f>
        <v>14.218296333601067</v>
      </c>
      <c r="G33" s="218">
        <f>LongTest!G99</f>
        <v>2.8682963336010681</v>
      </c>
      <c r="H33" s="608"/>
      <c r="I33" s="609"/>
      <c r="J33" s="610"/>
    </row>
    <row r="34" spans="1:10" ht="24.95" customHeight="1">
      <c r="A34" s="240"/>
      <c r="B34" s="217"/>
      <c r="C34" s="217">
        <f t="shared" si="0"/>
        <v>45728.638888888891</v>
      </c>
      <c r="D34" s="608">
        <v>300</v>
      </c>
      <c r="E34" s="635"/>
      <c r="F34" s="218">
        <f>LongTest!F100</f>
        <v>13.704070767962296</v>
      </c>
      <c r="G34" s="218">
        <f>LongTest!G100</f>
        <v>2.3540707679622961</v>
      </c>
      <c r="H34" s="608"/>
      <c r="I34" s="609"/>
      <c r="J34" s="610"/>
    </row>
    <row r="35" spans="1:10" ht="24.95" customHeight="1" thickBot="1">
      <c r="A35" s="244"/>
      <c r="B35" s="245"/>
      <c r="C35" s="245">
        <f t="shared" si="0"/>
        <v>45728.680555555555</v>
      </c>
      <c r="D35" s="611">
        <v>360</v>
      </c>
      <c r="E35" s="636"/>
      <c r="F35" s="246">
        <f>LongTest!F101</f>
        <v>13.282035095417495</v>
      </c>
      <c r="G35" s="246">
        <f>LongTest!G101</f>
        <v>1.9320350954174961</v>
      </c>
      <c r="H35" s="611" t="s">
        <v>320</v>
      </c>
      <c r="I35" s="612"/>
      <c r="J35" s="61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76" t="s">
        <v>316</v>
      </c>
      <c r="B1" s="677"/>
      <c r="C1" s="677"/>
      <c r="D1" s="677"/>
      <c r="E1" s="677"/>
      <c r="F1" s="677"/>
      <c r="G1" s="677"/>
      <c r="H1" s="677"/>
      <c r="I1" s="677"/>
      <c r="J1" s="678"/>
    </row>
    <row r="2" spans="1:10" ht="24.95" customHeight="1">
      <c r="A2" s="679" t="s">
        <v>292</v>
      </c>
      <c r="B2" s="680"/>
      <c r="C2" s="681" t="str">
        <f>LongTest!C2</f>
        <v>예산군 마전 등 5지구 농업용관정 지하수영향조사 용역</v>
      </c>
      <c r="D2" s="682"/>
      <c r="E2" s="682"/>
      <c r="F2" s="682"/>
      <c r="G2" s="682"/>
      <c r="H2" s="682"/>
      <c r="I2" s="682"/>
      <c r="J2" s="683"/>
    </row>
    <row r="3" spans="1:10" ht="24.95" customHeight="1">
      <c r="A3" s="667" t="s">
        <v>293</v>
      </c>
      <c r="B3" s="668"/>
      <c r="C3" s="684" t="str">
        <f>LongTest!C4</f>
        <v>충청남도 예산군 대술면 마전리 820번지</v>
      </c>
      <c r="D3" s="685"/>
      <c r="E3" s="685"/>
      <c r="F3" s="685"/>
      <c r="G3" s="685"/>
      <c r="H3" s="686"/>
      <c r="I3" s="225" t="str">
        <f>Input!I54</f>
        <v>W-1</v>
      </c>
      <c r="J3" s="226" t="s">
        <v>319</v>
      </c>
    </row>
    <row r="4" spans="1:10" ht="24.95" customHeight="1">
      <c r="A4" s="667" t="s">
        <v>294</v>
      </c>
      <c r="B4" s="668"/>
      <c r="C4" s="670">
        <f>LongTest!C10</f>
        <v>45726.430555555555</v>
      </c>
      <c r="D4" s="671"/>
      <c r="E4" s="671"/>
      <c r="F4" s="671"/>
      <c r="G4" s="671"/>
      <c r="H4" s="671"/>
      <c r="I4" s="671"/>
      <c r="J4" s="672"/>
    </row>
    <row r="5" spans="1:10" ht="24.95" customHeight="1">
      <c r="A5" s="667" t="s">
        <v>295</v>
      </c>
      <c r="B5" s="668"/>
      <c r="C5" s="670">
        <f>C55</f>
        <v>45727.430555555555</v>
      </c>
      <c r="D5" s="671"/>
      <c r="E5" s="671"/>
      <c r="F5" s="671"/>
      <c r="G5" s="671"/>
      <c r="H5" s="671"/>
      <c r="I5" s="671"/>
      <c r="J5" s="672"/>
    </row>
    <row r="6" spans="1:10" ht="24.95" customHeight="1">
      <c r="A6" s="667" t="s">
        <v>291</v>
      </c>
      <c r="B6" s="668"/>
      <c r="C6" s="673" t="str">
        <f>LongTest!C5</f>
        <v>다다건설(주)</v>
      </c>
      <c r="D6" s="674"/>
      <c r="E6" s="674"/>
      <c r="F6" s="674"/>
      <c r="G6" s="674"/>
      <c r="H6" s="674"/>
      <c r="I6" s="674"/>
      <c r="J6" s="675"/>
    </row>
    <row r="7" spans="1:10" ht="24.95" customHeight="1">
      <c r="A7" s="667" t="s">
        <v>296</v>
      </c>
      <c r="B7" s="668"/>
      <c r="C7" s="669" t="s">
        <v>323</v>
      </c>
      <c r="D7" s="668"/>
      <c r="E7" s="227">
        <f>LongTest!C6</f>
        <v>7.5</v>
      </c>
      <c r="F7" s="227" t="s">
        <v>297</v>
      </c>
      <c r="G7" s="227" t="s">
        <v>325</v>
      </c>
      <c r="H7" s="669">
        <f>Input!I50</f>
        <v>48</v>
      </c>
      <c r="I7" s="668"/>
      <c r="J7" s="228" t="s">
        <v>298</v>
      </c>
    </row>
    <row r="8" spans="1:10" ht="24.95" customHeight="1">
      <c r="A8" s="667" t="s">
        <v>299</v>
      </c>
      <c r="B8" s="668"/>
      <c r="C8" s="669" t="s">
        <v>324</v>
      </c>
      <c r="D8" s="668"/>
      <c r="E8" s="227">
        <f>LongTest!D7</f>
        <v>250</v>
      </c>
      <c r="F8" s="227" t="s">
        <v>300</v>
      </c>
      <c r="G8" s="227" t="s">
        <v>301</v>
      </c>
      <c r="H8" s="669">
        <f>LongTest!G7</f>
        <v>158</v>
      </c>
      <c r="I8" s="668"/>
      <c r="J8" s="228" t="s">
        <v>298</v>
      </c>
    </row>
    <row r="9" spans="1:10" ht="24.95" customHeight="1">
      <c r="A9" s="667" t="s">
        <v>302</v>
      </c>
      <c r="B9" s="668"/>
      <c r="C9" s="669" t="s">
        <v>322</v>
      </c>
      <c r="D9" s="668"/>
      <c r="E9" s="227">
        <f>LongTest!D8</f>
        <v>11.35</v>
      </c>
      <c r="F9" s="227" t="s">
        <v>298</v>
      </c>
      <c r="G9" s="227" t="s">
        <v>303</v>
      </c>
      <c r="H9" s="669">
        <f>LongTest!G8</f>
        <v>38.270000000000003</v>
      </c>
      <c r="I9" s="668"/>
      <c r="J9" s="228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09">
        <v>1</v>
      </c>
      <c r="B12" s="259">
        <f>LongTest!B10</f>
        <v>200</v>
      </c>
      <c r="C12" s="230">
        <f t="shared" ref="C12:C55" si="0">$C$4+D12/1440</f>
        <v>45726.431250000001</v>
      </c>
      <c r="D12" s="634">
        <v>1</v>
      </c>
      <c r="E12" s="634"/>
      <c r="F12" s="231">
        <f>LongTest!F10</f>
        <v>14.173611919746518</v>
      </c>
      <c r="G12" s="231">
        <f>LongTest!G10</f>
        <v>2.8236119197465186</v>
      </c>
      <c r="H12" s="232"/>
      <c r="I12" s="232"/>
      <c r="J12" s="233"/>
    </row>
    <row r="13" spans="1:10" ht="24.95" customHeight="1">
      <c r="A13" s="209"/>
      <c r="B13" s="227"/>
      <c r="C13" s="230">
        <f t="shared" si="0"/>
        <v>45726.431944444441</v>
      </c>
      <c r="D13" s="634">
        <v>2</v>
      </c>
      <c r="E13" s="634"/>
      <c r="F13" s="231">
        <f>LongTest!F11</f>
        <v>16.828330176673838</v>
      </c>
      <c r="G13" s="231">
        <f>LongTest!G11</f>
        <v>5.4783301766738397</v>
      </c>
      <c r="H13" s="232"/>
      <c r="I13" s="232"/>
      <c r="J13" s="233"/>
    </row>
    <row r="14" spans="1:10" ht="24.95" customHeight="1">
      <c r="A14" s="209"/>
      <c r="B14" s="227"/>
      <c r="C14" s="230">
        <f t="shared" si="0"/>
        <v>45726.432638888888</v>
      </c>
      <c r="D14" s="634">
        <v>3</v>
      </c>
      <c r="E14" s="634"/>
      <c r="F14" s="231">
        <f>LongTest!F12</f>
        <v>18.38124080695615</v>
      </c>
      <c r="G14" s="231">
        <f>LongTest!G12</f>
        <v>7.0312408069561521</v>
      </c>
      <c r="H14" s="232"/>
      <c r="I14" s="232"/>
      <c r="J14" s="233"/>
    </row>
    <row r="15" spans="1:10" ht="24.95" customHeight="1">
      <c r="A15" s="209"/>
      <c r="B15" s="227"/>
      <c r="C15" s="230">
        <f t="shared" si="0"/>
        <v>45726.433333333334</v>
      </c>
      <c r="D15" s="634">
        <v>4</v>
      </c>
      <c r="E15" s="634"/>
      <c r="F15" s="231">
        <f>LongTest!F13</f>
        <v>19.483048433601155</v>
      </c>
      <c r="G15" s="231">
        <f>LongTest!G13</f>
        <v>8.1330484336011573</v>
      </c>
      <c r="H15" s="232"/>
      <c r="I15" s="232"/>
      <c r="J15" s="233"/>
    </row>
    <row r="16" spans="1:10" ht="24.95" customHeight="1">
      <c r="A16" s="209"/>
      <c r="B16" s="227"/>
      <c r="C16" s="230">
        <f t="shared" si="0"/>
        <v>45726.434027777774</v>
      </c>
      <c r="D16" s="634">
        <v>5</v>
      </c>
      <c r="E16" s="634"/>
      <c r="F16" s="231">
        <f>LongTest!F14</f>
        <v>20.337676824516464</v>
      </c>
      <c r="G16" s="231">
        <f>LongTest!G14</f>
        <v>8.9876768245164662</v>
      </c>
      <c r="H16" s="227">
        <f>'w1'!D14</f>
        <v>15.3</v>
      </c>
      <c r="I16" s="227">
        <f>'w1'!E14</f>
        <v>216</v>
      </c>
      <c r="J16" s="228">
        <f>'w1'!F14</f>
        <v>7.3</v>
      </c>
    </row>
    <row r="17" spans="1:10" ht="24.95" customHeight="1">
      <c r="A17" s="209"/>
      <c r="B17" s="227"/>
      <c r="C17" s="230">
        <f t="shared" si="0"/>
        <v>45726.4375</v>
      </c>
      <c r="D17" s="634">
        <v>10</v>
      </c>
      <c r="E17" s="634"/>
      <c r="F17" s="231">
        <f>LongTest!F15</f>
        <v>22.992395081443789</v>
      </c>
      <c r="G17" s="231">
        <f>LongTest!G15</f>
        <v>11.642395081443787</v>
      </c>
      <c r="H17" s="227"/>
      <c r="I17" s="227"/>
      <c r="J17" s="228"/>
    </row>
    <row r="18" spans="1:10" ht="24.95" customHeight="1">
      <c r="A18" s="209"/>
      <c r="B18" s="227"/>
      <c r="C18" s="230">
        <f t="shared" si="0"/>
        <v>45726.440972222219</v>
      </c>
      <c r="D18" s="634">
        <v>15</v>
      </c>
      <c r="E18" s="634"/>
      <c r="F18" s="231">
        <f>LongTest!F16</f>
        <v>24.545305711726101</v>
      </c>
      <c r="G18" s="231">
        <f>LongTest!G16</f>
        <v>13.1953057117261</v>
      </c>
      <c r="H18" s="227"/>
      <c r="I18" s="227"/>
      <c r="J18" s="228"/>
    </row>
    <row r="19" spans="1:10" ht="24.95" customHeight="1">
      <c r="A19" s="209"/>
      <c r="B19" s="227"/>
      <c r="C19" s="230">
        <f t="shared" si="0"/>
        <v>45726.444444444445</v>
      </c>
      <c r="D19" s="634">
        <v>20</v>
      </c>
      <c r="E19" s="634"/>
      <c r="F19" s="231">
        <f>LongTest!F17</f>
        <v>25.647113338371106</v>
      </c>
      <c r="G19" s="231">
        <f>LongTest!G17</f>
        <v>14.297113338371105</v>
      </c>
      <c r="H19" s="227"/>
      <c r="I19" s="227"/>
      <c r="J19" s="228"/>
    </row>
    <row r="20" spans="1:10" ht="24.95" customHeight="1">
      <c r="A20" s="209"/>
      <c r="B20" s="227"/>
      <c r="C20" s="230">
        <f t="shared" si="0"/>
        <v>45726.447916666664</v>
      </c>
      <c r="D20" s="634">
        <v>25</v>
      </c>
      <c r="E20" s="634"/>
      <c r="F20" s="231">
        <f>LongTest!F18</f>
        <v>26.501741729286422</v>
      </c>
      <c r="G20" s="231">
        <f>LongTest!G18</f>
        <v>15.151741729286421</v>
      </c>
      <c r="H20" s="227"/>
      <c r="I20" s="227"/>
      <c r="J20" s="228"/>
    </row>
    <row r="21" spans="1:10" ht="24.95" customHeight="1">
      <c r="A21" s="209"/>
      <c r="B21" s="227"/>
      <c r="C21" s="230">
        <f t="shared" si="0"/>
        <v>45726.451388888891</v>
      </c>
      <c r="D21" s="634">
        <v>30</v>
      </c>
      <c r="E21" s="634"/>
      <c r="F21" s="231">
        <f>LongTest!F19</f>
        <v>27.200023968653419</v>
      </c>
      <c r="G21" s="231">
        <f>LongTest!G19</f>
        <v>15.850023968653417</v>
      </c>
      <c r="H21" s="227">
        <f>'w1'!D15</f>
        <v>15.1</v>
      </c>
      <c r="I21" s="227">
        <f>'w1'!E15</f>
        <v>216</v>
      </c>
      <c r="J21" s="228">
        <f>'w1'!F15</f>
        <v>7.13</v>
      </c>
    </row>
    <row r="22" spans="1:10" ht="24.95" customHeight="1">
      <c r="A22" s="209"/>
      <c r="B22" s="227"/>
      <c r="C22" s="230">
        <f t="shared" si="0"/>
        <v>45726.454861111109</v>
      </c>
      <c r="D22" s="634">
        <v>35</v>
      </c>
      <c r="E22" s="634"/>
      <c r="F22" s="231">
        <f>LongTest!F20</f>
        <v>27.790413189777567</v>
      </c>
      <c r="G22" s="231">
        <f>LongTest!G20</f>
        <v>16.440413189777566</v>
      </c>
      <c r="H22" s="227"/>
      <c r="I22" s="227"/>
      <c r="J22" s="228"/>
    </row>
    <row r="23" spans="1:10" ht="24.95" customHeight="1">
      <c r="A23" s="209"/>
      <c r="B23" s="227"/>
      <c r="C23" s="230">
        <f t="shared" si="0"/>
        <v>45726.458333333336</v>
      </c>
      <c r="D23" s="634">
        <v>40</v>
      </c>
      <c r="E23" s="634"/>
      <c r="F23" s="231">
        <f>LongTest!F21</f>
        <v>28.301831595298424</v>
      </c>
      <c r="G23" s="231">
        <f>LongTest!G21</f>
        <v>16.951831595298422</v>
      </c>
      <c r="H23" s="227"/>
      <c r="I23" s="227"/>
      <c r="J23" s="228"/>
    </row>
    <row r="24" spans="1:10" ht="24.95" customHeight="1">
      <c r="A24" s="209"/>
      <c r="B24" s="227"/>
      <c r="C24" s="230">
        <f t="shared" si="0"/>
        <v>45726.461805555555</v>
      </c>
      <c r="D24" s="634">
        <v>45</v>
      </c>
      <c r="E24" s="634"/>
      <c r="F24" s="231">
        <f>LongTest!F22</f>
        <v>28.752934598935731</v>
      </c>
      <c r="G24" s="231">
        <f>LongTest!G22</f>
        <v>17.40293459893573</v>
      </c>
      <c r="H24" s="227"/>
      <c r="I24" s="227"/>
      <c r="J24" s="228"/>
    </row>
    <row r="25" spans="1:10" ht="24.95" customHeight="1">
      <c r="A25" s="209"/>
      <c r="B25" s="227"/>
      <c r="C25" s="230">
        <f t="shared" si="0"/>
        <v>45726.465277777774</v>
      </c>
      <c r="D25" s="634">
        <v>50</v>
      </c>
      <c r="E25" s="634"/>
      <c r="F25" s="231">
        <f>LongTest!F23</f>
        <v>29.15645998621374</v>
      </c>
      <c r="G25" s="231">
        <f>LongTest!G23</f>
        <v>17.806459986213738</v>
      </c>
      <c r="H25" s="227"/>
      <c r="I25" s="227"/>
      <c r="J25" s="228"/>
    </row>
    <row r="26" spans="1:10" ht="24.95" customHeight="1">
      <c r="A26" s="209"/>
      <c r="B26" s="227"/>
      <c r="C26" s="230">
        <f t="shared" si="0"/>
        <v>45726.46875</v>
      </c>
      <c r="D26" s="634">
        <v>55</v>
      </c>
      <c r="E26" s="634"/>
      <c r="F26" s="231">
        <f>LongTest!F24</f>
        <v>29.521493101104525</v>
      </c>
      <c r="G26" s="231">
        <f>LongTest!G24</f>
        <v>18.171493101104524</v>
      </c>
      <c r="H26" s="227"/>
      <c r="I26" s="227"/>
      <c r="J26" s="228"/>
    </row>
    <row r="27" spans="1:10" ht="24.95" customHeight="1">
      <c r="A27" s="209"/>
      <c r="B27" s="227"/>
      <c r="C27" s="230">
        <f t="shared" si="0"/>
        <v>45726.472222222219</v>
      </c>
      <c r="D27" s="634">
        <v>60</v>
      </c>
      <c r="E27" s="634"/>
      <c r="F27" s="231">
        <f>LongTest!F25</f>
        <v>29.854742225580736</v>
      </c>
      <c r="G27" s="231">
        <f>LongTest!G25</f>
        <v>18.504742225580735</v>
      </c>
      <c r="H27" s="227">
        <f>'w1'!D16</f>
        <v>15.700000000000001</v>
      </c>
      <c r="I27" s="227">
        <f>'w1'!E16</f>
        <v>210</v>
      </c>
      <c r="J27" s="228">
        <f>'w1'!F16</f>
        <v>7.12</v>
      </c>
    </row>
    <row r="28" spans="1:10" ht="24.95" customHeight="1">
      <c r="A28" s="209"/>
      <c r="B28" s="227"/>
      <c r="C28" s="230">
        <f t="shared" si="0"/>
        <v>45726.482638888891</v>
      </c>
      <c r="D28" s="634">
        <v>75</v>
      </c>
      <c r="E28" s="634"/>
      <c r="F28" s="231">
        <f>LongTest!F26</f>
        <v>30.709370616496052</v>
      </c>
      <c r="G28" s="231">
        <f>LongTest!G26</f>
        <v>19.359370616496051</v>
      </c>
      <c r="H28" s="227"/>
      <c r="I28" s="227"/>
      <c r="J28" s="228"/>
    </row>
    <row r="29" spans="1:10" ht="24.95" customHeight="1">
      <c r="A29" s="209"/>
      <c r="B29" s="227"/>
      <c r="C29" s="230">
        <f t="shared" si="0"/>
        <v>45726.493055555555</v>
      </c>
      <c r="D29" s="634">
        <v>90</v>
      </c>
      <c r="E29" s="634"/>
      <c r="F29" s="231">
        <f>LongTest!F27</f>
        <v>31.407652855863049</v>
      </c>
      <c r="G29" s="231">
        <f>LongTest!G27</f>
        <v>20.057652855863047</v>
      </c>
      <c r="H29" s="227"/>
      <c r="I29" s="227"/>
      <c r="J29" s="228"/>
    </row>
    <row r="30" spans="1:10" ht="24.95" customHeight="1">
      <c r="A30" s="209"/>
      <c r="B30" s="227"/>
      <c r="C30" s="230">
        <f t="shared" si="0"/>
        <v>45726.503472222219</v>
      </c>
      <c r="D30" s="634">
        <v>105</v>
      </c>
      <c r="E30" s="634"/>
      <c r="F30" s="231">
        <f>LongTest!F28</f>
        <v>31.99804207698719</v>
      </c>
      <c r="G30" s="231">
        <f>LongTest!G28</f>
        <v>20.648042076987188</v>
      </c>
      <c r="H30" s="227"/>
      <c r="I30" s="227"/>
      <c r="J30" s="228"/>
    </row>
    <row r="31" spans="1:10" ht="24.95" customHeight="1">
      <c r="A31" s="209"/>
      <c r="B31" s="227"/>
      <c r="C31" s="230">
        <f t="shared" si="0"/>
        <v>45726.513888888891</v>
      </c>
      <c r="D31" s="634">
        <v>120</v>
      </c>
      <c r="E31" s="634"/>
      <c r="F31" s="231">
        <f>LongTest!F29</f>
        <v>32.509460482508054</v>
      </c>
      <c r="G31" s="231">
        <f>LongTest!G29</f>
        <v>21.159460482508052</v>
      </c>
      <c r="H31" s="227">
        <f>'w1'!D17</f>
        <v>15.5</v>
      </c>
      <c r="I31" s="227">
        <f>'w1'!E17</f>
        <v>210</v>
      </c>
      <c r="J31" s="228">
        <f>'w1'!F17</f>
        <v>7.3</v>
      </c>
    </row>
    <row r="32" spans="1:10" ht="24.95" customHeight="1">
      <c r="A32" s="209"/>
      <c r="B32" s="207"/>
      <c r="C32" s="230">
        <f t="shared" si="0"/>
        <v>45726.527777777774</v>
      </c>
      <c r="D32" s="634">
        <v>140</v>
      </c>
      <c r="E32" s="634"/>
      <c r="F32" s="231">
        <f>LongTest!F30</f>
        <v>33.099849703632195</v>
      </c>
      <c r="G32" s="231">
        <f>LongTest!G30</f>
        <v>21.749849703632194</v>
      </c>
      <c r="H32" s="227"/>
      <c r="I32" s="227"/>
      <c r="J32" s="228"/>
    </row>
    <row r="33" spans="1:10" ht="24.95" customHeight="1">
      <c r="A33" s="209"/>
      <c r="B33" s="227"/>
      <c r="C33" s="230">
        <f t="shared" si="0"/>
        <v>45726.541666666664</v>
      </c>
      <c r="D33" s="634">
        <v>160</v>
      </c>
      <c r="E33" s="634"/>
      <c r="F33" s="231">
        <f>LongTest!F31</f>
        <v>33.611268109153059</v>
      </c>
      <c r="G33" s="231">
        <f>LongTest!G31</f>
        <v>22.261268109153058</v>
      </c>
      <c r="H33" s="227"/>
      <c r="I33" s="227"/>
      <c r="J33" s="228"/>
    </row>
    <row r="34" spans="1:10" ht="24.95" customHeight="1">
      <c r="A34" s="209"/>
      <c r="B34" s="227"/>
      <c r="C34" s="230">
        <f t="shared" si="0"/>
        <v>45726.555555555555</v>
      </c>
      <c r="D34" s="634">
        <v>180</v>
      </c>
      <c r="E34" s="634"/>
      <c r="F34" s="231">
        <f>LongTest!F32</f>
        <v>34.062371112790366</v>
      </c>
      <c r="G34" s="231">
        <f>LongTest!G32</f>
        <v>22.712371112790365</v>
      </c>
      <c r="H34" s="227"/>
      <c r="I34" s="227"/>
      <c r="J34" s="228"/>
    </row>
    <row r="35" spans="1:10" ht="24.95" customHeight="1">
      <c r="A35" s="209"/>
      <c r="B35" s="227"/>
      <c r="C35" s="230">
        <f t="shared" si="0"/>
        <v>45726.597222222219</v>
      </c>
      <c r="D35" s="634">
        <v>240</v>
      </c>
      <c r="E35" s="634"/>
      <c r="F35" s="231">
        <f>LongTest!F33</f>
        <v>35.164178739435371</v>
      </c>
      <c r="G35" s="231">
        <f>LongTest!G33</f>
        <v>23.81417873943537</v>
      </c>
      <c r="H35" s="227">
        <f>'w1'!D18</f>
        <v>15.3</v>
      </c>
      <c r="I35" s="227">
        <f>'w1'!E18</f>
        <v>214</v>
      </c>
      <c r="J35" s="228">
        <f>'w1'!F18</f>
        <v>7.33</v>
      </c>
    </row>
    <row r="36" spans="1:10" ht="24.95" customHeight="1">
      <c r="A36" s="209"/>
      <c r="B36" s="227"/>
      <c r="C36" s="230">
        <f t="shared" si="0"/>
        <v>45726.638888888891</v>
      </c>
      <c r="D36" s="634">
        <v>300</v>
      </c>
      <c r="E36" s="634"/>
      <c r="F36" s="231">
        <f>LongTest!F34</f>
        <v>36.018807130350687</v>
      </c>
      <c r="G36" s="231">
        <f>LongTest!G34</f>
        <v>24.668807130350686</v>
      </c>
      <c r="H36" s="227"/>
      <c r="I36" s="227"/>
      <c r="J36" s="228"/>
    </row>
    <row r="37" spans="1:10" ht="24.95" customHeight="1">
      <c r="A37" s="210"/>
      <c r="B37" s="208"/>
      <c r="C37" s="230">
        <f t="shared" si="0"/>
        <v>45726.680555555555</v>
      </c>
      <c r="D37" s="634">
        <v>360</v>
      </c>
      <c r="E37" s="634"/>
      <c r="F37" s="231">
        <f>LongTest!F35</f>
        <v>36.717089369717691</v>
      </c>
      <c r="G37" s="231">
        <f>LongTest!G35</f>
        <v>25.367089369717689</v>
      </c>
      <c r="H37" s="227"/>
      <c r="I37" s="227"/>
      <c r="J37" s="228"/>
    </row>
    <row r="38" spans="1:10" ht="24.95" customHeight="1">
      <c r="A38" s="209"/>
      <c r="B38" s="227"/>
      <c r="C38" s="230">
        <f t="shared" si="0"/>
        <v>45726.722222222219</v>
      </c>
      <c r="D38" s="634">
        <v>420</v>
      </c>
      <c r="E38" s="634"/>
      <c r="F38" s="231">
        <f>LongTest!F36</f>
        <v>37.307478590841825</v>
      </c>
      <c r="G38" s="231">
        <f>LongTest!G36</f>
        <v>25.957478590841824</v>
      </c>
      <c r="H38" s="227"/>
      <c r="I38" s="227"/>
      <c r="J38" s="228"/>
    </row>
    <row r="39" spans="1:10" ht="24.95" customHeight="1">
      <c r="A39" s="209"/>
      <c r="B39" s="227"/>
      <c r="C39" s="230">
        <f t="shared" si="0"/>
        <v>45726.763888888891</v>
      </c>
      <c r="D39" s="634">
        <v>480</v>
      </c>
      <c r="E39" s="634"/>
      <c r="F39" s="231">
        <f>LongTest!F37</f>
        <v>37.818896996362696</v>
      </c>
      <c r="G39" s="231">
        <f>LongTest!G37</f>
        <v>26.468896996362695</v>
      </c>
      <c r="H39" s="227">
        <f>'w1'!D19</f>
        <v>15.1</v>
      </c>
      <c r="I39" s="227">
        <f>'w1'!E19</f>
        <v>215</v>
      </c>
      <c r="J39" s="228">
        <f>'w1'!F19</f>
        <v>7.1000000000000005</v>
      </c>
    </row>
    <row r="40" spans="1:10" ht="24.95" customHeight="1">
      <c r="A40" s="209"/>
      <c r="B40" s="227"/>
      <c r="C40" s="230">
        <f t="shared" si="0"/>
        <v>45726.805555555555</v>
      </c>
      <c r="D40" s="634">
        <v>540</v>
      </c>
      <c r="E40" s="634"/>
      <c r="F40" s="231">
        <f>LongTest!F38</f>
        <v>38.270000000000003</v>
      </c>
      <c r="G40" s="231">
        <f>LongTest!G38</f>
        <v>26.92</v>
      </c>
      <c r="H40" s="227"/>
      <c r="I40" s="227"/>
      <c r="J40" s="228"/>
    </row>
    <row r="41" spans="1:10" ht="24.95" customHeight="1">
      <c r="A41" s="209"/>
      <c r="B41" s="227"/>
      <c r="C41" s="230">
        <f t="shared" si="0"/>
        <v>45726.847222222219</v>
      </c>
      <c r="D41" s="634">
        <v>600</v>
      </c>
      <c r="E41" s="634"/>
      <c r="F41" s="231">
        <f>LongTest!F39</f>
        <v>38.270000000000003</v>
      </c>
      <c r="G41" s="231">
        <f>LongTest!G39</f>
        <v>26.92</v>
      </c>
      <c r="H41" s="227"/>
      <c r="I41" s="227"/>
      <c r="J41" s="228"/>
    </row>
    <row r="42" spans="1:10" ht="24.95" customHeight="1">
      <c r="A42" s="210"/>
      <c r="B42" s="208"/>
      <c r="C42" s="230">
        <f t="shared" si="0"/>
        <v>45726.888888888891</v>
      </c>
      <c r="D42" s="634">
        <v>660</v>
      </c>
      <c r="E42" s="634"/>
      <c r="F42" s="231">
        <f>LongTest!F40</f>
        <v>38.270000000000003</v>
      </c>
      <c r="G42" s="231">
        <f>LongTest!G40</f>
        <v>26.92</v>
      </c>
      <c r="H42" s="227"/>
      <c r="I42" s="227"/>
      <c r="J42" s="228"/>
    </row>
    <row r="43" spans="1:10" ht="24.95" customHeight="1">
      <c r="A43" s="209"/>
      <c r="B43" s="227"/>
      <c r="C43" s="230">
        <f t="shared" si="0"/>
        <v>45726.930555555555</v>
      </c>
      <c r="D43" s="634">
        <v>720</v>
      </c>
      <c r="E43" s="634"/>
      <c r="F43" s="231">
        <f>LongTest!F41</f>
        <v>38.270000000000003</v>
      </c>
      <c r="G43" s="231">
        <f>LongTest!G41</f>
        <v>26.92</v>
      </c>
      <c r="H43" s="227"/>
      <c r="I43" s="227"/>
      <c r="J43" s="228"/>
    </row>
    <row r="44" spans="1:10" ht="24.95" customHeight="1">
      <c r="A44" s="209"/>
      <c r="B44" s="227"/>
      <c r="C44" s="230">
        <f t="shared" si="0"/>
        <v>45726.972222222219</v>
      </c>
      <c r="D44" s="634">
        <v>780</v>
      </c>
      <c r="E44" s="634"/>
      <c r="F44" s="227">
        <f>LongTest!F42</f>
        <v>38.270000000000003</v>
      </c>
      <c r="G44" s="227">
        <f>LongTest!G42</f>
        <v>26.92</v>
      </c>
      <c r="H44" s="227"/>
      <c r="I44" s="227"/>
      <c r="J44" s="228"/>
    </row>
    <row r="45" spans="1:10" ht="24.95" customHeight="1">
      <c r="A45" s="209"/>
      <c r="B45" s="227"/>
      <c r="C45" s="230">
        <f t="shared" si="0"/>
        <v>45727.013888888891</v>
      </c>
      <c r="D45" s="634">
        <v>840</v>
      </c>
      <c r="E45" s="634"/>
      <c r="F45" s="227">
        <f>LongTest!F43</f>
        <v>38.270000000000003</v>
      </c>
      <c r="G45" s="227">
        <f>LongTest!G43</f>
        <v>26.92</v>
      </c>
      <c r="H45" s="227"/>
      <c r="I45" s="227"/>
      <c r="J45" s="228"/>
    </row>
    <row r="46" spans="1:10" ht="24.95" customHeight="1">
      <c r="A46" s="209"/>
      <c r="B46" s="227"/>
      <c r="C46" s="230">
        <f t="shared" si="0"/>
        <v>45727.055555555555</v>
      </c>
      <c r="D46" s="634">
        <v>900</v>
      </c>
      <c r="E46" s="634"/>
      <c r="F46" s="227">
        <f>LongTest!F44</f>
        <v>38.270000000000003</v>
      </c>
      <c r="G46" s="227">
        <f>LongTest!G44</f>
        <v>26.92</v>
      </c>
      <c r="H46" s="227"/>
      <c r="I46" s="227"/>
      <c r="J46" s="228"/>
    </row>
    <row r="47" spans="1:10" ht="24.95" customHeight="1">
      <c r="A47" s="210"/>
      <c r="B47" s="208"/>
      <c r="C47" s="230">
        <f t="shared" si="0"/>
        <v>45727.097222222219</v>
      </c>
      <c r="D47" s="634">
        <v>960</v>
      </c>
      <c r="E47" s="634"/>
      <c r="F47" s="227">
        <f>LongTest!F45</f>
        <v>38.270000000000003</v>
      </c>
      <c r="G47" s="227">
        <f>LongTest!G45</f>
        <v>26.92</v>
      </c>
      <c r="H47" s="227"/>
      <c r="I47" s="227"/>
      <c r="J47" s="228"/>
    </row>
    <row r="48" spans="1:10" ht="24.95" customHeight="1">
      <c r="A48" s="209"/>
      <c r="B48" s="227"/>
      <c r="C48" s="230">
        <f t="shared" si="0"/>
        <v>45727.138888888891</v>
      </c>
      <c r="D48" s="634">
        <v>1020</v>
      </c>
      <c r="E48" s="634"/>
      <c r="F48" s="227">
        <f>LongTest!F46</f>
        <v>38.270000000000003</v>
      </c>
      <c r="G48" s="227">
        <f>LongTest!G46</f>
        <v>26.92</v>
      </c>
      <c r="H48" s="227"/>
      <c r="I48" s="227"/>
      <c r="J48" s="228"/>
    </row>
    <row r="49" spans="1:10" ht="24.95" customHeight="1">
      <c r="A49" s="209"/>
      <c r="B49" s="227"/>
      <c r="C49" s="230">
        <f t="shared" si="0"/>
        <v>45727.180555555555</v>
      </c>
      <c r="D49" s="634">
        <v>1080</v>
      </c>
      <c r="E49" s="634"/>
      <c r="F49" s="227">
        <f>LongTest!F47</f>
        <v>38.270000000000003</v>
      </c>
      <c r="G49" s="227">
        <f>LongTest!G47</f>
        <v>26.92</v>
      </c>
      <c r="H49" s="227"/>
      <c r="I49" s="227"/>
      <c r="J49" s="228"/>
    </row>
    <row r="50" spans="1:10" ht="24.95" customHeight="1">
      <c r="A50" s="209"/>
      <c r="B50" s="227"/>
      <c r="C50" s="230">
        <f t="shared" si="0"/>
        <v>45727.222222222219</v>
      </c>
      <c r="D50" s="634">
        <v>1140</v>
      </c>
      <c r="E50" s="634"/>
      <c r="F50" s="227">
        <f>LongTest!F48</f>
        <v>38.270000000000003</v>
      </c>
      <c r="G50" s="227">
        <f>LongTest!G48</f>
        <v>26.92</v>
      </c>
      <c r="H50" s="227"/>
      <c r="I50" s="227"/>
      <c r="J50" s="228"/>
    </row>
    <row r="51" spans="1:10" ht="24.95" customHeight="1">
      <c r="A51" s="209"/>
      <c r="B51" s="227"/>
      <c r="C51" s="230">
        <f t="shared" si="0"/>
        <v>45727.263888888891</v>
      </c>
      <c r="D51" s="634">
        <v>1200</v>
      </c>
      <c r="E51" s="634"/>
      <c r="F51" s="227">
        <f>LongTest!F49</f>
        <v>38.270000000000003</v>
      </c>
      <c r="G51" s="227">
        <f>LongTest!G49</f>
        <v>26.92</v>
      </c>
      <c r="H51" s="227"/>
      <c r="I51" s="227"/>
      <c r="J51" s="228"/>
    </row>
    <row r="52" spans="1:10" ht="24.95" customHeight="1">
      <c r="A52" s="209"/>
      <c r="B52" s="227"/>
      <c r="C52" s="230">
        <f t="shared" si="0"/>
        <v>45727.305555555555</v>
      </c>
      <c r="D52" s="634">
        <v>1260</v>
      </c>
      <c r="E52" s="634"/>
      <c r="F52" s="227">
        <f>LongTest!F50</f>
        <v>38.270000000000003</v>
      </c>
      <c r="G52" s="227">
        <f>LongTest!G50</f>
        <v>26.92</v>
      </c>
      <c r="H52" s="227"/>
      <c r="I52" s="227"/>
      <c r="J52" s="228"/>
    </row>
    <row r="53" spans="1:10" ht="24.95" customHeight="1">
      <c r="A53" s="209"/>
      <c r="B53" s="227"/>
      <c r="C53" s="230">
        <f t="shared" si="0"/>
        <v>45727.347222222219</v>
      </c>
      <c r="D53" s="634">
        <v>1320</v>
      </c>
      <c r="E53" s="634"/>
      <c r="F53" s="227">
        <f>LongTest!F51</f>
        <v>38.270000000000003</v>
      </c>
      <c r="G53" s="227">
        <f>LongTest!G51</f>
        <v>26.92</v>
      </c>
      <c r="H53" s="227"/>
      <c r="I53" s="227"/>
      <c r="J53" s="228"/>
    </row>
    <row r="54" spans="1:10" ht="24.95" customHeight="1">
      <c r="A54" s="209"/>
      <c r="B54" s="227"/>
      <c r="C54" s="230">
        <f t="shared" si="0"/>
        <v>45727.388888888891</v>
      </c>
      <c r="D54" s="634">
        <v>1380</v>
      </c>
      <c r="E54" s="634"/>
      <c r="F54" s="227">
        <f>LongTest!F52</f>
        <v>38.270000000000003</v>
      </c>
      <c r="G54" s="227">
        <f>LongTest!G52</f>
        <v>26.92</v>
      </c>
      <c r="H54" s="227"/>
      <c r="I54" s="227"/>
      <c r="J54" s="228"/>
    </row>
    <row r="55" spans="1:10" ht="24.95" customHeight="1">
      <c r="A55" s="209"/>
      <c r="B55" s="227"/>
      <c r="C55" s="230">
        <f t="shared" si="0"/>
        <v>45727.430555555555</v>
      </c>
      <c r="D55" s="634">
        <v>1440</v>
      </c>
      <c r="E55" s="634"/>
      <c r="F55" s="227">
        <f>LongTest!F53</f>
        <v>38.270000000000003</v>
      </c>
      <c r="G55" s="227">
        <f>LongTest!G53</f>
        <v>26.92</v>
      </c>
      <c r="H55" s="227">
        <f>'w1'!D20</f>
        <v>15.6</v>
      </c>
      <c r="I55" s="227">
        <f>'w1'!E20</f>
        <v>211</v>
      </c>
      <c r="J55" s="228">
        <f>'w1'!F20</f>
        <v>7.12</v>
      </c>
    </row>
    <row r="56" spans="1:10" ht="24.95" customHeight="1">
      <c r="A56" s="234"/>
      <c r="B56" s="230"/>
      <c r="C56" s="230"/>
      <c r="D56" s="665"/>
      <c r="E56" s="666"/>
      <c r="F56" s="227"/>
      <c r="G56" s="227"/>
      <c r="H56" s="227"/>
      <c r="I56" s="227"/>
      <c r="J56" s="228"/>
    </row>
    <row r="57" spans="1:10" ht="24.95" customHeight="1" thickBot="1">
      <c r="A57" s="662" t="s">
        <v>321</v>
      </c>
      <c r="B57" s="663"/>
      <c r="C57" s="663"/>
      <c r="D57" s="663"/>
      <c r="E57" s="663"/>
      <c r="F57" s="663"/>
      <c r="G57" s="663"/>
      <c r="H57" s="663"/>
      <c r="I57" s="663"/>
      <c r="J57" s="66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" zoomScaleNormal="130" zoomScaleSheetLayoutView="100" workbookViewId="0">
      <selection activeCell="A6" sqref="A6:B6"/>
    </sheetView>
  </sheetViews>
  <sheetFormatPr defaultRowHeight="16.5"/>
  <cols>
    <col min="1" max="1" width="9" style="235"/>
    <col min="2" max="2" width="9.5" style="235" bestFit="1" customWidth="1"/>
    <col min="3" max="3" width="11.375" style="235" customWidth="1"/>
    <col min="4" max="4" width="6.75" style="235" customWidth="1"/>
    <col min="5" max="5" width="7.25" style="235" customWidth="1"/>
    <col min="6" max="6" width="14" style="235" bestFit="1" customWidth="1"/>
    <col min="7" max="7" width="12.125" style="235" customWidth="1"/>
    <col min="8" max="16384" width="9" style="235"/>
  </cols>
  <sheetData>
    <row r="1" spans="1:10" ht="45" customHeight="1" thickBot="1">
      <c r="A1" s="639" t="s">
        <v>327</v>
      </c>
      <c r="B1" s="640"/>
      <c r="C1" s="640"/>
      <c r="D1" s="640"/>
      <c r="E1" s="640"/>
      <c r="F1" s="640"/>
      <c r="G1" s="640"/>
      <c r="H1" s="640"/>
      <c r="I1" s="640"/>
      <c r="J1" s="641"/>
    </row>
    <row r="2" spans="1:10" ht="24.95" customHeight="1">
      <c r="A2" s="615" t="s">
        <v>292</v>
      </c>
      <c r="B2" s="616"/>
      <c r="C2" s="617" t="str">
        <f>LongTest!C2</f>
        <v>예산군 마전 등 5지구 농업용관정 지하수영향조사 용역</v>
      </c>
      <c r="D2" s="618"/>
      <c r="E2" s="618"/>
      <c r="F2" s="618"/>
      <c r="G2" s="618"/>
      <c r="H2" s="618"/>
      <c r="I2" s="618"/>
      <c r="J2" s="619"/>
    </row>
    <row r="3" spans="1:10" ht="24.95" customHeight="1">
      <c r="A3" s="620" t="s">
        <v>293</v>
      </c>
      <c r="B3" s="621"/>
      <c r="C3" s="625" t="str">
        <f>LongTest!C4</f>
        <v>충청남도 예산군 대술면 마전리 820번지</v>
      </c>
      <c r="D3" s="626"/>
      <c r="E3" s="626"/>
      <c r="F3" s="626"/>
      <c r="G3" s="626"/>
      <c r="H3" s="627"/>
      <c r="I3" s="211" t="str">
        <f>Input!I54</f>
        <v>W-1</v>
      </c>
      <c r="J3" s="212" t="s">
        <v>319</v>
      </c>
    </row>
    <row r="4" spans="1:10" ht="24.95" customHeight="1">
      <c r="A4" s="620" t="s">
        <v>354</v>
      </c>
      <c r="B4" s="621"/>
      <c r="C4" s="622">
        <f>장기14!C55</f>
        <v>45727.430555555555</v>
      </c>
      <c r="D4" s="623"/>
      <c r="E4" s="623"/>
      <c r="F4" s="623"/>
      <c r="G4" s="623"/>
      <c r="H4" s="623"/>
      <c r="I4" s="623"/>
      <c r="J4" s="624"/>
    </row>
    <row r="5" spans="1:10" ht="24.95" customHeight="1">
      <c r="A5" s="620" t="s">
        <v>353</v>
      </c>
      <c r="B5" s="621"/>
      <c r="C5" s="622">
        <f>C31</f>
        <v>45727.513888888891</v>
      </c>
      <c r="D5" s="623"/>
      <c r="E5" s="623"/>
      <c r="F5" s="623"/>
      <c r="G5" s="623"/>
      <c r="H5" s="623"/>
      <c r="I5" s="623"/>
      <c r="J5" s="624"/>
    </row>
    <row r="6" spans="1:10" ht="24.95" customHeight="1">
      <c r="A6" s="620" t="s">
        <v>291</v>
      </c>
      <c r="B6" s="621"/>
      <c r="C6" s="629" t="str">
        <f>LongTest!C5</f>
        <v>다다건설(주)</v>
      </c>
      <c r="D6" s="630"/>
      <c r="E6" s="630"/>
      <c r="F6" s="630"/>
      <c r="G6" s="630"/>
      <c r="H6" s="630"/>
      <c r="I6" s="630"/>
      <c r="J6" s="631"/>
    </row>
    <row r="7" spans="1:10" ht="24.95" customHeight="1">
      <c r="A7" s="620" t="s">
        <v>296</v>
      </c>
      <c r="B7" s="621"/>
      <c r="C7" s="628" t="s">
        <v>323</v>
      </c>
      <c r="D7" s="621"/>
      <c r="E7" s="213">
        <f>LongTest!C6</f>
        <v>7.5</v>
      </c>
      <c r="F7" s="213" t="s">
        <v>297</v>
      </c>
      <c r="G7" s="213" t="s">
        <v>325</v>
      </c>
      <c r="H7" s="628">
        <f>Input!I50</f>
        <v>48</v>
      </c>
      <c r="I7" s="621"/>
      <c r="J7" s="214" t="s">
        <v>298</v>
      </c>
    </row>
    <row r="8" spans="1:10" ht="24.95" customHeight="1">
      <c r="A8" s="620" t="s">
        <v>299</v>
      </c>
      <c r="B8" s="621"/>
      <c r="C8" s="628" t="s">
        <v>324</v>
      </c>
      <c r="D8" s="621"/>
      <c r="E8" s="213">
        <f>LongTest!D7</f>
        <v>250</v>
      </c>
      <c r="F8" s="213" t="s">
        <v>300</v>
      </c>
      <c r="G8" s="213" t="s">
        <v>301</v>
      </c>
      <c r="H8" s="628">
        <f>LongTest!G7</f>
        <v>158</v>
      </c>
      <c r="I8" s="621"/>
      <c r="J8" s="214" t="s">
        <v>298</v>
      </c>
    </row>
    <row r="9" spans="1:10" ht="24.95" customHeight="1">
      <c r="A9" s="620" t="s">
        <v>302</v>
      </c>
      <c r="B9" s="621"/>
      <c r="C9" s="628" t="s">
        <v>322</v>
      </c>
      <c r="D9" s="621"/>
      <c r="E9" s="213">
        <f>LongTest!D8</f>
        <v>11.35</v>
      </c>
      <c r="F9" s="213" t="s">
        <v>298</v>
      </c>
      <c r="G9" s="213" t="s">
        <v>303</v>
      </c>
      <c r="H9" s="628">
        <f>LongTest!G8</f>
        <v>38.270000000000003</v>
      </c>
      <c r="I9" s="621"/>
      <c r="J9" s="214" t="s">
        <v>298</v>
      </c>
    </row>
    <row r="10" spans="1:10" ht="24.95" customHeight="1">
      <c r="A10" s="633" t="s">
        <v>304</v>
      </c>
      <c r="B10" s="227" t="s">
        <v>305</v>
      </c>
      <c r="C10" s="634" t="s">
        <v>190</v>
      </c>
      <c r="D10" s="634" t="s">
        <v>307</v>
      </c>
      <c r="E10" s="634"/>
      <c r="F10" s="227" t="s">
        <v>308</v>
      </c>
      <c r="G10" s="227" t="s">
        <v>310</v>
      </c>
      <c r="H10" s="227" t="s">
        <v>311</v>
      </c>
      <c r="I10" s="227" t="s">
        <v>312</v>
      </c>
      <c r="J10" s="228" t="s">
        <v>315</v>
      </c>
    </row>
    <row r="11" spans="1:10" ht="24.95" customHeight="1">
      <c r="A11" s="633"/>
      <c r="B11" s="227" t="s">
        <v>328</v>
      </c>
      <c r="C11" s="634"/>
      <c r="D11" s="634" t="s">
        <v>329</v>
      </c>
      <c r="E11" s="634"/>
      <c r="F11" s="227" t="s">
        <v>309</v>
      </c>
      <c r="G11" s="227" t="s">
        <v>309</v>
      </c>
      <c r="H11" s="227" t="s">
        <v>330</v>
      </c>
      <c r="I11" s="253" t="s">
        <v>331</v>
      </c>
      <c r="J11" s="229"/>
    </row>
    <row r="12" spans="1:10" ht="24.95" customHeight="1">
      <c r="A12" s="240"/>
      <c r="B12" s="213">
        <v>0</v>
      </c>
      <c r="C12" s="217">
        <f t="shared" ref="C12:C31" si="0">$C$4+D12/1440</f>
        <v>45727.431250000001</v>
      </c>
      <c r="D12" s="608">
        <v>1</v>
      </c>
      <c r="E12" s="635"/>
      <c r="F12" s="218">
        <f>LongTest!F78</f>
        <v>28.327140693723948</v>
      </c>
      <c r="G12" s="218">
        <f>LongTest!G78</f>
        <v>16.977140693723946</v>
      </c>
      <c r="H12" s="250"/>
      <c r="I12" s="251"/>
      <c r="J12" s="252"/>
    </row>
    <row r="13" spans="1:10" ht="24.95" customHeight="1">
      <c r="A13" s="240"/>
      <c r="B13" s="217"/>
      <c r="C13" s="217">
        <f t="shared" si="0"/>
        <v>45727.431944444441</v>
      </c>
      <c r="D13" s="608">
        <v>2</v>
      </c>
      <c r="E13" s="635"/>
      <c r="F13" s="218">
        <f>LongTest!F79</f>
        <v>26.73021109021095</v>
      </c>
      <c r="G13" s="218">
        <f>LongTest!G79</f>
        <v>15.380211090210949</v>
      </c>
      <c r="H13" s="608"/>
      <c r="I13" s="609"/>
      <c r="J13" s="610"/>
    </row>
    <row r="14" spans="1:10" ht="24.95" customHeight="1">
      <c r="A14" s="240"/>
      <c r="B14" s="217"/>
      <c r="C14" s="217">
        <f t="shared" si="0"/>
        <v>45727.432638888888</v>
      </c>
      <c r="D14" s="608">
        <v>3</v>
      </c>
      <c r="E14" s="635"/>
      <c r="F14" s="218">
        <f>LongTest!F80</f>
        <v>25.283494305486641</v>
      </c>
      <c r="G14" s="218">
        <f>LongTest!G80</f>
        <v>13.93349430548664</v>
      </c>
      <c r="H14" s="608"/>
      <c r="I14" s="609"/>
      <c r="J14" s="610"/>
    </row>
    <row r="15" spans="1:10" ht="24.95" customHeight="1">
      <c r="A15" s="240"/>
      <c r="B15" s="217"/>
      <c r="C15" s="217">
        <f t="shared" si="0"/>
        <v>45727.433333333334</v>
      </c>
      <c r="D15" s="608">
        <v>4</v>
      </c>
      <c r="E15" s="635"/>
      <c r="F15" s="218">
        <f>LongTest!F81</f>
        <v>23.972860793152201</v>
      </c>
      <c r="G15" s="218">
        <f>LongTest!G81</f>
        <v>12.622860793152199</v>
      </c>
      <c r="H15" s="608"/>
      <c r="I15" s="609"/>
      <c r="J15" s="610"/>
    </row>
    <row r="16" spans="1:10" ht="24.95" customHeight="1">
      <c r="A16" s="240"/>
      <c r="B16" s="217"/>
      <c r="C16" s="217">
        <f t="shared" si="0"/>
        <v>45727.434027777774</v>
      </c>
      <c r="D16" s="608">
        <v>5</v>
      </c>
      <c r="E16" s="635"/>
      <c r="F16" s="218">
        <f>LongTest!F82</f>
        <v>22.785510081671077</v>
      </c>
      <c r="G16" s="218">
        <f>LongTest!G82</f>
        <v>11.435510081671076</v>
      </c>
      <c r="H16" s="608"/>
      <c r="I16" s="609"/>
      <c r="J16" s="610"/>
    </row>
    <row r="17" spans="1:10" ht="24.95" customHeight="1">
      <c r="A17" s="240"/>
      <c r="B17" s="217"/>
      <c r="C17" s="217">
        <f t="shared" si="0"/>
        <v>45727.4375</v>
      </c>
      <c r="D17" s="608">
        <v>10</v>
      </c>
      <c r="E17" s="635"/>
      <c r="F17" s="218">
        <f>LongTest!F83</f>
        <v>19.852542004201268</v>
      </c>
      <c r="G17" s="218">
        <f>LongTest!G83</f>
        <v>8.5025420042012705</v>
      </c>
      <c r="H17" s="608"/>
      <c r="I17" s="609"/>
      <c r="J17" s="610"/>
    </row>
    <row r="18" spans="1:10" ht="24.95" customHeight="1">
      <c r="A18" s="240"/>
      <c r="B18" s="217"/>
      <c r="C18" s="217">
        <f t="shared" si="0"/>
        <v>45727.440972222219</v>
      </c>
      <c r="D18" s="608">
        <v>15</v>
      </c>
      <c r="E18" s="635"/>
      <c r="F18" s="218">
        <f>LongTest!F84</f>
        <v>19.310627178404037</v>
      </c>
      <c r="G18" s="218">
        <f>LongTest!G84</f>
        <v>7.960627178404037</v>
      </c>
      <c r="H18" s="608"/>
      <c r="I18" s="609"/>
      <c r="J18" s="610"/>
    </row>
    <row r="19" spans="1:10" ht="24.95" customHeight="1">
      <c r="A19" s="240"/>
      <c r="B19" s="217"/>
      <c r="C19" s="217">
        <f t="shared" si="0"/>
        <v>45727.444444444445</v>
      </c>
      <c r="D19" s="608">
        <v>20</v>
      </c>
      <c r="E19" s="635"/>
      <c r="F19" s="218">
        <f>LongTest!F85</f>
        <v>17.883453156773275</v>
      </c>
      <c r="G19" s="218">
        <f>LongTest!G85</f>
        <v>6.5334531567732759</v>
      </c>
      <c r="H19" s="608"/>
      <c r="I19" s="609"/>
      <c r="J19" s="610"/>
    </row>
    <row r="20" spans="1:10" ht="24.95" customHeight="1">
      <c r="A20" s="240"/>
      <c r="B20" s="217"/>
      <c r="C20" s="217">
        <f t="shared" si="0"/>
        <v>45727.447916666664</v>
      </c>
      <c r="D20" s="608">
        <v>25</v>
      </c>
      <c r="E20" s="635"/>
      <c r="F20" s="218">
        <f>LongTest!F86</f>
        <v>17.268893558814966</v>
      </c>
      <c r="G20" s="218">
        <f>LongTest!G86</f>
        <v>5.9188935588149674</v>
      </c>
      <c r="H20" s="608"/>
      <c r="I20" s="609"/>
      <c r="J20" s="610"/>
    </row>
    <row r="21" spans="1:10" ht="24.95" customHeight="1">
      <c r="A21" s="240"/>
      <c r="B21" s="217"/>
      <c r="C21" s="217">
        <f t="shared" si="0"/>
        <v>45727.451388888891</v>
      </c>
      <c r="D21" s="608">
        <v>30</v>
      </c>
      <c r="E21" s="635"/>
      <c r="F21" s="218">
        <f>LongTest!F87</f>
        <v>16.71214159954021</v>
      </c>
      <c r="G21" s="218">
        <f>LongTest!G87</f>
        <v>5.3621415995402115</v>
      </c>
      <c r="H21" s="608"/>
      <c r="I21" s="609"/>
      <c r="J21" s="610"/>
    </row>
    <row r="22" spans="1:10" ht="24.95" customHeight="1">
      <c r="A22" s="240"/>
      <c r="B22" s="217"/>
      <c r="C22" s="217">
        <f t="shared" si="0"/>
        <v>45727.454861111109</v>
      </c>
      <c r="D22" s="608">
        <v>35</v>
      </c>
      <c r="E22" s="635"/>
      <c r="F22" s="218">
        <f>LongTest!F88</f>
        <v>16.53844870842914</v>
      </c>
      <c r="G22" s="218">
        <f>LongTest!G88</f>
        <v>5.1884487084291395</v>
      </c>
      <c r="H22" s="608"/>
      <c r="I22" s="609"/>
      <c r="J22" s="610"/>
    </row>
    <row r="23" spans="1:10" ht="24.95" customHeight="1">
      <c r="A23" s="240"/>
      <c r="B23" s="217"/>
      <c r="C23" s="217">
        <f t="shared" si="0"/>
        <v>45727.458333333336</v>
      </c>
      <c r="D23" s="608">
        <v>40</v>
      </c>
      <c r="E23" s="635"/>
      <c r="F23" s="218">
        <f>LongTest!F89</f>
        <v>16.370382155202378</v>
      </c>
      <c r="G23" s="218">
        <f>LongTest!G89</f>
        <v>5.0203821552023769</v>
      </c>
      <c r="H23" s="608"/>
      <c r="I23" s="609"/>
      <c r="J23" s="610"/>
    </row>
    <row r="24" spans="1:10" ht="24.95" customHeight="1">
      <c r="A24" s="240"/>
      <c r="B24" s="217"/>
      <c r="C24" s="217">
        <f t="shared" si="0"/>
        <v>45727.461805555555</v>
      </c>
      <c r="D24" s="608">
        <v>45</v>
      </c>
      <c r="E24" s="635"/>
      <c r="F24" s="218">
        <f>LongTest!F90</f>
        <v>16.207759689004487</v>
      </c>
      <c r="G24" s="218">
        <f>LongTest!G90</f>
        <v>4.8577596890044861</v>
      </c>
      <c r="H24" s="608"/>
      <c r="I24" s="609"/>
      <c r="J24" s="610"/>
    </row>
    <row r="25" spans="1:10" ht="24.95" customHeight="1">
      <c r="A25" s="240"/>
      <c r="B25" s="217"/>
      <c r="C25" s="217">
        <f t="shared" si="0"/>
        <v>45727.465277777774</v>
      </c>
      <c r="D25" s="608">
        <v>50</v>
      </c>
      <c r="E25" s="635"/>
      <c r="F25" s="218">
        <f>LongTest!F91</f>
        <v>16.050404962531324</v>
      </c>
      <c r="G25" s="218">
        <f>LongTest!G91</f>
        <v>4.7004049625313247</v>
      </c>
      <c r="H25" s="608"/>
      <c r="I25" s="609"/>
      <c r="J25" s="610"/>
    </row>
    <row r="26" spans="1:10" ht="24.95" customHeight="1">
      <c r="A26" s="240"/>
      <c r="B26" s="217"/>
      <c r="C26" s="217">
        <f t="shared" si="0"/>
        <v>45727.46875</v>
      </c>
      <c r="D26" s="608">
        <v>55</v>
      </c>
      <c r="E26" s="635"/>
      <c r="F26" s="218">
        <f>LongTest!F92</f>
        <v>15.898147340799571</v>
      </c>
      <c r="G26" s="218">
        <f>LongTest!G92</f>
        <v>4.5481473407995727</v>
      </c>
      <c r="H26" s="608"/>
      <c r="I26" s="609"/>
      <c r="J26" s="610"/>
    </row>
    <row r="27" spans="1:10" ht="24.95" customHeight="1">
      <c r="A27" s="240"/>
      <c r="B27" s="217"/>
      <c r="C27" s="217">
        <f t="shared" si="0"/>
        <v>45727.472222222219</v>
      </c>
      <c r="D27" s="608">
        <v>60</v>
      </c>
      <c r="E27" s="635"/>
      <c r="F27" s="218">
        <f>LongTest!F93</f>
        <v>15.75082171611067</v>
      </c>
      <c r="G27" s="218">
        <f>LongTest!G93</f>
        <v>4.40082171611067</v>
      </c>
      <c r="H27" s="608"/>
      <c r="I27" s="609"/>
      <c r="J27" s="610"/>
    </row>
    <row r="28" spans="1:10" ht="24.95" customHeight="1">
      <c r="A28" s="240"/>
      <c r="B28" s="217"/>
      <c r="C28" s="217">
        <f t="shared" si="0"/>
        <v>45727.482638888891</v>
      </c>
      <c r="D28" s="608">
        <v>75</v>
      </c>
      <c r="E28" s="635"/>
      <c r="F28" s="218">
        <f>LongTest!F94</f>
        <v>15.608268329008549</v>
      </c>
      <c r="G28" s="218">
        <f>LongTest!G94</f>
        <v>4.2582683290085486</v>
      </c>
      <c r="H28" s="608"/>
      <c r="I28" s="609"/>
      <c r="J28" s="610"/>
    </row>
    <row r="29" spans="1:10" ht="24.95" customHeight="1">
      <c r="A29" s="240"/>
      <c r="B29" s="217"/>
      <c r="C29" s="217">
        <f t="shared" si="0"/>
        <v>45727.493055555555</v>
      </c>
      <c r="D29" s="608">
        <v>90</v>
      </c>
      <c r="E29" s="635"/>
      <c r="F29" s="218">
        <f>LongTest!F95</f>
        <v>15.470332595036952</v>
      </c>
      <c r="G29" s="218">
        <f>LongTest!G95</f>
        <v>4.1203325950369525</v>
      </c>
      <c r="H29" s="608"/>
      <c r="I29" s="609"/>
      <c r="J29" s="610"/>
    </row>
    <row r="30" spans="1:10" ht="24.95" customHeight="1">
      <c r="A30" s="240"/>
      <c r="B30" s="217"/>
      <c r="C30" s="217">
        <f t="shared" si="0"/>
        <v>45727.503472222219</v>
      </c>
      <c r="D30" s="608">
        <v>105</v>
      </c>
      <c r="E30" s="635"/>
      <c r="F30" s="218">
        <f>LongTest!F96</f>
        <v>15.336864937108539</v>
      </c>
      <c r="G30" s="218">
        <f>LongTest!G96</f>
        <v>3.9868649371085385</v>
      </c>
      <c r="H30" s="608"/>
      <c r="I30" s="609"/>
      <c r="J30" s="610"/>
    </row>
    <row r="31" spans="1:10" ht="24.95" customHeight="1">
      <c r="A31" s="240"/>
      <c r="B31" s="217"/>
      <c r="C31" s="217">
        <f t="shared" si="0"/>
        <v>45727.513888888891</v>
      </c>
      <c r="D31" s="608">
        <v>120</v>
      </c>
      <c r="E31" s="635"/>
      <c r="F31" s="218">
        <f>LongTest!F97</f>
        <v>14.961846389631328</v>
      </c>
      <c r="G31" s="218">
        <f>LongTest!G97</f>
        <v>3.6118463896313284</v>
      </c>
      <c r="H31" s="608" t="s">
        <v>326</v>
      </c>
      <c r="I31" s="609"/>
      <c r="J31" s="610"/>
    </row>
    <row r="32" spans="1:10" ht="24.95" customHeight="1">
      <c r="A32" s="240"/>
      <c r="B32" s="217"/>
      <c r="C32" s="217"/>
      <c r="D32" s="608"/>
      <c r="E32" s="635"/>
      <c r="F32" s="218"/>
      <c r="G32" s="218"/>
      <c r="H32" s="608"/>
      <c r="I32" s="609"/>
      <c r="J32" s="610"/>
    </row>
    <row r="33" spans="1:10" ht="24.95" customHeight="1">
      <c r="A33" s="240"/>
      <c r="B33" s="217"/>
      <c r="C33" s="217"/>
      <c r="D33" s="608"/>
      <c r="E33" s="635"/>
      <c r="F33" s="218"/>
      <c r="G33" s="218"/>
      <c r="H33" s="608"/>
      <c r="I33" s="609"/>
      <c r="J33" s="610"/>
    </row>
    <row r="34" spans="1:10" ht="24.95" customHeight="1">
      <c r="A34" s="240"/>
      <c r="B34" s="217"/>
      <c r="C34" s="217"/>
      <c r="D34" s="608"/>
      <c r="E34" s="635"/>
      <c r="F34" s="218"/>
      <c r="G34" s="218"/>
      <c r="H34" s="608"/>
      <c r="I34" s="609"/>
      <c r="J34" s="610"/>
    </row>
    <row r="35" spans="1:10" ht="24.95" customHeight="1" thickBot="1">
      <c r="A35" s="244"/>
      <c r="B35" s="245"/>
      <c r="C35" s="245"/>
      <c r="D35" s="611"/>
      <c r="E35" s="636"/>
      <c r="F35" s="246"/>
      <c r="G35" s="246"/>
      <c r="H35" s="611"/>
      <c r="I35" s="612"/>
      <c r="J35" s="61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G27" sqref="G27"/>
    </sheetView>
  </sheetViews>
  <sheetFormatPr defaultColWidth="10" defaultRowHeight="16.5"/>
  <cols>
    <col min="1" max="1" width="10" style="206"/>
    <col min="2" max="2" width="18.75" style="206" customWidth="1"/>
    <col min="3" max="4" width="16.375" style="206" customWidth="1"/>
    <col min="5" max="5" width="13.375" style="205" customWidth="1"/>
    <col min="6" max="6" width="13.875" style="205" customWidth="1"/>
    <col min="7" max="7" width="10" style="206"/>
    <col min="8" max="8" width="11.625" style="206" customWidth="1"/>
    <col min="9" max="9" width="10.625" style="206" customWidth="1"/>
    <col min="10" max="10" width="11.375" style="206" customWidth="1"/>
    <col min="11" max="11" width="10" style="206"/>
    <col min="12" max="12" width="11.25" style="206" customWidth="1"/>
    <col min="13" max="15" width="10" style="206"/>
    <col min="16" max="16" width="11.25" style="206" customWidth="1"/>
    <col min="17" max="16384" width="10" style="206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89" t="s">
        <v>207</v>
      </c>
      <c r="C12" s="690"/>
      <c r="D12" s="689" t="str">
        <f>C4</f>
        <v>W-1</v>
      </c>
      <c r="E12" s="691"/>
      <c r="F12" s="690"/>
      <c r="H12" s="689" t="str">
        <f>C4</f>
        <v>W-1</v>
      </c>
      <c r="I12" s="691"/>
      <c r="J12" s="690"/>
      <c r="L12"/>
      <c r="M12"/>
      <c r="N12"/>
      <c r="O12"/>
      <c r="P12"/>
      <c r="Q12"/>
    </row>
    <row r="13" spans="2:17" s="4" customFormat="1" ht="26.1" customHeight="1">
      <c r="B13" s="188" t="s">
        <v>203</v>
      </c>
      <c r="C13" s="189" t="s">
        <v>208</v>
      </c>
      <c r="D13" s="190" t="s">
        <v>209</v>
      </c>
      <c r="E13" s="191" t="s">
        <v>210</v>
      </c>
      <c r="F13" s="189" t="s">
        <v>211</v>
      </c>
      <c r="H13" s="188" t="s">
        <v>209</v>
      </c>
      <c r="I13" s="191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2">
        <f>$C$6+C14/1440</f>
        <v>45726.434027777774</v>
      </c>
      <c r="C14" s="193">
        <v>5</v>
      </c>
      <c r="D14" s="194">
        <f t="shared" ref="D14:D20" si="0">baseTemp+H14</f>
        <v>15.3</v>
      </c>
      <c r="E14" s="195">
        <f>$C$8+I14</f>
        <v>216</v>
      </c>
      <c r="F14" s="196">
        <f>$C$9+J14</f>
        <v>7.3</v>
      </c>
      <c r="H14" s="188">
        <v>-0.1</v>
      </c>
      <c r="I14" s="191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7">
        <f t="shared" ref="B15:B23" si="1">$C$6+C15/1440</f>
        <v>45726.451388888891</v>
      </c>
      <c r="C15" s="189">
        <v>30</v>
      </c>
      <c r="D15" s="198">
        <f t="shared" si="0"/>
        <v>15.1</v>
      </c>
      <c r="E15" s="199">
        <f t="shared" ref="E15:E20" si="2">$C$8+I15</f>
        <v>216</v>
      </c>
      <c r="F15" s="200">
        <f t="shared" ref="F15:F20" si="3">$C$9+J15</f>
        <v>7.13</v>
      </c>
      <c r="H15" s="188">
        <v>-0.3</v>
      </c>
      <c r="I15" s="191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7">
        <f t="shared" si="1"/>
        <v>45726.472222222219</v>
      </c>
      <c r="C16" s="189">
        <v>60</v>
      </c>
      <c r="D16" s="198">
        <f t="shared" si="0"/>
        <v>15.700000000000001</v>
      </c>
      <c r="E16" s="199">
        <f t="shared" si="2"/>
        <v>210</v>
      </c>
      <c r="F16" s="200">
        <f t="shared" si="3"/>
        <v>7.12</v>
      </c>
      <c r="H16" s="188">
        <v>0.3</v>
      </c>
      <c r="I16" s="191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7">
        <f t="shared" si="1"/>
        <v>45726.513888888891</v>
      </c>
      <c r="C17" s="189">
        <v>120</v>
      </c>
      <c r="D17" s="198">
        <f t="shared" si="0"/>
        <v>15.5</v>
      </c>
      <c r="E17" s="199">
        <f t="shared" si="2"/>
        <v>210</v>
      </c>
      <c r="F17" s="200">
        <f t="shared" si="3"/>
        <v>7.3</v>
      </c>
      <c r="H17" s="188">
        <v>0.1</v>
      </c>
      <c r="I17" s="191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7">
        <f t="shared" si="1"/>
        <v>45726.597222222219</v>
      </c>
      <c r="C18" s="189">
        <v>240</v>
      </c>
      <c r="D18" s="198">
        <f t="shared" si="0"/>
        <v>15.3</v>
      </c>
      <c r="E18" s="199">
        <f t="shared" si="2"/>
        <v>214</v>
      </c>
      <c r="F18" s="200">
        <f t="shared" si="3"/>
        <v>7.33</v>
      </c>
      <c r="H18" s="188">
        <v>-0.1</v>
      </c>
      <c r="I18" s="191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7">
        <f t="shared" si="1"/>
        <v>45726.763888888891</v>
      </c>
      <c r="C19" s="189">
        <v>480</v>
      </c>
      <c r="D19" s="198">
        <f t="shared" si="0"/>
        <v>15.1</v>
      </c>
      <c r="E19" s="199">
        <f t="shared" si="2"/>
        <v>215</v>
      </c>
      <c r="F19" s="200">
        <f t="shared" si="3"/>
        <v>7.1000000000000005</v>
      </c>
      <c r="H19" s="188">
        <v>-0.3</v>
      </c>
      <c r="I19" s="191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7">
        <f t="shared" si="1"/>
        <v>45727.430555555555</v>
      </c>
      <c r="C20" s="189">
        <v>1440</v>
      </c>
      <c r="D20" s="198">
        <f t="shared" si="0"/>
        <v>15.6</v>
      </c>
      <c r="E20" s="199">
        <f t="shared" si="2"/>
        <v>211</v>
      </c>
      <c r="F20" s="200">
        <f t="shared" si="3"/>
        <v>7.12</v>
      </c>
      <c r="H20" s="188">
        <v>0.2</v>
      </c>
      <c r="I20" s="191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7">
        <f t="shared" si="1"/>
        <v>45727.597222222219</v>
      </c>
      <c r="C21" s="189">
        <v>1680</v>
      </c>
      <c r="D21" s="198">
        <f>$D$20</f>
        <v>15.6</v>
      </c>
      <c r="E21" s="199">
        <f>$E$20</f>
        <v>211</v>
      </c>
      <c r="F21" s="200">
        <f>$F$20</f>
        <v>7.12</v>
      </c>
      <c r="H21" s="188">
        <v>-0.2</v>
      </c>
      <c r="I21" s="191">
        <v>3</v>
      </c>
      <c r="J21" s="189">
        <v>-0.13</v>
      </c>
      <c r="L21"/>
      <c r="M21"/>
      <c r="N21"/>
      <c r="O21"/>
      <c r="P21"/>
      <c r="Q21"/>
    </row>
    <row r="22" spans="2:17" s="49" customFormat="1" ht="26.1" customHeight="1">
      <c r="B22" s="197">
        <f t="shared" si="1"/>
        <v>45727.763888888891</v>
      </c>
      <c r="C22" s="189">
        <v>1920</v>
      </c>
      <c r="D22" s="198">
        <f t="shared" ref="D22:D23" si="4">$D$20</f>
        <v>15.6</v>
      </c>
      <c r="E22" s="199">
        <f t="shared" ref="E22:E23" si="5">$E$20</f>
        <v>211</v>
      </c>
      <c r="F22" s="200">
        <f t="shared" ref="F22:F23" si="6">$F$20</f>
        <v>7.12</v>
      </c>
      <c r="H22" s="188">
        <v>-0.1</v>
      </c>
      <c r="I22" s="191">
        <v>1</v>
      </c>
      <c r="J22" s="189">
        <v>-0.08</v>
      </c>
      <c r="L22"/>
      <c r="M22"/>
      <c r="N22"/>
      <c r="O22"/>
      <c r="P22"/>
      <c r="Q22"/>
    </row>
    <row r="23" spans="2:17" s="49" customFormat="1" ht="26.1" customHeight="1" thickBot="1">
      <c r="B23" s="197">
        <f t="shared" si="1"/>
        <v>45728.430555555555</v>
      </c>
      <c r="C23" s="189">
        <v>2880</v>
      </c>
      <c r="D23" s="198">
        <f t="shared" si="4"/>
        <v>15.6</v>
      </c>
      <c r="E23" s="199">
        <f t="shared" si="5"/>
        <v>211</v>
      </c>
      <c r="F23" s="200">
        <f t="shared" si="6"/>
        <v>7.12</v>
      </c>
      <c r="H23" s="201">
        <v>-0.3</v>
      </c>
      <c r="I23" s="202">
        <v>-2</v>
      </c>
      <c r="J23" s="203">
        <v>-0.08</v>
      </c>
      <c r="L23"/>
      <c r="M23"/>
      <c r="N23"/>
      <c r="O23"/>
      <c r="P23"/>
      <c r="Q23"/>
    </row>
    <row r="24" spans="2:17" s="49" customFormat="1" ht="26.1" customHeight="1">
      <c r="B24" s="692" t="s">
        <v>79</v>
      </c>
      <c r="C24" s="693"/>
      <c r="D24" s="190">
        <f>MAX(D14:D23)</f>
        <v>15.700000000000001</v>
      </c>
      <c r="E24" s="191">
        <f t="shared" ref="E24:F24" si="7">MAX(E14:E23)</f>
        <v>216</v>
      </c>
      <c r="F24" s="189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692" t="s">
        <v>212</v>
      </c>
      <c r="C25" s="693"/>
      <c r="D25" s="190">
        <f>MIN(D14:D23)</f>
        <v>15.1</v>
      </c>
      <c r="E25" s="191">
        <f t="shared" ref="E25:F25" si="8">MIN(E14:E23)</f>
        <v>210</v>
      </c>
      <c r="F25" s="189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87" t="s">
        <v>213</v>
      </c>
      <c r="C26" s="688"/>
      <c r="D26" s="204">
        <f>D24-D25</f>
        <v>0.60000000000000142</v>
      </c>
      <c r="E26" s="202">
        <f t="shared" ref="E26:F26" si="9">E24-E25</f>
        <v>6</v>
      </c>
      <c r="F26" s="203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2025-04-28T07:51:48Z</dcterms:modified>
</cp:coreProperties>
</file>