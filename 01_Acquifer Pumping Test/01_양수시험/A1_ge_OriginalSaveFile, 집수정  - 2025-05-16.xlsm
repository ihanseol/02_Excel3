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6FF7D234-A669-4090-B153-A7552B0E1191}" xr6:coauthVersionLast="47" xr6:coauthVersionMax="47" xr10:uidLastSave="{00000000-0000-0000-0000-000000000000}"/>
  <bookViews>
    <workbookView xWindow="7395" yWindow="15" windowWidth="30825" windowHeight="20850" tabRatio="716" firstSheet="2" activeTab="19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2880" sheetId="9" state="hidden" r:id="rId10"/>
    <sheet name="R360" sheetId="10" state="hidden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anggi.Select" sheetId="22" r:id="rId19"/>
    <sheet name="Recover.Select" sheetId="23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1" i="23" l="1"/>
  <c r="B53" i="23"/>
  <c r="A28" i="23"/>
  <c r="A27" i="22"/>
  <c r="A27" i="9"/>
  <c r="A28" i="10"/>
  <c r="B24" i="23"/>
  <c r="A15" i="23"/>
  <c r="A27" i="23" s="1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5" i="22"/>
  <c r="A26" i="22" s="1"/>
  <c r="E21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5" i="20" s="1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5" i="15" s="1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D23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A19" i="23" l="1"/>
  <c r="A19" i="22"/>
  <c r="A18" i="23"/>
  <c r="A18" i="22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A7" i="9" l="1"/>
  <c r="A7" i="23"/>
  <c r="A7" i="22"/>
  <c r="D29" i="4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<sst xmlns="http://schemas.openxmlformats.org/spreadsheetml/2006/main" count="1440" uniqueCount="355">
  <si>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</si>
  <si>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</si>
  <si>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</si>
  <si>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</si>
  <si>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</si>
  <si>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</si>
  <si>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</si>
  <si>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</si>
  <si>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</si>
  <si>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</si>
  <si>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</si>
  <si>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</si>
  <si>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</si>
  <si>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</si>
  <si>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</si>
  <si>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</si>
  <si>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</si>
  <si>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</si>
  <si>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</si>
  <si>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</si>
  <si>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</si>
  <si>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</si>
  <si>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</si>
  <si>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</si>
  <si>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</si>
  <si>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</si>
  <si>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</si>
  <si>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</si>
  <si>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</si>
  <si>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</si>
  <si>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</si>
  <si>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</si>
  <si>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</si>
  <si>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</si>
  <si>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</si>
  <si>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</si>
  <si>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</si>
  <si>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</si>
  <si>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</si>
  <si>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</si>
  <si>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</si>
  <si>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</si>
  <si>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</si>
  <si>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</si>
  <si>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</si>
  <si>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</si>
  <si>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</si>
  <si>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</si>
  <si>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</si>
  <si>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</si>
  <si>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</si>
  <si>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</si>
  <si>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</si>
  <si>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</si>
  <si>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</si>
  <si>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</si>
  <si>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</si>
  <si>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</si>
  <si>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</si>
  <si>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</si>
  <si>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</si>
  <si>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</si>
  <si>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</si>
  <si>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</si>
  <si>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</si>
  <si>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</si>
  <si>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</si>
  <si>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</si>
  <si>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</si>
  <si>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</si>
  <si>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</si>
  <si>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</si>
  <si>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</si>
  <si>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</si>
  <si>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</si>
  <si>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</si>
  <si>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</si>
  <si>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</si>
  <si>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</si>
  <si>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</si>
  <si>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</si>
  <si>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</si>
  <si>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</si>
  <si>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</si>
  <si>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</si>
  <si>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</si>
  <si>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</si>
  <si>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</si>
  <si>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</si>
  <si>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</si>
  <si>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</si>
  <si>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</si>
  <si>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</si>
  <si>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</si>
  <si>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</si>
  <si>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</si>
  <si>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</si>
  <si>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</si>
  <si>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</si>
  <si>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</si>
  <si>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</si>
  <si>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</si>
  <si>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</si>
  <si>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</si>
  <si>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</si>
  <si>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</si>
  <si>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</si>
  <si>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</si>
  <si>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</si>
  <si>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</si>
  <si>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</si>
  <si>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</si>
  <si>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</si>
  <si>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</si>
  <si>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</si>
  <si>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</si>
  <si>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</si>
  <si>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</si>
  <si>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</si>
  <si>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</si>
  <si>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</si>
  <si>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</si>
  <si>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</si>
  <si>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</si>
  <si>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</si>
  <si>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</si>
  <si>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</si>
  <si>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</si>
  <si>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</si>
  <si>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</si>
  <si>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</si>
  <si>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</si>
  <si>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</si>
  <si>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</si>
  <si>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</si>
  <si>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</si>
  <si>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</si>
  <si>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</si>
  <si>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</si>
  <si>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</si>
  <si>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</si>
  <si>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</si>
  <si>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</si>
  <si>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</si>
  <si>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</si>
  <si>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</si>
  <si>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</si>
  <si>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</si>
  <si>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</si>
  <si>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</si>
  <si>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</si>
  <si>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</si>
  <si>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</si>
  <si>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</si>
  <si>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</si>
  <si>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</si>
  <si>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</si>
  <si>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</si>
  <si>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</si>
  <si>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</si>
  <si>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</si>
  <si>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</si>
  <si>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</si>
  <si>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</si>
  <si>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</si>
  <si>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</si>
  <si>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</si>
  <si>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</si>
  <si>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</si>
  <si>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</si>
  <si>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</si>
  <si>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</si>
  <si>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</si>
  <si>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</si>
  <si>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</si>
  <si>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</si>
  <si>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</si>
  <si>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</si>
  <si>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</si>
  <si>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</si>
  <si>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</si>
  <si>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</si>
  <si>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</si>
  <si>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</si>
  <si>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</si>
  <si>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</si>
  <si>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</si>
  <si>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</si>
  <si>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</si>
  <si>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</si>
  <si>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</si>
  <si>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</si>
  <si>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</si>
  <si>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</si>
  <si>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</si>
  <si>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</si>
  <si>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</si>
  <si>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</si>
  <si>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</si>
  <si>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</si>
  <si>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</si>
  <si>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</si>
  <si>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</si>
  <si>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</si>
  <si>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</si>
  <si>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</si>
  <si>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</si>
  <si>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</si>
  <si>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</si>
  <si>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</si>
  <si>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</si>
  <si>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</si>
  <si>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</si>
  <si>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</si>
  <si>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</si>
  <si>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</si>
  <si>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</si>
  <si>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</si>
  <si>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</si>
  <si>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</si>
  <si>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</si>
  <si>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</si>
  <si>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</si>
  <si>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</si>
  <si>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</si>
  <si>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</si>
  <si>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</si>
  <si>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</si>
  <si>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</si>
  <si>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</si>
  <si>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</si>
  <si>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</si>
  <si>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</si>
  <si>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</si>
  <si>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</si>
  <si>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</si>
  <si>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</si>
  <si>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</si>
  <si>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</si>
  <si>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</si>
  <si>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</si>
  <si>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</si>
  <si>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</si>
  <si>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</si>
  <si>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</si>
  <si>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</si>
  <si>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</si>
  <si>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</si>
  <si>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</si>
  <si>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</si>
  <si>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</si>
  <si>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</si>
  <si>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</si>
  <si>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</si>
  <si>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</si>
  <si>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</si>
  <si>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</si>
  <si>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</si>
  <si>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</si>
  <si>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</si>
  <si>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</si>
  <si>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</si>
  <si>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</si>
  <si>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</si>
  <si>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</si>
  <si>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</si>
  <si>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</si>
  <si>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</si>
  <si>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</si>
  <si>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</si>
  <si>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</si>
  <si>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</si>
  <si>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</si>
  <si>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</si>
  <si>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</si>
  <si>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</si>
  <si>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</si>
  <si>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</si>
  <si>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</si>
  <si>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</si>
  <si>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</si>
  <si>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</si>
  <si>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</si>
  <si>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</si>
  <si>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</si>
  <si>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</si>
  <si>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</si>
  <si>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</si>
  <si>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</si>
  <si>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</si>
  <si>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</si>
  <si>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</si>
  <si>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</si>
  <si>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</si>
  <si>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</si>
  <si>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</si>
  <si>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</si>
  <si>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</si>
  <si>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</si>
  <si>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</si>
  <si>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</si>
  <si>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</si>
  <si>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</si>
  <si>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</si>
  <si>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</si>
  <si>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</si>
  <si>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</si>
  <si>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</si>
  <si>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</si>
  <si>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</si>
  <si>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</si>
  <si>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</si>
  <si>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</si>
  <si>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</si>
  <si>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</si>
  <si>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</si>
  <si>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</si>
  <si>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</si>
  <si>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</si>
  <si>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</si>
  <si>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</si>
  <si>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</si>
  <si>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</si>
  <si>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</si>
  <si>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</si>
  <si>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</si>
  <si>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</si>
  <si>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</si>
  <si>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</si>
  <si>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</si>
  <si>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</si>
  <si>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</si>
  <si>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</si>
  <si>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</si>
  <si>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</si>
  <si>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</si>
  <si>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</si>
  <si>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</si>
  <si>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</si>
  <si>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</si>
  <si>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</si>
  <si>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</si>
  <si>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</si>
  <si>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</si>
  <si>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</si>
  <si>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</si>
  <si>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논산시 은진면 시묘리 352-1</t>
    <phoneticPr fontId="4" type="noConversion"/>
  </si>
  <si>
    <t>벌곡 한삼천등 8지구 소규모수도시설 지하수영향조사 및 사후관리 용역</t>
    <phoneticPr fontId="4" type="noConversion"/>
  </si>
  <si>
    <t>시묘리 352-1</t>
    <phoneticPr fontId="4" type="noConversion"/>
  </si>
  <si>
    <t>(주)환일</t>
    <phoneticPr fontId="4" type="noConversion"/>
  </si>
  <si>
    <t>94
120
146
172
198</t>
  </si>
  <si>
    <t>22.10
27.06
32.65
38.88
48.38</t>
  </si>
  <si>
    <t>14.90
19.86
25.45
31.68
41.18</t>
  </si>
  <si>
    <t>6.309
6.042
5.745
5.429
4.803</t>
  </si>
  <si>
    <t>0.158511
0.165500
0.174077
0.184186
0.208190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</si>
</sst>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color indexed="55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10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93" fontId="22" fillId="16" borderId="0" xfId="2" applyNumberFormat="1" applyFont="1" applyFill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3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5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29" fillId="0" borderId="0" xfId="2" applyFont="1" applyAlignment="1">
      <alignment horizontal="centerContinuous" vertical="center"/>
    </xf>
    <xf numFmtId="0" fontId="30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1" fillId="0" borderId="5" xfId="2" applyFont="1" applyBorder="1" applyAlignment="1">
      <alignment horizontal="center" vertical="center"/>
    </xf>
    <xf numFmtId="187" fontId="31" fillId="0" borderId="6" xfId="2" applyNumberFormat="1" applyFont="1" applyBorder="1" applyAlignment="1">
      <alignment horizontal="centerContinuous" vertical="center"/>
    </xf>
    <xf numFmtId="0" fontId="31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2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3" fillId="0" borderId="0" xfId="2" applyFont="1"/>
    <xf numFmtId="0" fontId="30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4" fillId="14" borderId="20" xfId="2" applyNumberFormat="1" applyFont="1" applyFill="1" applyBorder="1" applyAlignment="1">
      <alignment vertical="center"/>
    </xf>
    <xf numFmtId="0" fontId="34" fillId="14" borderId="21" xfId="2" applyFont="1" applyFill="1" applyBorder="1" applyAlignment="1">
      <alignment vertical="center"/>
    </xf>
    <xf numFmtId="0" fontId="34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39" fillId="0" borderId="0" xfId="0" applyFont="1">
      <alignment vertical="center"/>
    </xf>
    <xf numFmtId="0" fontId="40" fillId="0" borderId="0" xfId="2" applyFont="1" applyAlignment="1">
      <alignment horizontal="center" vertical="center"/>
    </xf>
    <xf numFmtId="0" fontId="40" fillId="0" borderId="13" xfId="2" applyFont="1" applyBorder="1" applyAlignment="1">
      <alignment horizontal="center" vertical="center"/>
    </xf>
    <xf numFmtId="0" fontId="40" fillId="24" borderId="22" xfId="2" applyFont="1" applyFill="1" applyBorder="1" applyAlignment="1">
      <alignment horizontal="center" vertical="center"/>
    </xf>
    <xf numFmtId="0" fontId="40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7" fillId="19" borderId="20" xfId="5" applyFont="1" applyFill="1" applyBorder="1" applyAlignment="1">
      <alignment horizontal="center" vertical="center"/>
    </xf>
    <xf numFmtId="0" fontId="37" fillId="19" borderId="21" xfId="5" applyFont="1" applyFill="1" applyBorder="1" applyAlignment="1">
      <alignment horizontal="center" vertical="center"/>
    </xf>
    <xf numFmtId="182" fontId="42" fillId="13" borderId="11" xfId="5" applyNumberFormat="1" applyFont="1" applyFill="1" applyBorder="1" applyAlignment="1">
      <alignment horizontal="center" vertical="center"/>
    </xf>
    <xf numFmtId="182" fontId="42" fillId="13" borderId="13" xfId="5" applyNumberFormat="1" applyFont="1" applyFill="1" applyBorder="1" applyAlignment="1">
      <alignment horizontal="center" vertical="center"/>
    </xf>
    <xf numFmtId="178" fontId="44" fillId="13" borderId="21" xfId="5" applyNumberFormat="1" applyFont="1" applyFill="1" applyBorder="1" applyAlignment="1">
      <alignment horizontal="center" vertical="center"/>
    </xf>
    <xf numFmtId="0" fontId="44" fillId="13" borderId="21" xfId="5" applyFont="1" applyFill="1" applyBorder="1" applyAlignment="1">
      <alignment horizontal="center" vertical="center"/>
    </xf>
    <xf numFmtId="0" fontId="44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2" fillId="20" borderId="1" xfId="2" applyNumberFormat="1" applyFont="1" applyFill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6" fillId="0" borderId="1" xfId="2" applyFont="1" applyBorder="1" applyAlignment="1">
      <alignment horizontal="center" vertical="center"/>
    </xf>
    <xf numFmtId="0" fontId="46" fillId="0" borderId="5" xfId="2" applyFont="1" applyBorder="1" applyAlignment="1">
      <alignment vertical="center"/>
    </xf>
    <xf numFmtId="186" fontId="46" fillId="0" borderId="5" xfId="2" applyNumberFormat="1" applyFont="1" applyBorder="1"/>
    <xf numFmtId="194" fontId="46" fillId="0" borderId="2" xfId="2" applyNumberFormat="1" applyFont="1" applyBorder="1" applyAlignment="1">
      <alignment horizontal="left" vertical="center"/>
    </xf>
    <xf numFmtId="0" fontId="46" fillId="0" borderId="5" xfId="2" applyFont="1" applyBorder="1" applyAlignment="1">
      <alignment horizontal="right" vertical="center"/>
    </xf>
    <xf numFmtId="186" fontId="46" fillId="0" borderId="5" xfId="2" applyNumberFormat="1" applyFont="1" applyBorder="1" applyAlignment="1">
      <alignment horizontal="centerContinuous" vertical="center"/>
    </xf>
    <xf numFmtId="0" fontId="46" fillId="0" borderId="2" xfId="2" applyFont="1" applyBorder="1" applyAlignment="1">
      <alignment vertical="center"/>
    </xf>
    <xf numFmtId="0" fontId="46" fillId="0" borderId="5" xfId="2" applyFont="1" applyBorder="1" applyAlignment="1">
      <alignment horizontal="left" vertical="center"/>
    </xf>
    <xf numFmtId="0" fontId="47" fillId="0" borderId="5" xfId="2" applyFont="1" applyBorder="1" applyAlignment="1">
      <alignment horizontal="centerContinuous" vertical="center"/>
    </xf>
    <xf numFmtId="187" fontId="47" fillId="0" borderId="5" xfId="2" applyNumberFormat="1" applyFont="1" applyBorder="1" applyAlignment="1">
      <alignment horizontal="centerContinuous" vertical="center"/>
    </xf>
    <xf numFmtId="186" fontId="47" fillId="0" borderId="5" xfId="2" applyNumberFormat="1" applyFont="1" applyBorder="1" applyAlignment="1">
      <alignment horizontal="centerContinuous"/>
    </xf>
    <xf numFmtId="0" fontId="46" fillId="0" borderId="1" xfId="2" applyFont="1" applyBorder="1" applyAlignment="1">
      <alignment horizontal="centerContinuous" vertical="center"/>
    </xf>
    <xf numFmtId="0" fontId="47" fillId="0" borderId="2" xfId="2" applyFont="1" applyBorder="1" applyAlignment="1">
      <alignment horizontal="centerContinuous" vertical="center"/>
    </xf>
    <xf numFmtId="202" fontId="46" fillId="0" borderId="1" xfId="2" applyNumberFormat="1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 wrapText="1"/>
    </xf>
    <xf numFmtId="0" fontId="46" fillId="0" borderId="1" xfId="2" applyFont="1" applyBorder="1" applyAlignment="1">
      <alignment vertical="center"/>
    </xf>
    <xf numFmtId="1" fontId="46" fillId="0" borderId="1" xfId="2" applyNumberFormat="1" applyFont="1" applyBorder="1" applyAlignment="1">
      <alignment vertical="center"/>
    </xf>
    <xf numFmtId="202" fontId="46" fillId="0" borderId="1" xfId="2" applyNumberFormat="1" applyFont="1" applyBorder="1" applyAlignment="1">
      <alignment vertical="center"/>
    </xf>
    <xf numFmtId="208" fontId="46" fillId="0" borderId="1" xfId="2" applyNumberFormat="1" applyFont="1" applyBorder="1" applyAlignment="1">
      <alignment vertical="center"/>
    </xf>
    <xf numFmtId="0" fontId="45" fillId="0" borderId="0" xfId="2" applyFont="1" applyAlignment="1">
      <alignment vertical="center"/>
    </xf>
    <xf numFmtId="0" fontId="45" fillId="3" borderId="0" xfId="2" applyFont="1" applyFill="1" applyAlignment="1">
      <alignment vertical="center"/>
    </xf>
    <xf numFmtId="196" fontId="45" fillId="3" borderId="0" xfId="2" applyNumberFormat="1" applyFont="1" applyFill="1" applyAlignment="1">
      <alignment horizontal="center" vertical="center"/>
    </xf>
    <xf numFmtId="0" fontId="45" fillId="0" borderId="1" xfId="2" applyFont="1" applyBorder="1" applyAlignment="1">
      <alignment horizontal="center" vertical="center"/>
    </xf>
    <xf numFmtId="2" fontId="45" fillId="0" borderId="1" xfId="2" applyNumberFormat="1" applyFont="1" applyBorder="1" applyAlignment="1">
      <alignment horizontal="center" vertical="center"/>
    </xf>
    <xf numFmtId="2" fontId="45" fillId="0" borderId="0" xfId="2" applyNumberFormat="1" applyFont="1" applyAlignment="1">
      <alignment horizontal="center" vertical="center"/>
    </xf>
    <xf numFmtId="196" fontId="45" fillId="0" borderId="0" xfId="2" applyNumberFormat="1" applyFont="1" applyAlignment="1">
      <alignment horizontal="center" vertical="center"/>
    </xf>
    <xf numFmtId="0" fontId="45" fillId="0" borderId="0" xfId="2" applyFont="1" applyAlignment="1">
      <alignment horizontal="right" vertical="center"/>
    </xf>
    <xf numFmtId="0" fontId="45" fillId="0" borderId="1" xfId="2" applyFont="1" applyBorder="1" applyAlignment="1">
      <alignment vertical="center"/>
    </xf>
    <xf numFmtId="2" fontId="45" fillId="0" borderId="1" xfId="2" applyNumberFormat="1" applyFont="1" applyBorder="1" applyAlignment="1">
      <alignment vertical="center"/>
    </xf>
    <xf numFmtId="2" fontId="45" fillId="0" borderId="0" xfId="2" applyNumberFormat="1" applyFont="1" applyAlignment="1">
      <alignment vertical="center"/>
    </xf>
    <xf numFmtId="0" fontId="49" fillId="0" borderId="1" xfId="2" applyFont="1" applyBorder="1" applyAlignment="1">
      <alignment vertical="center"/>
    </xf>
    <xf numFmtId="176" fontId="45" fillId="0" borderId="0" xfId="2" applyNumberFormat="1" applyFont="1" applyAlignment="1">
      <alignment vertical="center"/>
    </xf>
    <xf numFmtId="0" fontId="49" fillId="0" borderId="0" xfId="2" applyFont="1" applyAlignment="1">
      <alignment vertical="center"/>
    </xf>
    <xf numFmtId="2" fontId="49" fillId="0" borderId="1" xfId="2" applyNumberFormat="1" applyFont="1" applyBorder="1" applyAlignment="1">
      <alignment vertical="center"/>
    </xf>
    <xf numFmtId="2" fontId="49" fillId="0" borderId="0" xfId="2" applyNumberFormat="1" applyFont="1" applyAlignment="1">
      <alignment vertical="center"/>
    </xf>
    <xf numFmtId="2" fontId="45" fillId="7" borderId="1" xfId="2" applyNumberFormat="1" applyFont="1" applyFill="1" applyBorder="1" applyAlignment="1">
      <alignment vertical="center"/>
    </xf>
    <xf numFmtId="2" fontId="45" fillId="7" borderId="0" xfId="2" applyNumberFormat="1" applyFont="1" applyFill="1" applyAlignment="1">
      <alignment vertical="center"/>
    </xf>
    <xf numFmtId="177" fontId="22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0" fillId="8" borderId="1" xfId="2" applyNumberFormat="1" applyFont="1" applyFill="1" applyBorder="1" applyAlignment="1">
      <alignment horizontal="center" vertical="center"/>
    </xf>
    <xf numFmtId="197" fontId="41" fillId="8" borderId="1" xfId="5" applyNumberFormat="1" applyFont="1" applyFill="1" applyBorder="1" applyAlignment="1">
      <alignment horizontal="center" vertical="center"/>
    </xf>
    <xf numFmtId="0" fontId="41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3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7" fillId="0" borderId="1" xfId="0" applyFont="1" applyBorder="1" applyAlignment="1">
      <alignment vertical="center" wrapText="1"/>
    </xf>
    <xf numFmtId="0" fontId="56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6" fillId="0" borderId="13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1" fontId="59" fillId="0" borderId="1" xfId="0" applyNumberFormat="1" applyFont="1" applyBorder="1" applyAlignment="1">
      <alignment horizontal="center"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1" fontId="59" fillId="0" borderId="13" xfId="0" applyNumberFormat="1" applyFont="1" applyBorder="1" applyAlignment="1">
      <alignment horizontal="center" vertical="center" wrapText="1"/>
    </xf>
    <xf numFmtId="1" fontId="59" fillId="0" borderId="56" xfId="0" applyNumberFormat="1" applyFont="1" applyBorder="1" applyAlignment="1">
      <alignment horizontal="center" vertical="center" wrapText="1"/>
    </xf>
    <xf numFmtId="1" fontId="59" fillId="0" borderId="7" xfId="0" applyNumberFormat="1" applyFont="1" applyBorder="1" applyAlignment="1">
      <alignment horizontal="center" vertical="center" wrapText="1"/>
    </xf>
    <xf numFmtId="32" fontId="59" fillId="0" borderId="7" xfId="0" applyNumberFormat="1" applyFont="1" applyBorder="1" applyAlignment="1">
      <alignment horizontal="center" vertical="center" wrapText="1"/>
    </xf>
    <xf numFmtId="2" fontId="59" fillId="0" borderId="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7" fillId="0" borderId="2" xfId="0" applyFont="1" applyBorder="1" applyAlignment="1">
      <alignment horizontal="right" vertical="center" wrapText="1"/>
    </xf>
    <xf numFmtId="220" fontId="57" fillId="0" borderId="38" xfId="0" applyNumberFormat="1" applyFont="1" applyBorder="1" applyAlignment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21" xfId="0" applyFont="1" applyBorder="1" applyAlignment="1">
      <alignment horizontal="center" vertical="center" wrapText="1"/>
    </xf>
    <xf numFmtId="0" fontId="57" fillId="0" borderId="21" xfId="0" applyFont="1" applyBorder="1" applyAlignment="1">
      <alignment vertical="center" wrapText="1"/>
    </xf>
    <xf numFmtId="32" fontId="57" fillId="0" borderId="1" xfId="0" applyNumberFormat="1" applyFont="1" applyBorder="1" applyAlignment="1">
      <alignment horizontal="center" vertical="center" wrapText="1"/>
    </xf>
    <xf numFmtId="2" fontId="57" fillId="0" borderId="1" xfId="0" applyNumberFormat="1" applyFont="1" applyBorder="1" applyAlignment="1">
      <alignment horizontal="center" vertical="center" wrapText="1"/>
    </xf>
    <xf numFmtId="0" fontId="62" fillId="0" borderId="1" xfId="2" applyFont="1" applyBorder="1" applyAlignment="1">
      <alignment horizontal="center" vertical="center"/>
    </xf>
    <xf numFmtId="0" fontId="62" fillId="0" borderId="21" xfId="2" applyFont="1" applyBorder="1" applyAlignment="1">
      <alignment horizontal="center" vertical="center"/>
    </xf>
    <xf numFmtId="0" fontId="61" fillId="0" borderId="13" xfId="0" applyFont="1" applyBorder="1">
      <alignment vertical="center"/>
    </xf>
    <xf numFmtId="0" fontId="64" fillId="0" borderId="0" xfId="0" applyFont="1">
      <alignment vertical="center"/>
    </xf>
    <xf numFmtId="0" fontId="45" fillId="0" borderId="21" xfId="2" applyFont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65" fillId="0" borderId="13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3" xfId="0" applyFont="1" applyBorder="1">
      <alignment vertical="center"/>
    </xf>
    <xf numFmtId="0" fontId="64" fillId="0" borderId="56" xfId="0" applyFont="1" applyBorder="1">
      <alignment vertical="center"/>
    </xf>
    <xf numFmtId="0" fontId="59" fillId="0" borderId="7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64" fillId="0" borderId="22" xfId="0" applyFont="1" applyBorder="1">
      <alignment vertical="center"/>
    </xf>
    <xf numFmtId="32" fontId="59" fillId="0" borderId="16" xfId="0" applyNumberFormat="1" applyFont="1" applyBorder="1" applyAlignment="1">
      <alignment horizontal="center" vertical="center" wrapText="1"/>
    </xf>
    <xf numFmtId="2" fontId="59" fillId="0" borderId="16" xfId="0" applyNumberFormat="1" applyFont="1" applyBorder="1" applyAlignment="1">
      <alignment horizontal="center" vertical="center" wrapText="1"/>
    </xf>
    <xf numFmtId="0" fontId="59" fillId="0" borderId="0" xfId="0" applyFont="1">
      <alignment vertical="center"/>
    </xf>
    <xf numFmtId="0" fontId="64" fillId="0" borderId="1" xfId="0" applyFont="1" applyBorder="1">
      <alignment vertical="center"/>
    </xf>
    <xf numFmtId="0" fontId="64" fillId="0" borderId="16" xfId="0" applyFont="1" applyBorder="1">
      <alignment vertical="center"/>
    </xf>
    <xf numFmtId="0" fontId="64" fillId="0" borderId="2" xfId="0" applyFont="1" applyBorder="1">
      <alignment vertical="center"/>
    </xf>
    <xf numFmtId="0" fontId="64" fillId="0" borderId="5" xfId="0" applyFont="1" applyBorder="1">
      <alignment vertical="center"/>
    </xf>
    <xf numFmtId="0" fontId="64" fillId="0" borderId="38" xfId="0" applyFont="1" applyBorder="1">
      <alignment vertical="center"/>
    </xf>
    <xf numFmtId="0" fontId="69" fillId="0" borderId="1" xfId="0" applyFont="1" applyBorder="1" applyAlignment="1">
      <alignment horizontal="center" vertical="center" wrapText="1"/>
    </xf>
    <xf numFmtId="0" fontId="70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7" fillId="0" borderId="1" xfId="0" applyNumberFormat="1" applyFont="1" applyBorder="1" applyAlignment="1">
      <alignment horizontal="center" vertical="center" wrapText="1"/>
    </xf>
    <xf numFmtId="0" fontId="72" fillId="9" borderId="15" xfId="5" applyFont="1" applyFill="1" applyBorder="1" applyAlignment="1">
      <alignment horizontal="center" vertical="center"/>
    </xf>
    <xf numFmtId="0" fontId="73" fillId="0" borderId="1" xfId="2" applyFont="1" applyBorder="1" applyAlignment="1">
      <alignment horizontal="center" vertical="center"/>
    </xf>
    <xf numFmtId="0" fontId="73" fillId="0" borderId="0" xfId="2" applyFont="1" applyAlignment="1">
      <alignment horizontal="center" vertical="center"/>
    </xf>
    <xf numFmtId="182" fontId="73" fillId="0" borderId="0" xfId="2" applyNumberFormat="1" applyFont="1" applyAlignment="1">
      <alignment horizontal="center" vertical="center"/>
    </xf>
    <xf numFmtId="0" fontId="73" fillId="26" borderId="1" xfId="2" applyFont="1" applyFill="1" applyBorder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2" fontId="73" fillId="26" borderId="1" xfId="2" applyNumberFormat="1" applyFont="1" applyFill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2" fontId="73" fillId="0" borderId="0" xfId="2" applyNumberFormat="1" applyFont="1" applyAlignment="1">
      <alignment horizontal="center" vertical="center"/>
    </xf>
    <xf numFmtId="0" fontId="74" fillId="24" borderId="1" xfId="2" applyFont="1" applyFill="1" applyBorder="1" applyAlignment="1">
      <alignment horizontal="center" vertical="center"/>
    </xf>
    <xf numFmtId="0" fontId="73" fillId="24" borderId="1" xfId="2" applyFont="1" applyFill="1" applyBorder="1" applyAlignment="1">
      <alignment horizontal="center" vertical="center"/>
    </xf>
    <xf numFmtId="177" fontId="73" fillId="24" borderId="1" xfId="2" applyNumberFormat="1" applyFont="1" applyFill="1" applyBorder="1" applyAlignment="1">
      <alignment horizontal="center" vertical="center"/>
    </xf>
    <xf numFmtId="0" fontId="73" fillId="7" borderId="0" xfId="2" applyFont="1" applyFill="1" applyAlignment="1">
      <alignment horizontal="center" vertical="center"/>
    </xf>
    <xf numFmtId="0" fontId="75" fillId="0" borderId="0" xfId="2" applyFont="1" applyAlignment="1">
      <alignment horizontal="center" vertical="center"/>
    </xf>
    <xf numFmtId="0" fontId="73" fillId="26" borderId="0" xfId="2" applyFont="1" applyFill="1" applyAlignment="1">
      <alignment horizontal="center" vertical="center"/>
    </xf>
    <xf numFmtId="176" fontId="73" fillId="0" borderId="0" xfId="2" applyNumberFormat="1" applyFont="1" applyAlignment="1">
      <alignment horizontal="center" vertical="center"/>
    </xf>
    <xf numFmtId="2" fontId="73" fillId="21" borderId="0" xfId="2" applyNumberFormat="1" applyFont="1" applyFill="1" applyAlignment="1">
      <alignment horizontal="center" vertical="center"/>
    </xf>
    <xf numFmtId="1" fontId="73" fillId="21" borderId="0" xfId="2" applyNumberFormat="1" applyFont="1" applyFill="1" applyAlignment="1">
      <alignment horizontal="center" vertical="center"/>
    </xf>
    <xf numFmtId="177" fontId="73" fillId="0" borderId="0" xfId="2" applyNumberFormat="1" applyFont="1" applyAlignment="1">
      <alignment horizontal="center" vertical="center"/>
    </xf>
    <xf numFmtId="178" fontId="73" fillId="0" borderId="0" xfId="2" applyNumberFormat="1" applyFont="1" applyAlignment="1">
      <alignment horizontal="center" vertical="center"/>
    </xf>
    <xf numFmtId="0" fontId="73" fillId="5" borderId="6" xfId="2" applyFont="1" applyFill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181" fontId="77" fillId="0" borderId="0" xfId="2" applyNumberFormat="1" applyFont="1" applyAlignment="1">
      <alignment horizontal="center" vertical="center"/>
    </xf>
    <xf numFmtId="2" fontId="77" fillId="0" borderId="0" xfId="2" applyNumberFormat="1" applyFont="1" applyAlignment="1">
      <alignment horizontal="center" vertical="center"/>
    </xf>
    <xf numFmtId="0" fontId="59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79" fillId="6" borderId="11" xfId="2" applyFont="1" applyFill="1" applyBorder="1" applyAlignment="1">
      <alignment horizontal="center" vertical="center"/>
    </xf>
    <xf numFmtId="0" fontId="79" fillId="6" borderId="12" xfId="2" applyFont="1" applyFill="1" applyBorder="1" applyAlignment="1">
      <alignment horizontal="center" vertical="center"/>
    </xf>
    <xf numFmtId="0" fontId="79" fillId="6" borderId="20" xfId="2" applyFont="1" applyFill="1" applyBorder="1" applyAlignment="1">
      <alignment horizontal="center" vertical="center"/>
    </xf>
    <xf numFmtId="0" fontId="73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79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0" fillId="0" borderId="0" xfId="2" applyNumberFormat="1" applyFont="1" applyAlignment="1">
      <alignment horizontal="center" vertical="center"/>
    </xf>
    <xf numFmtId="9" fontId="73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0" fillId="0" borderId="0" xfId="2" applyNumberFormat="1" applyFont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3" fillId="0" borderId="0" xfId="2" applyFont="1" applyAlignment="1">
      <alignment horizontal="right"/>
    </xf>
    <xf numFmtId="0" fontId="73" fillId="0" borderId="0" xfId="2" applyFont="1"/>
    <xf numFmtId="0" fontId="9" fillId="0" borderId="0" xfId="2" applyFont="1"/>
    <xf numFmtId="0" fontId="40" fillId="19" borderId="12" xfId="2" applyFont="1" applyFill="1" applyBorder="1" applyAlignment="1">
      <alignment horizontal="center" vertical="center"/>
    </xf>
    <xf numFmtId="2" fontId="40" fillId="19" borderId="12" xfId="2" applyNumberFormat="1" applyFont="1" applyFill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189" fontId="40" fillId="0" borderId="1" xfId="2" applyNumberFormat="1" applyFont="1" applyBorder="1" applyAlignment="1">
      <alignment horizontal="center" vertical="center"/>
    </xf>
    <xf numFmtId="182" fontId="40" fillId="0" borderId="1" xfId="2" applyNumberFormat="1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182" fontId="40" fillId="0" borderId="21" xfId="2" applyNumberFormat="1" applyFont="1" applyBorder="1" applyAlignment="1">
      <alignment horizontal="center" vertical="center"/>
    </xf>
    <xf numFmtId="191" fontId="40" fillId="0" borderId="1" xfId="2" applyNumberFormat="1" applyFont="1" applyBorder="1" applyAlignment="1">
      <alignment horizontal="center" vertical="center"/>
    </xf>
    <xf numFmtId="0" fontId="40" fillId="24" borderId="16" xfId="2" applyFont="1" applyFill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26" borderId="16" xfId="2" applyFont="1" applyFill="1" applyBorder="1" applyAlignment="1">
      <alignment horizontal="center" vertical="center"/>
    </xf>
    <xf numFmtId="182" fontId="40" fillId="26" borderId="16" xfId="2" applyNumberFormat="1" applyFont="1" applyFill="1" applyBorder="1" applyAlignment="1">
      <alignment horizontal="center" vertical="center"/>
    </xf>
    <xf numFmtId="0" fontId="40" fillId="7" borderId="16" xfId="2" applyFont="1" applyFill="1" applyBorder="1" applyAlignment="1">
      <alignment horizontal="center" vertical="center"/>
    </xf>
    <xf numFmtId="0" fontId="40" fillId="7" borderId="23" xfId="2" applyFont="1" applyFill="1" applyBorder="1" applyAlignment="1">
      <alignment horizontal="center" vertical="center"/>
    </xf>
    <xf numFmtId="0" fontId="73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5" fillId="0" borderId="0" xfId="2" applyNumberFormat="1" applyFont="1" applyAlignment="1">
      <alignment vertical="center"/>
    </xf>
    <xf numFmtId="200" fontId="45" fillId="0" borderId="0" xfId="2" applyNumberFormat="1" applyFont="1" applyAlignment="1">
      <alignment vertical="center"/>
    </xf>
    <xf numFmtId="176" fontId="45" fillId="0" borderId="0" xfId="2" applyNumberFormat="1" applyFont="1" applyAlignment="1">
      <alignment vertical="center" shrinkToFit="1"/>
    </xf>
    <xf numFmtId="200" fontId="85" fillId="0" borderId="0" xfId="2" applyNumberFormat="1" applyFont="1" applyAlignment="1">
      <alignment vertical="center"/>
    </xf>
    <xf numFmtId="1" fontId="45" fillId="5" borderId="0" xfId="2" applyNumberFormat="1" applyFont="1" applyFill="1" applyAlignment="1">
      <alignment vertical="center"/>
    </xf>
    <xf numFmtId="0" fontId="45" fillId="5" borderId="0" xfId="2" applyFont="1" applyFill="1" applyAlignment="1">
      <alignment vertical="center"/>
    </xf>
    <xf numFmtId="200" fontId="45" fillId="5" borderId="0" xfId="2" applyNumberFormat="1" applyFont="1" applyFill="1" applyAlignment="1">
      <alignment vertical="center"/>
    </xf>
    <xf numFmtId="176" fontId="45" fillId="5" borderId="0" xfId="2" applyNumberFormat="1" applyFont="1" applyFill="1" applyAlignment="1">
      <alignment vertical="center" shrinkToFit="1"/>
    </xf>
    <xf numFmtId="200" fontId="86" fillId="2" borderId="0" xfId="1" applyNumberFormat="1" applyFont="1">
      <alignment vertical="center"/>
    </xf>
    <xf numFmtId="176" fontId="86" fillId="2" borderId="0" xfId="1" applyNumberFormat="1" applyFont="1" applyAlignment="1">
      <alignment vertical="center" shrinkToFit="1"/>
    </xf>
    <xf numFmtId="2" fontId="86" fillId="2" borderId="0" xfId="1" applyNumberFormat="1" applyFont="1">
      <alignment vertical="center"/>
    </xf>
    <xf numFmtId="0" fontId="45" fillId="0" borderId="0" xfId="2" applyFont="1" applyAlignment="1">
      <alignment vertical="center" shrinkToFit="1"/>
    </xf>
    <xf numFmtId="0" fontId="45" fillId="0" borderId="0" xfId="2" applyFont="1"/>
    <xf numFmtId="0" fontId="45" fillId="0" borderId="0" xfId="2" applyFont="1" applyAlignment="1">
      <alignment shrinkToFit="1"/>
    </xf>
    <xf numFmtId="0" fontId="45" fillId="7" borderId="0" xfId="2" applyFont="1" applyFill="1" applyAlignment="1">
      <alignment horizontal="center" vertical="center"/>
    </xf>
    <xf numFmtId="0" fontId="45" fillId="7" borderId="0" xfId="2" applyFont="1" applyFill="1" applyAlignment="1">
      <alignment horizontal="right" vertical="center" wrapText="1"/>
    </xf>
    <xf numFmtId="196" fontId="45" fillId="7" borderId="0" xfId="2" applyNumberFormat="1" applyFont="1" applyFill="1" applyAlignment="1">
      <alignment vertical="center"/>
    </xf>
    <xf numFmtId="0" fontId="45" fillId="3" borderId="0" xfId="2" applyFont="1" applyFill="1" applyAlignment="1">
      <alignment horizontal="center" vertical="center"/>
    </xf>
    <xf numFmtId="0" fontId="45" fillId="11" borderId="0" xfId="2" applyFont="1" applyFill="1" applyAlignment="1">
      <alignment horizontal="center" vertical="center"/>
    </xf>
    <xf numFmtId="205" fontId="45" fillId="0" borderId="0" xfId="2" applyNumberFormat="1" applyFont="1" applyAlignment="1">
      <alignment vertical="center"/>
    </xf>
    <xf numFmtId="205" fontId="23" fillId="28" borderId="0" xfId="2" applyNumberFormat="1" applyFont="1" applyFill="1" applyAlignment="1">
      <alignment horizontal="center" vertical="center"/>
    </xf>
    <xf numFmtId="205" fontId="45" fillId="0" borderId="0" xfId="2" applyNumberFormat="1" applyFont="1" applyAlignment="1">
      <alignment horizontal="center" vertical="center"/>
    </xf>
    <xf numFmtId="176" fontId="45" fillId="11" borderId="0" xfId="2" applyNumberFormat="1" applyFont="1" applyFill="1" applyAlignment="1">
      <alignment horizontal="center" vertical="center"/>
    </xf>
    <xf numFmtId="0" fontId="45" fillId="0" borderId="0" xfId="2" applyFont="1" applyAlignment="1">
      <alignment horizontal="center"/>
    </xf>
    <xf numFmtId="181" fontId="45" fillId="0" borderId="0" xfId="2" applyNumberFormat="1" applyFont="1"/>
    <xf numFmtId="0" fontId="45" fillId="0" borderId="0" xfId="2" applyFont="1" applyAlignment="1">
      <alignment vertical="top"/>
    </xf>
    <xf numFmtId="0" fontId="45" fillId="26" borderId="0" xfId="2" applyFont="1" applyFill="1"/>
    <xf numFmtId="181" fontId="45" fillId="26" borderId="0" xfId="2" applyNumberFormat="1" applyFont="1" applyFill="1"/>
    <xf numFmtId="181" fontId="45" fillId="0" borderId="0" xfId="2" applyNumberFormat="1" applyFont="1" applyAlignment="1">
      <alignment horizontal="center" vertical="center"/>
    </xf>
    <xf numFmtId="181" fontId="45" fillId="26" borderId="0" xfId="2" applyNumberFormat="1" applyFont="1" applyFill="1" applyAlignment="1">
      <alignment vertical="center"/>
    </xf>
    <xf numFmtId="0" fontId="45" fillId="26" borderId="0" xfId="2" applyFont="1" applyFill="1" applyAlignment="1">
      <alignment vertical="center"/>
    </xf>
    <xf numFmtId="177" fontId="45" fillId="15" borderId="0" xfId="2" applyNumberFormat="1" applyFont="1" applyFill="1" applyAlignment="1">
      <alignment vertical="center"/>
    </xf>
    <xf numFmtId="182" fontId="45" fillId="0" borderId="0" xfId="2" applyNumberFormat="1" applyFont="1" applyAlignment="1">
      <alignment vertical="center"/>
    </xf>
    <xf numFmtId="181" fontId="45" fillId="0" borderId="0" xfId="2" applyNumberFormat="1" applyFont="1" applyAlignment="1">
      <alignment vertical="center"/>
    </xf>
    <xf numFmtId="0" fontId="45" fillId="26" borderId="13" xfId="2" applyFont="1" applyFill="1" applyBorder="1" applyAlignment="1">
      <alignment horizontal="center" vertical="center"/>
    </xf>
    <xf numFmtId="176" fontId="45" fillId="0" borderId="21" xfId="2" applyNumberFormat="1" applyFont="1" applyBorder="1" applyAlignment="1">
      <alignment horizontal="center" vertical="center"/>
    </xf>
    <xf numFmtId="0" fontId="45" fillId="26" borderId="22" xfId="2" applyFont="1" applyFill="1" applyBorder="1" applyAlignment="1">
      <alignment horizontal="center" vertical="center"/>
    </xf>
    <xf numFmtId="0" fontId="45" fillId="0" borderId="16" xfId="2" applyFont="1" applyBorder="1" applyAlignment="1">
      <alignment horizontal="center" vertical="center"/>
    </xf>
    <xf numFmtId="176" fontId="45" fillId="0" borderId="23" xfId="2" applyNumberFormat="1" applyFont="1" applyBorder="1" applyAlignment="1">
      <alignment horizontal="center" vertical="center"/>
    </xf>
    <xf numFmtId="0" fontId="62" fillId="26" borderId="13" xfId="2" applyFont="1" applyFill="1" applyBorder="1" applyAlignment="1">
      <alignment horizontal="center" vertical="center"/>
    </xf>
    <xf numFmtId="176" fontId="62" fillId="0" borderId="21" xfId="2" applyNumberFormat="1" applyFont="1" applyBorder="1" applyAlignment="1">
      <alignment horizontal="center" vertical="center"/>
    </xf>
    <xf numFmtId="0" fontId="62" fillId="26" borderId="22" xfId="2" applyFont="1" applyFill="1" applyBorder="1" applyAlignment="1">
      <alignment horizontal="center" vertical="center"/>
    </xf>
    <xf numFmtId="0" fontId="62" fillId="0" borderId="16" xfId="2" applyFont="1" applyBorder="1" applyAlignment="1">
      <alignment horizontal="center" vertical="center"/>
    </xf>
    <xf numFmtId="176" fontId="62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48" fillId="0" borderId="0" xfId="2" applyNumberFormat="1" applyFont="1" applyAlignment="1">
      <alignment horizontal="center"/>
    </xf>
    <xf numFmtId="0" fontId="45" fillId="33" borderId="1" xfId="2" applyFont="1" applyFill="1" applyBorder="1" applyAlignment="1">
      <alignment vertical="center"/>
    </xf>
    <xf numFmtId="0" fontId="45" fillId="23" borderId="11" xfId="2" applyFont="1" applyFill="1" applyBorder="1" applyAlignment="1">
      <alignment horizontal="center" vertical="center"/>
    </xf>
    <xf numFmtId="0" fontId="45" fillId="23" borderId="12" xfId="2" applyFont="1" applyFill="1" applyBorder="1" applyAlignment="1">
      <alignment horizontal="center" vertical="center"/>
    </xf>
    <xf numFmtId="0" fontId="45" fillId="23" borderId="20" xfId="2" applyFont="1" applyFill="1" applyBorder="1" applyAlignment="1">
      <alignment horizontal="center" vertical="center"/>
    </xf>
    <xf numFmtId="0" fontId="45" fillId="13" borderId="1" xfId="2" applyFont="1" applyFill="1" applyBorder="1" applyAlignment="1">
      <alignment horizontal="center" vertical="center"/>
    </xf>
    <xf numFmtId="0" fontId="45" fillId="13" borderId="16" xfId="2" applyFont="1" applyFill="1" applyBorder="1" applyAlignment="1">
      <alignment horizontal="center" vertical="center"/>
    </xf>
    <xf numFmtId="189" fontId="40" fillId="24" borderId="16" xfId="2" applyNumberFormat="1" applyFont="1" applyFill="1" applyBorder="1" applyAlignment="1">
      <alignment horizontal="center" vertical="center"/>
    </xf>
    <xf numFmtId="178" fontId="40" fillId="0" borderId="1" xfId="2" applyNumberFormat="1" applyFont="1" applyBorder="1" applyAlignment="1">
      <alignment horizontal="center" vertical="center"/>
    </xf>
    <xf numFmtId="178" fontId="40" fillId="26" borderId="1" xfId="2" applyNumberFormat="1" applyFont="1" applyFill="1" applyBorder="1" applyAlignment="1">
      <alignment horizontal="center" vertical="center"/>
    </xf>
    <xf numFmtId="187" fontId="49" fillId="7" borderId="1" xfId="2" applyNumberFormat="1" applyFont="1" applyFill="1" applyBorder="1" applyAlignment="1">
      <alignment vertical="center"/>
    </xf>
    <xf numFmtId="0" fontId="89" fillId="24" borderId="1" xfId="2" applyFont="1" applyFill="1" applyBorder="1" applyAlignment="1">
      <alignment horizontal="center" vertical="center"/>
    </xf>
    <xf numFmtId="0" fontId="73" fillId="25" borderId="11" xfId="2" applyFont="1" applyFill="1" applyBorder="1" applyAlignment="1">
      <alignment horizontal="center" vertical="center"/>
    </xf>
    <xf numFmtId="0" fontId="73" fillId="25" borderId="12" xfId="2" applyFont="1" applyFill="1" applyBorder="1" applyAlignment="1">
      <alignment horizontal="center" vertical="center"/>
    </xf>
    <xf numFmtId="0" fontId="73" fillId="25" borderId="13" xfId="2" applyFont="1" applyFill="1" applyBorder="1" applyAlignment="1">
      <alignment horizontal="center" vertical="center"/>
    </xf>
    <xf numFmtId="0" fontId="79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0" fillId="25" borderId="19" xfId="2" applyFont="1" applyFill="1" applyBorder="1" applyAlignment="1">
      <alignment horizontal="center" vertical="center"/>
    </xf>
    <xf numFmtId="188" fontId="82" fillId="26" borderId="43" xfId="2" applyNumberFormat="1" applyFont="1" applyFill="1" applyBorder="1" applyAlignment="1">
      <alignment horizontal="center" vertical="center"/>
    </xf>
    <xf numFmtId="0" fontId="79" fillId="10" borderId="15" xfId="2" applyFont="1" applyFill="1" applyBorder="1" applyAlignment="1">
      <alignment horizontal="center" vertical="center"/>
    </xf>
    <xf numFmtId="0" fontId="73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77" fillId="7" borderId="2" xfId="2" applyFont="1" applyFill="1" applyBorder="1" applyAlignment="1">
      <alignment horizontal="center" vertical="center"/>
    </xf>
    <xf numFmtId="0" fontId="73" fillId="25" borderId="53" xfId="2" applyFont="1" applyFill="1" applyBorder="1" applyAlignment="1">
      <alignment horizontal="center" vertical="center"/>
    </xf>
    <xf numFmtId="0" fontId="40" fillId="25" borderId="58" xfId="2" applyFont="1" applyFill="1" applyBorder="1" applyAlignment="1">
      <alignment horizontal="center" vertical="center"/>
    </xf>
    <xf numFmtId="0" fontId="40" fillId="0" borderId="42" xfId="2" applyFont="1" applyBorder="1" applyAlignment="1">
      <alignment horizontal="center" vertical="center"/>
    </xf>
    <xf numFmtId="0" fontId="89" fillId="24" borderId="7" xfId="2" applyFont="1" applyFill="1" applyBorder="1" applyAlignment="1">
      <alignment horizontal="center" vertical="center"/>
    </xf>
    <xf numFmtId="0" fontId="73" fillId="25" borderId="5" xfId="2" applyFont="1" applyFill="1" applyBorder="1" applyAlignment="1">
      <alignment horizontal="center" vertical="center"/>
    </xf>
    <xf numFmtId="181" fontId="73" fillId="0" borderId="0" xfId="2" applyNumberFormat="1" applyFont="1" applyAlignment="1">
      <alignment horizontal="center" vertical="center"/>
    </xf>
    <xf numFmtId="0" fontId="74" fillId="22" borderId="41" xfId="2" applyFont="1" applyFill="1" applyBorder="1" applyAlignment="1">
      <alignment horizontal="center" vertical="center"/>
    </xf>
    <xf numFmtId="0" fontId="79" fillId="26" borderId="55" xfId="2" applyFont="1" applyFill="1" applyBorder="1" applyAlignment="1">
      <alignment horizontal="center" vertical="center"/>
    </xf>
    <xf numFmtId="0" fontId="73" fillId="25" borderId="37" xfId="2" applyFont="1" applyFill="1" applyBorder="1" applyAlignment="1">
      <alignment horizontal="center" vertical="center"/>
    </xf>
    <xf numFmtId="0" fontId="80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3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4" fillId="26" borderId="66" xfId="5" applyFont="1" applyFill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6" fillId="25" borderId="2" xfId="2" applyFont="1" applyFill="1" applyBorder="1" applyAlignment="1">
      <alignment horizontal="center" vertical="center"/>
    </xf>
    <xf numFmtId="1" fontId="79" fillId="34" borderId="21" xfId="2" applyNumberFormat="1" applyFont="1" applyFill="1" applyBorder="1" applyAlignment="1">
      <alignment horizontal="center" vertical="center"/>
    </xf>
    <xf numFmtId="0" fontId="76" fillId="26" borderId="1" xfId="2" applyFont="1" applyFill="1" applyBorder="1" applyAlignment="1">
      <alignment horizontal="center" vertical="center"/>
    </xf>
    <xf numFmtId="0" fontId="91" fillId="0" borderId="0" xfId="2" applyFont="1" applyAlignment="1">
      <alignment horizontal="left" vertical="center"/>
    </xf>
    <xf numFmtId="0" fontId="46" fillId="0" borderId="39" xfId="2" applyFont="1" applyBorder="1" applyAlignment="1">
      <alignment horizontal="left" vertical="center"/>
    </xf>
    <xf numFmtId="0" fontId="46" fillId="0" borderId="52" xfId="2" applyFont="1" applyBorder="1" applyAlignment="1">
      <alignment vertical="center"/>
    </xf>
    <xf numFmtId="186" fontId="46" fillId="0" borderId="52" xfId="2" applyNumberFormat="1" applyFont="1" applyBorder="1"/>
    <xf numFmtId="0" fontId="46" fillId="0" borderId="37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38" xfId="2" applyFont="1" applyBorder="1" applyAlignment="1">
      <alignment horizontal="centerContinuous" vertical="center"/>
    </xf>
    <xf numFmtId="0" fontId="46" fillId="0" borderId="38" xfId="2" applyFont="1" applyBorder="1" applyAlignment="1">
      <alignment horizontal="center" vertical="center"/>
    </xf>
    <xf numFmtId="0" fontId="46" fillId="0" borderId="0" xfId="2" applyFont="1" applyAlignment="1">
      <alignment vertical="center"/>
    </xf>
    <xf numFmtId="0" fontId="47" fillId="0" borderId="38" xfId="2" applyFont="1" applyBorder="1" applyAlignment="1">
      <alignment horizontal="centerContinuous" vertical="center"/>
    </xf>
    <xf numFmtId="0" fontId="46" fillId="0" borderId="13" xfId="2" applyFont="1" applyBorder="1" applyAlignment="1">
      <alignment horizontal="centerContinuous" vertical="center"/>
    </xf>
    <xf numFmtId="186" fontId="47" fillId="0" borderId="38" xfId="2" applyNumberFormat="1" applyFont="1" applyBorder="1" applyAlignment="1">
      <alignment horizontal="centerContinuous"/>
    </xf>
    <xf numFmtId="0" fontId="46" fillId="0" borderId="21" xfId="2" applyFont="1" applyBorder="1" applyAlignment="1">
      <alignment horizontal="center" vertical="center"/>
    </xf>
    <xf numFmtId="0" fontId="46" fillId="0" borderId="13" xfId="2" applyFont="1" applyBorder="1" applyAlignment="1">
      <alignment vertical="center"/>
    </xf>
    <xf numFmtId="208" fontId="46" fillId="0" borderId="21" xfId="2" applyNumberFormat="1" applyFont="1" applyBorder="1" applyAlignment="1">
      <alignment horizontal="center" vertical="center"/>
    </xf>
    <xf numFmtId="0" fontId="46" fillId="0" borderId="22" xfId="2" applyFont="1" applyBorder="1" applyAlignment="1">
      <alignment vertical="center"/>
    </xf>
    <xf numFmtId="0" fontId="46" fillId="0" borderId="16" xfId="2" applyFont="1" applyBorder="1" applyAlignment="1">
      <alignment vertical="center"/>
    </xf>
    <xf numFmtId="202" fontId="46" fillId="0" borderId="16" xfId="2" applyNumberFormat="1" applyFont="1" applyBorder="1" applyAlignment="1">
      <alignment vertical="center"/>
    </xf>
    <xf numFmtId="208" fontId="46" fillId="0" borderId="16" xfId="2" applyNumberFormat="1" applyFont="1" applyBorder="1" applyAlignment="1">
      <alignment vertical="center"/>
    </xf>
    <xf numFmtId="0" fontId="46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1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3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1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1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2" fillId="0" borderId="68" xfId="5" applyFont="1" applyBorder="1" applyAlignment="1">
      <alignment horizontal="right" vertical="center"/>
    </xf>
    <xf numFmtId="197" fontId="83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3" fillId="12" borderId="69" xfId="5" applyNumberFormat="1" applyFont="1" applyFill="1" applyBorder="1" applyAlignment="1">
      <alignment horizontal="center" vertical="center"/>
    </xf>
    <xf numFmtId="198" fontId="84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38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38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3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38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8" fillId="5" borderId="11" xfId="2" applyFont="1" applyFill="1" applyBorder="1" applyAlignment="1">
      <alignment horizontal="center" vertical="center"/>
    </xf>
    <xf numFmtId="0" fontId="88" fillId="5" borderId="12" xfId="2" applyFont="1" applyFill="1" applyBorder="1" applyAlignment="1">
      <alignment horizontal="center" vertical="center"/>
    </xf>
    <xf numFmtId="0" fontId="88" fillId="5" borderId="20" xfId="2" applyFont="1" applyFill="1" applyBorder="1" applyAlignment="1">
      <alignment horizontal="center" vertical="center"/>
    </xf>
    <xf numFmtId="0" fontId="24" fillId="5" borderId="0" xfId="2" applyFont="1" applyFill="1" applyAlignment="1">
      <alignment horizontal="center" vertical="center"/>
    </xf>
    <xf numFmtId="0" fontId="92" fillId="32" borderId="15" xfId="2" applyFont="1" applyFill="1" applyBorder="1" applyAlignment="1">
      <alignment vertical="center"/>
    </xf>
    <xf numFmtId="1" fontId="73" fillId="4" borderId="14" xfId="2" applyNumberFormat="1" applyFont="1" applyFill="1" applyBorder="1" applyAlignment="1">
      <alignment horizontal="center" vertical="center"/>
    </xf>
    <xf numFmtId="1" fontId="90" fillId="4" borderId="14" xfId="2" applyNumberFormat="1" applyFont="1" applyFill="1" applyBorder="1" applyAlignment="1">
      <alignment horizontal="center" vertical="center"/>
    </xf>
    <xf numFmtId="1" fontId="73" fillId="4" borderId="17" xfId="2" applyNumberFormat="1" applyFont="1" applyFill="1" applyBorder="1" applyAlignment="1">
      <alignment horizontal="center" vertical="center"/>
    </xf>
    <xf numFmtId="2" fontId="73" fillId="4" borderId="67" xfId="2" applyNumberFormat="1" applyFont="1" applyFill="1" applyBorder="1" applyAlignment="1">
      <alignment horizontal="center" vertical="center"/>
    </xf>
    <xf numFmtId="2" fontId="73" fillId="4" borderId="14" xfId="2" applyNumberFormat="1" applyFont="1" applyFill="1" applyBorder="1" applyAlignment="1">
      <alignment horizontal="center" vertical="center"/>
    </xf>
    <xf numFmtId="2" fontId="73" fillId="4" borderId="17" xfId="2" applyNumberFormat="1" applyFont="1" applyFill="1" applyBorder="1" applyAlignment="1">
      <alignment horizontal="center" vertical="center"/>
    </xf>
    <xf numFmtId="2" fontId="90" fillId="25" borderId="17" xfId="2" applyNumberFormat="1" applyFont="1" applyFill="1" applyBorder="1" applyAlignment="1">
      <alignment horizontal="center" vertical="center"/>
    </xf>
    <xf numFmtId="0" fontId="73" fillId="26" borderId="6" xfId="2" applyFont="1" applyFill="1" applyBorder="1" applyAlignment="1">
      <alignment horizontal="center" vertical="center"/>
    </xf>
    <xf numFmtId="1" fontId="90" fillId="25" borderId="17" xfId="2" applyNumberFormat="1" applyFont="1" applyFill="1" applyBorder="1" applyAlignment="1">
      <alignment horizontal="center" vertical="center"/>
    </xf>
    <xf numFmtId="0" fontId="76" fillId="0" borderId="67" xfId="2" applyFont="1" applyBorder="1" applyAlignment="1">
      <alignment horizontal="center" vertical="center"/>
    </xf>
    <xf numFmtId="1" fontId="73" fillId="0" borderId="67" xfId="2" applyNumberFormat="1" applyFont="1" applyBorder="1" applyAlignment="1">
      <alignment horizontal="center" vertical="center"/>
    </xf>
    <xf numFmtId="0" fontId="76" fillId="26" borderId="0" xfId="2" applyFont="1" applyFill="1" applyAlignment="1">
      <alignment horizontal="center" vertical="center"/>
    </xf>
    <xf numFmtId="0" fontId="76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0" fontId="93" fillId="26" borderId="0" xfId="2" applyFont="1" applyFill="1" applyAlignment="1">
      <alignment horizontal="center" vertical="center"/>
    </xf>
    <xf numFmtId="0" fontId="93" fillId="0" borderId="0" xfId="2" applyFont="1" applyAlignment="1">
      <alignment horizontal="center" vertical="center"/>
    </xf>
    <xf numFmtId="207" fontId="94" fillId="0" borderId="1" xfId="2" applyNumberFormat="1" applyFont="1" applyBorder="1" applyAlignment="1">
      <alignment horizontal="center" vertical="center"/>
    </xf>
    <xf numFmtId="0" fontId="14" fillId="0" borderId="0" xfId="2" applyFont="1"/>
    <xf numFmtId="207" fontId="94" fillId="3" borderId="1" xfId="2" applyNumberFormat="1" applyFont="1" applyFill="1" applyBorder="1" applyAlignment="1">
      <alignment horizontal="center" vertical="center"/>
    </xf>
    <xf numFmtId="0" fontId="14" fillId="18" borderId="0" xfId="2" applyFont="1" applyFill="1"/>
    <xf numFmtId="181" fontId="14" fillId="18" borderId="0" xfId="2" applyNumberFormat="1" applyFont="1" applyFill="1"/>
    <xf numFmtId="208" fontId="95" fillId="0" borderId="1" xfId="2" applyNumberFormat="1" applyFont="1" applyBorder="1" applyAlignment="1">
      <alignment horizontal="center" vertical="center"/>
    </xf>
    <xf numFmtId="193" fontId="14" fillId="18" borderId="0" xfId="2" applyNumberFormat="1" applyFont="1" applyFill="1"/>
    <xf numFmtId="176" fontId="14" fillId="18" borderId="0" xfId="2" applyNumberFormat="1" applyFont="1" applyFill="1"/>
    <xf numFmtId="208" fontId="94" fillId="18" borderId="1" xfId="2" applyNumberFormat="1" applyFont="1" applyFill="1" applyBorder="1" applyAlignment="1">
      <alignment horizontal="center" vertical="center"/>
    </xf>
    <xf numFmtId="208" fontId="94" fillId="0" borderId="1" xfId="2" applyNumberFormat="1" applyFont="1" applyBorder="1" applyAlignment="1">
      <alignment horizontal="center" vertical="center"/>
    </xf>
    <xf numFmtId="196" fontId="8" fillId="0" borderId="67" xfId="5" applyNumberFormat="1" applyFont="1" applyBorder="1" applyAlignment="1">
      <alignment horizontal="center" vertical="center"/>
    </xf>
    <xf numFmtId="196" fontId="8" fillId="0" borderId="17" xfId="5" applyNumberFormat="1" applyFont="1" applyBorder="1" applyAlignment="1">
      <alignment horizontal="center" vertical="center"/>
    </xf>
    <xf numFmtId="2" fontId="8" fillId="26" borderId="37" xfId="5" applyNumberFormat="1" applyFont="1" applyFill="1" applyBorder="1" applyAlignment="1">
      <alignment horizontal="center" vertical="center"/>
    </xf>
    <xf numFmtId="2" fontId="8" fillId="26" borderId="55" xfId="5" applyNumberFormat="1" applyFont="1" applyFill="1" applyBorder="1" applyAlignment="1">
      <alignment horizontal="center" vertical="center"/>
    </xf>
    <xf numFmtId="2" fontId="77" fillId="0" borderId="1" xfId="2" applyNumberFormat="1" applyFont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40" fillId="26" borderId="39" xfId="2" applyFont="1" applyFill="1" applyBorder="1" applyAlignment="1">
      <alignment horizontal="left" vertical="center"/>
    </xf>
    <xf numFmtId="0" fontId="40" fillId="26" borderId="52" xfId="2" applyFont="1" applyFill="1" applyBorder="1" applyAlignment="1">
      <alignment horizontal="left" vertical="center"/>
    </xf>
    <xf numFmtId="0" fontId="40" fillId="26" borderId="40" xfId="2" applyFont="1" applyFill="1" applyBorder="1" applyAlignment="1">
      <alignment horizontal="left" vertical="center"/>
    </xf>
    <xf numFmtId="0" fontId="73" fillId="0" borderId="0" xfId="2" applyFont="1" applyAlignment="1">
      <alignment horizontal="left" vertical="center"/>
    </xf>
    <xf numFmtId="185" fontId="40" fillId="26" borderId="2" xfId="2" applyNumberFormat="1" applyFont="1" applyFill="1" applyBorder="1" applyAlignment="1">
      <alignment horizontal="left" vertical="center"/>
    </xf>
    <xf numFmtId="185" fontId="40" fillId="26" borderId="5" xfId="2" applyNumberFormat="1" applyFont="1" applyFill="1" applyBorder="1" applyAlignment="1">
      <alignment horizontal="left" vertical="center"/>
    </xf>
    <xf numFmtId="185" fontId="40" fillId="26" borderId="6" xfId="2" applyNumberFormat="1" applyFont="1" applyFill="1" applyBorder="1" applyAlignment="1">
      <alignment horizontal="left" vertical="center"/>
    </xf>
    <xf numFmtId="0" fontId="40" fillId="26" borderId="9" xfId="2" applyFont="1" applyFill="1" applyBorder="1" applyAlignment="1">
      <alignment horizontal="center" vertical="center"/>
    </xf>
    <xf numFmtId="0" fontId="40" fillId="26" borderId="4" xfId="2" applyFont="1" applyFill="1" applyBorder="1" applyAlignment="1">
      <alignment horizontal="center" vertical="center"/>
    </xf>
    <xf numFmtId="0" fontId="40" fillId="26" borderId="35" xfId="2" applyFont="1" applyFill="1" applyBorder="1" applyAlignment="1">
      <alignment horizontal="center" vertical="center"/>
    </xf>
    <xf numFmtId="0" fontId="40" fillId="26" borderId="2" xfId="2" applyFont="1" applyFill="1" applyBorder="1" applyAlignment="1">
      <alignment horizontal="left" vertical="center"/>
    </xf>
    <xf numFmtId="0" fontId="40" fillId="26" borderId="5" xfId="2" applyFont="1" applyFill="1" applyBorder="1" applyAlignment="1">
      <alignment horizontal="left" vertical="center"/>
    </xf>
    <xf numFmtId="0" fontId="40" fillId="26" borderId="6" xfId="2" applyFont="1" applyFill="1" applyBorder="1" applyAlignment="1">
      <alignment horizontal="left" vertical="center"/>
    </xf>
    <xf numFmtId="189" fontId="40" fillId="0" borderId="7" xfId="2" applyNumberFormat="1" applyFont="1" applyBorder="1" applyAlignment="1">
      <alignment horizontal="center" vertical="center"/>
    </xf>
    <xf numFmtId="189" fontId="40" fillId="0" borderId="8" xfId="2" applyNumberFormat="1" applyFont="1" applyBorder="1" applyAlignment="1">
      <alignment horizontal="center" vertical="center"/>
    </xf>
    <xf numFmtId="190" fontId="40" fillId="26" borderId="2" xfId="2" applyNumberFormat="1" applyFont="1" applyFill="1" applyBorder="1" applyAlignment="1">
      <alignment horizontal="center" vertical="center"/>
    </xf>
    <xf numFmtId="190" fontId="40" fillId="26" borderId="6" xfId="2" applyNumberFormat="1" applyFont="1" applyFill="1" applyBorder="1" applyAlignment="1">
      <alignment horizontal="center" vertical="center"/>
    </xf>
    <xf numFmtId="179" fontId="40" fillId="0" borderId="9" xfId="2" applyNumberFormat="1" applyFont="1" applyBorder="1" applyAlignment="1">
      <alignment horizontal="center" vertical="center"/>
    </xf>
    <xf numFmtId="179" fontId="40" fillId="0" borderId="35" xfId="2" applyNumberFormat="1" applyFont="1" applyBorder="1" applyAlignment="1">
      <alignment horizontal="center" vertical="center"/>
    </xf>
    <xf numFmtId="179" fontId="40" fillId="0" borderId="10" xfId="2" applyNumberFormat="1" applyFont="1" applyBorder="1" applyAlignment="1">
      <alignment horizontal="center" vertical="center"/>
    </xf>
    <xf numFmtId="179" fontId="40" fillId="0" borderId="36" xfId="2" applyNumberFormat="1" applyFont="1" applyBorder="1" applyAlignment="1">
      <alignment horizontal="center" vertical="center"/>
    </xf>
    <xf numFmtId="0" fontId="49" fillId="7" borderId="0" xfId="2" applyFont="1" applyFill="1" applyAlignment="1">
      <alignment horizontal="right" vertical="center"/>
    </xf>
    <xf numFmtId="14" fontId="78" fillId="23" borderId="2" xfId="2" applyNumberFormat="1" applyFont="1" applyFill="1" applyBorder="1" applyAlignment="1">
      <alignment horizontal="center" vertical="center"/>
    </xf>
    <xf numFmtId="14" fontId="78" fillId="23" borderId="5" xfId="2" applyNumberFormat="1" applyFont="1" applyFill="1" applyBorder="1" applyAlignment="1">
      <alignment horizontal="center" vertical="center"/>
    </xf>
    <xf numFmtId="14" fontId="78" fillId="23" borderId="6" xfId="2" applyNumberFormat="1" applyFont="1" applyFill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0" fontId="40" fillId="24" borderId="41" xfId="2" applyFont="1" applyFill="1" applyBorder="1" applyAlignment="1">
      <alignment horizontal="center" vertical="center"/>
    </xf>
    <xf numFmtId="0" fontId="40" fillId="24" borderId="42" xfId="2" applyFont="1" applyFill="1" applyBorder="1" applyAlignment="1">
      <alignment horizontal="center" vertical="center"/>
    </xf>
    <xf numFmtId="179" fontId="40" fillId="24" borderId="41" xfId="2" applyNumberFormat="1" applyFont="1" applyFill="1" applyBorder="1" applyAlignment="1">
      <alignment horizontal="center" vertical="center"/>
    </xf>
    <xf numFmtId="179" fontId="40" fillId="24" borderId="42" xfId="2" applyNumberFormat="1" applyFont="1" applyFill="1" applyBorder="1" applyAlignment="1">
      <alignment horizontal="center" vertical="center"/>
    </xf>
    <xf numFmtId="0" fontId="40" fillId="19" borderId="39" xfId="2" applyFont="1" applyFill="1" applyBorder="1" applyAlignment="1">
      <alignment horizontal="center" vertical="center"/>
    </xf>
    <xf numFmtId="0" fontId="40" fillId="19" borderId="40" xfId="2" applyFont="1" applyFill="1" applyBorder="1" applyAlignment="1">
      <alignment horizontal="center" vertical="center"/>
    </xf>
    <xf numFmtId="0" fontId="40" fillId="19" borderId="37" xfId="2" applyFont="1" applyFill="1" applyBorder="1" applyAlignment="1">
      <alignment horizontal="center" vertical="center"/>
    </xf>
    <xf numFmtId="179" fontId="40" fillId="0" borderId="2" xfId="2" applyNumberFormat="1" applyFont="1" applyBorder="1" applyAlignment="1">
      <alignment horizontal="center" vertical="center"/>
    </xf>
    <xf numFmtId="179" fontId="40" fillId="0" borderId="6" xfId="2" applyNumberFormat="1" applyFont="1" applyBorder="1" applyAlignment="1">
      <alignment horizontal="center" vertical="center"/>
    </xf>
    <xf numFmtId="186" fontId="23" fillId="8" borderId="1" xfId="2" applyNumberFormat="1" applyFont="1" applyFill="1" applyBorder="1" applyAlignment="1">
      <alignment horizontal="center" vertical="center"/>
    </xf>
    <xf numFmtId="221" fontId="81" fillId="32" borderId="8" xfId="2" applyNumberFormat="1" applyFont="1" applyFill="1" applyBorder="1" applyAlignment="1">
      <alignment horizontal="center" vertical="center"/>
    </xf>
    <xf numFmtId="207" fontId="46" fillId="0" borderId="1" xfId="2" applyNumberFormat="1" applyFont="1" applyBorder="1" applyAlignment="1">
      <alignment horizontal="center" vertical="center"/>
    </xf>
    <xf numFmtId="208" fontId="46" fillId="0" borderId="1" xfId="2" applyNumberFormat="1" applyFont="1" applyBorder="1" applyAlignment="1">
      <alignment horizontal="center" vertical="center"/>
    </xf>
    <xf numFmtId="0" fontId="46" fillId="0" borderId="11" xfId="2" applyFont="1" applyBorder="1" applyAlignment="1">
      <alignment horizontal="center" vertical="center"/>
    </xf>
    <xf numFmtId="0" fontId="46" fillId="0" borderId="12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201" fontId="46" fillId="0" borderId="2" xfId="2" applyNumberFormat="1" applyFont="1" applyBorder="1" applyAlignment="1">
      <alignment horizontal="center" vertical="center"/>
    </xf>
    <xf numFmtId="201" fontId="46" fillId="0" borderId="5" xfId="2" applyNumberFormat="1" applyFont="1" applyBorder="1" applyAlignment="1">
      <alignment horizontal="center" vertical="center"/>
    </xf>
    <xf numFmtId="201" fontId="46" fillId="0" borderId="6" xfId="2" applyNumberFormat="1" applyFont="1" applyBorder="1" applyAlignment="1">
      <alignment horizontal="center" vertical="center"/>
    </xf>
    <xf numFmtId="203" fontId="46" fillId="0" borderId="1" xfId="2" applyNumberFormat="1" applyFont="1" applyBorder="1" applyAlignment="1">
      <alignment horizontal="center" vertical="center"/>
    </xf>
    <xf numFmtId="204" fontId="46" fillId="0" borderId="1" xfId="2" applyNumberFormat="1" applyFont="1" applyBorder="1" applyAlignment="1">
      <alignment horizontal="center" vertical="center"/>
    </xf>
    <xf numFmtId="205" fontId="46" fillId="0" borderId="2" xfId="2" applyNumberFormat="1" applyFont="1" applyBorder="1" applyAlignment="1">
      <alignment horizontal="center" vertical="center"/>
    </xf>
    <xf numFmtId="205" fontId="46" fillId="0" borderId="5" xfId="2" applyNumberFormat="1" applyFont="1" applyBorder="1" applyAlignment="1">
      <alignment horizontal="center" vertical="center"/>
    </xf>
    <xf numFmtId="206" fontId="46" fillId="0" borderId="5" xfId="2" applyNumberFormat="1" applyFont="1" applyBorder="1" applyAlignment="1">
      <alignment horizontal="center" vertical="center"/>
    </xf>
    <xf numFmtId="202" fontId="46" fillId="0" borderId="1" xfId="2" applyNumberFormat="1" applyFont="1" applyBorder="1" applyAlignment="1">
      <alignment horizontal="center" vertical="center" wrapText="1"/>
    </xf>
    <xf numFmtId="0" fontId="46" fillId="0" borderId="1" xfId="2" applyFont="1" applyBorder="1" applyAlignment="1">
      <alignment horizontal="center" vertical="center" wrapText="1"/>
    </xf>
    <xf numFmtId="207" fontId="46" fillId="0" borderId="16" xfId="2" applyNumberFormat="1" applyFont="1" applyBorder="1" applyAlignment="1">
      <alignment horizontal="center" vertical="center"/>
    </xf>
    <xf numFmtId="208" fontId="46" fillId="0" borderId="16" xfId="2" applyNumberFormat="1" applyFont="1" applyBorder="1" applyAlignment="1">
      <alignment horizontal="center" vertical="center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0" fontId="87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 wrapText="1"/>
    </xf>
    <xf numFmtId="0" fontId="59" fillId="0" borderId="38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0" fontId="59" fillId="0" borderId="41" xfId="0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54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59" fillId="0" borderId="9" xfId="0" applyFont="1" applyBorder="1" applyAlignment="1">
      <alignment horizontal="center" vertical="center" wrapText="1"/>
    </xf>
    <xf numFmtId="0" fontId="59" fillId="0" borderId="35" xfId="0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38" xfId="2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64" fillId="0" borderId="2" xfId="0" applyFont="1" applyBorder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5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42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0" fontId="66" fillId="0" borderId="58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219" fontId="57" fillId="0" borderId="2" xfId="0" applyNumberFormat="1" applyFont="1" applyBorder="1" applyAlignment="1">
      <alignment horizontal="justify" vertical="center" wrapText="1"/>
    </xf>
    <xf numFmtId="219" fontId="57" fillId="0" borderId="5" xfId="0" applyNumberFormat="1" applyFont="1" applyBorder="1" applyAlignment="1">
      <alignment horizontal="justify" vertical="center" wrapText="1"/>
    </xf>
    <xf numFmtId="219" fontId="57" fillId="0" borderId="38" xfId="0" applyNumberFormat="1" applyFont="1" applyBorder="1" applyAlignment="1">
      <alignment horizontal="justify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57" fillId="0" borderId="40" xfId="0" applyFont="1" applyBorder="1" applyAlignment="1">
      <alignment horizontal="center" vertical="center" wrapText="1"/>
    </xf>
    <xf numFmtId="0" fontId="57" fillId="0" borderId="39" xfId="0" applyFont="1" applyBorder="1" applyAlignment="1">
      <alignment horizontal="justify" vertical="center" wrapText="1"/>
    </xf>
    <xf numFmtId="0" fontId="57" fillId="0" borderId="52" xfId="0" applyFont="1" applyBorder="1" applyAlignment="1">
      <alignment horizontal="justify" vertical="center" wrapText="1"/>
    </xf>
    <xf numFmtId="0" fontId="57" fillId="0" borderId="37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7" fillId="0" borderId="6" xfId="0" applyFont="1" applyBorder="1" applyAlignment="1">
      <alignment horizontal="left" vertical="center" wrapText="1"/>
    </xf>
    <xf numFmtId="0" fontId="57" fillId="0" borderId="2" xfId="0" applyFont="1" applyBorder="1" applyAlignment="1">
      <alignment horizontal="justify" vertical="center" wrapText="1"/>
    </xf>
    <xf numFmtId="0" fontId="57" fillId="0" borderId="5" xfId="0" applyFont="1" applyBorder="1" applyAlignment="1">
      <alignment horizontal="justify" vertical="center" wrapText="1"/>
    </xf>
    <xf numFmtId="0" fontId="57" fillId="0" borderId="38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center" vertical="center" wrapText="1"/>
    </xf>
    <xf numFmtId="0" fontId="63" fillId="0" borderId="58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55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 formatCode="\ 0.00\ ">
                  <c:v>15.06</c:v>
                </c:pt>
                <c:pt idx="21" formatCode="\ 0.00\ ">
                  <c:v>15.21</c:v>
                </c:pt>
                <c:pt idx="22" formatCode="\ 0.00\ ">
                  <c:v>15.350000000000001</c:v>
                </c:pt>
                <c:pt idx="23" formatCode="\ 0.00\ ">
                  <c:v>15.480000000000002</c:v>
                </c:pt>
                <c:pt idx="24" formatCode="\ 0.00\ ">
                  <c:v>15.610000000000003</c:v>
                </c:pt>
                <c:pt idx="25">
                  <c:v>17.87</c:v>
                </c:pt>
                <c:pt idx="26" formatCode="\ 0.00\ ">
                  <c:v>17.98</c:v>
                </c:pt>
                <c:pt idx="27">
                  <c:v>18.37</c:v>
                </c:pt>
                <c:pt idx="28" formatCode="\ 0.00\ ">
                  <c:v>18.470000000000002</c:v>
                </c:pt>
                <c:pt idx="29">
                  <c:v>18.86</c:v>
                </c:pt>
                <c:pt idx="30" formatCode="\ 0.00\ ">
                  <c:v>18.919999999999998</c:v>
                </c:pt>
                <c:pt idx="31" formatCode="\ 0.00\ ">
                  <c:v>18.97</c:v>
                </c:pt>
                <c:pt idx="32" formatCode="\ 0.00\ ">
                  <c:v>19.009999999999998</c:v>
                </c:pt>
                <c:pt idx="33" formatCode="\ 0.00\ ">
                  <c:v>19.04</c:v>
                </c:pt>
                <c:pt idx="34" formatCode="\ 0.00\ ">
                  <c:v>19.059999999999999</c:v>
                </c:pt>
                <c:pt idx="35">
                  <c:v>19.36</c:v>
                </c:pt>
                <c:pt idx="36" formatCode="\ 0.00\ ">
                  <c:v>19.43</c:v>
                </c:pt>
                <c:pt idx="37" formatCode="\ 0.00\ ">
                  <c:v>19.489999999999998</c:v>
                </c:pt>
                <c:pt idx="38" formatCode="\ 0.00\ ">
                  <c:v>19.54</c:v>
                </c:pt>
                <c:pt idx="39">
                  <c:v>19.86</c:v>
                </c:pt>
                <c:pt idx="40" formatCode="\ 0.00\ ">
                  <c:v>20.04</c:v>
                </c:pt>
                <c:pt idx="41" formatCode="\ 0.00\ ">
                  <c:v>20.2</c:v>
                </c:pt>
                <c:pt idx="42" formatCode="\ 0.00\ ">
                  <c:v>20.349999999999998</c:v>
                </c:pt>
                <c:pt idx="43" formatCode="\ 0.00\ ">
                  <c:v>20.49</c:v>
                </c:pt>
                <c:pt idx="44" formatCode="\ 0.00\ ">
                  <c:v>20.619999999999997</c:v>
                </c:pt>
                <c:pt idx="45">
                  <c:v>23.21</c:v>
                </c:pt>
                <c:pt idx="46" formatCode="\ 0.00\ ">
                  <c:v>23.32</c:v>
                </c:pt>
                <c:pt idx="47">
                  <c:v>23.77</c:v>
                </c:pt>
                <c:pt idx="48" formatCode="\ 0.00\ ">
                  <c:v>23.88</c:v>
                </c:pt>
                <c:pt idx="49">
                  <c:v>24.33</c:v>
                </c:pt>
                <c:pt idx="50" formatCode="\ 0.00\ ">
                  <c:v>24.4</c:v>
                </c:pt>
                <c:pt idx="51" formatCode="\ 0.00\ ">
                  <c:v>24.45</c:v>
                </c:pt>
                <c:pt idx="52" formatCode="\ 0.00\ ">
                  <c:v>24.49</c:v>
                </c:pt>
                <c:pt idx="53" formatCode="\ 0.00\ ">
                  <c:v>24.52</c:v>
                </c:pt>
                <c:pt idx="54" formatCode="\ 0.00\ ">
                  <c:v>24.54</c:v>
                </c:pt>
                <c:pt idx="55">
                  <c:v>24.89</c:v>
                </c:pt>
                <c:pt idx="56" formatCode="\ 0.00\ ">
                  <c:v>24.97</c:v>
                </c:pt>
                <c:pt idx="57" formatCode="\ 0.00\ ">
                  <c:v>25.029999999999998</c:v>
                </c:pt>
                <c:pt idx="58" formatCode="\ 0.00\ ">
                  <c:v>25.08</c:v>
                </c:pt>
                <c:pt idx="59">
                  <c:v>25.45</c:v>
                </c:pt>
                <c:pt idx="60" formatCode="\ 0.00\ ">
                  <c:v>25.64</c:v>
                </c:pt>
                <c:pt idx="61" formatCode="\ 0.00\ ">
                  <c:v>25.810000000000002</c:v>
                </c:pt>
                <c:pt idx="62" formatCode="\ 0.00\ ">
                  <c:v>25.970000000000002</c:v>
                </c:pt>
                <c:pt idx="63" formatCode="\ 0.00\ ">
                  <c:v>26.12</c:v>
                </c:pt>
                <c:pt idx="64" formatCode="\ 0.00\ ">
                  <c:v>26.26</c:v>
                </c:pt>
                <c:pt idx="65">
                  <c:v>29.18</c:v>
                </c:pt>
                <c:pt idx="66" formatCode="\ 0.00\ ">
                  <c:v>29.3</c:v>
                </c:pt>
                <c:pt idx="67" formatCode="\ 0.00\ ">
                  <c:v>29.81</c:v>
                </c:pt>
                <c:pt idx="68" formatCode="\ 0.00\ ">
                  <c:v>29.93</c:v>
                </c:pt>
                <c:pt idx="69" formatCode="\ 0.00\ ">
                  <c:v>30.43</c:v>
                </c:pt>
                <c:pt idx="70" formatCode="\ 0.00\ ">
                  <c:v>30.5</c:v>
                </c:pt>
                <c:pt idx="71" formatCode="\ 0.00\ ">
                  <c:v>30.55</c:v>
                </c:pt>
                <c:pt idx="72" formatCode="\ 0.00\ ">
                  <c:v>30.59</c:v>
                </c:pt>
                <c:pt idx="73" formatCode="\ 0.00\ ">
                  <c:v>30.62</c:v>
                </c:pt>
                <c:pt idx="74" formatCode="\ 0.00\ ">
                  <c:v>30.650000000000002</c:v>
                </c:pt>
                <c:pt idx="75" formatCode="\ 0.00\ ">
                  <c:v>31.05</c:v>
                </c:pt>
                <c:pt idx="76" formatCode="\ 0.00\ ">
                  <c:v>31.14</c:v>
                </c:pt>
                <c:pt idx="77" formatCode="\ 0.00\ ">
                  <c:v>31.21</c:v>
                </c:pt>
                <c:pt idx="78" formatCode="\ 0.00\ ">
                  <c:v>31.26</c:v>
                </c:pt>
                <c:pt idx="79" formatCode="\ 0.00\ ">
                  <c:v>31.68</c:v>
                </c:pt>
                <c:pt idx="80" formatCode="\ 0.00\ ">
                  <c:v>31.89</c:v>
                </c:pt>
                <c:pt idx="81" formatCode="\ 0.00\ ">
                  <c:v>32.08</c:v>
                </c:pt>
                <c:pt idx="82" formatCode="\ 0.00\ ">
                  <c:v>32.25</c:v>
                </c:pt>
                <c:pt idx="83" formatCode="\ 0.00\ ">
                  <c:v>32.409999999999997</c:v>
                </c:pt>
                <c:pt idx="84" formatCode="\ 0.00\ ">
                  <c:v>32.549999999999997</c:v>
                </c:pt>
                <c:pt idx="85" formatCode="\ 0.00\ ">
                  <c:v>35.479999999999997</c:v>
                </c:pt>
                <c:pt idx="86" formatCode="\ 0.00\ ">
                  <c:v>35.79</c:v>
                </c:pt>
                <c:pt idx="87" formatCode="\ 0.00\ ">
                  <c:v>36.9</c:v>
                </c:pt>
                <c:pt idx="88" formatCode="\ 0.00\ ">
                  <c:v>37.199999999999996</c:v>
                </c:pt>
                <c:pt idx="89" formatCode="\ 0.00\ ">
                  <c:v>38.33</c:v>
                </c:pt>
                <c:pt idx="90" formatCode="\ 0.00\ ">
                  <c:v>38.479999999999997</c:v>
                </c:pt>
                <c:pt idx="91" formatCode="\ 0.00\ ">
                  <c:v>38.61</c:v>
                </c:pt>
                <c:pt idx="92" formatCode="\ 0.00\ ">
                  <c:v>38.72</c:v>
                </c:pt>
                <c:pt idx="93" formatCode="\ 0.00\ ">
                  <c:v>38.799999999999997</c:v>
                </c:pt>
                <c:pt idx="94" formatCode="\ 0.00\ ">
                  <c:v>38.869999999999997</c:v>
                </c:pt>
                <c:pt idx="95" formatCode="\ 0.00\ ">
                  <c:v>39.75</c:v>
                </c:pt>
                <c:pt idx="96" formatCode="\ 0.00\ ">
                  <c:v>39.94</c:v>
                </c:pt>
                <c:pt idx="97" formatCode="\ 0.00\ ">
                  <c:v>40.099999999999994</c:v>
                </c:pt>
                <c:pt idx="98" formatCode="\ 0.00\ ">
                  <c:v>40.239999999999995</c:v>
                </c:pt>
                <c:pt idx="99" formatCode="\ 0.00\ ">
                  <c:v>41.18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0.15851063829787235</c:v>
                </c:pt>
                <c:pt idx="1">
                  <c:v>0.16550000000000001</c:v>
                </c:pt>
                <c:pt idx="2">
                  <c:v>0.17407660738714092</c:v>
                </c:pt>
                <c:pt idx="3">
                  <c:v>0.1841860465116279</c:v>
                </c:pt>
                <c:pt idx="4">
                  <c:v>0.20819009100101113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6997719596411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258248589372"/>
          <c:y val="7.66938148229214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80.397718987011103</c:v>
                </c:pt>
                <c:pt idx="2">
                  <c:v>76.262819448754684</c:v>
                </c:pt>
                <c:pt idx="3">
                  <c:v>72.505154442289282</c:v>
                </c:pt>
                <c:pt idx="4">
                  <c:v>69.149975787136214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14.9</c:v>
                </c:pt>
                <c:pt idx="1">
                  <c:v>19.86</c:v>
                </c:pt>
                <c:pt idx="2">
                  <c:v>25.45</c:v>
                </c:pt>
                <c:pt idx="3">
                  <c:v>31.68</c:v>
                </c:pt>
                <c:pt idx="4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0.15851063829787235</c:v>
                </c:pt>
                <c:pt idx="2">
                  <c:v>0.16550000000000001</c:v>
                </c:pt>
                <c:pt idx="3">
                  <c:v>0.17407660738714092</c:v>
                </c:pt>
                <c:pt idx="4">
                  <c:v>0.1841860465116279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6997719596411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1.0008320405404092</c:v>
                </c:pt>
                <c:pt idx="1">
                  <c:v>3.0131945887899576</c:v>
                </c:pt>
                <c:pt idx="2">
                  <c:v>4.1903512173716102</c:v>
                </c:pt>
                <c:pt idx="3">
                  <c:v>5.0255571370395025</c:v>
                </c:pt>
                <c:pt idx="4">
                  <c:v>5.6733931784201559</c:v>
                </c:pt>
                <c:pt idx="5">
                  <c:v>7.6857557266697043</c:v>
                </c:pt>
                <c:pt idx="6">
                  <c:v>8.8629123552513569</c:v>
                </c:pt>
                <c:pt idx="7">
                  <c:v>9.6981182749192492</c:v>
                </c:pt>
                <c:pt idx="8">
                  <c:v>10.345954316299903</c:v>
                </c:pt>
                <c:pt idx="9">
                  <c:v>10.875274903500905</c:v>
                </c:pt>
                <c:pt idx="10">
                  <c:v>11.322809083212903</c:v>
                </c:pt>
                <c:pt idx="11">
                  <c:v>11.710480823168798</c:v>
                </c:pt>
                <c:pt idx="12">
                  <c:v>12.052431532082558</c:v>
                </c:pt>
                <c:pt idx="13">
                  <c:v>12.358316864549451</c:v>
                </c:pt>
                <c:pt idx="14">
                  <c:v>12.635023805996163</c:v>
                </c:pt>
                <c:pt idx="15">
                  <c:v>12.88763745175045</c:v>
                </c:pt>
                <c:pt idx="16">
                  <c:v>13.535473493131104</c:v>
                </c:pt>
                <c:pt idx="17">
                  <c:v>14.064794080332106</c:v>
                </c:pt>
                <c:pt idx="18">
                  <c:v>14.512328260044104</c:v>
                </c:pt>
                <c:pt idx="19">
                  <c:v>14.899999999999999</c:v>
                </c:pt>
                <c:pt idx="20">
                  <c:v>17.587684441611579</c:v>
                </c:pt>
                <c:pt idx="21">
                  <c:v>17.862346763569093</c:v>
                </c:pt>
                <c:pt idx="22">
                  <c:v>18.118051267826949</c:v>
                </c:pt>
                <c:pt idx="23">
                  <c:v>18.793779677019714</c:v>
                </c:pt>
                <c:pt idx="24">
                  <c:v>19.86</c:v>
                </c:pt>
                <c:pt idx="25">
                  <c:v>23.803475109600303</c:v>
                </c:pt>
                <c:pt idx="26">
                  <c:v>23.980573971527765</c:v>
                </c:pt>
                <c:pt idx="27">
                  <c:v>24.150988239835694</c:v>
                </c:pt>
                <c:pt idx="28">
                  <c:v>24.626737554800155</c:v>
                </c:pt>
                <c:pt idx="29">
                  <c:v>25.45</c:v>
                </c:pt>
                <c:pt idx="30">
                  <c:v>30.297302027261232</c:v>
                </c:pt>
                <c:pt idx="31">
                  <c:v>30.438971353556276</c:v>
                </c:pt>
                <c:pt idx="32">
                  <c:v>30.576960537757209</c:v>
                </c:pt>
                <c:pt idx="33">
                  <c:v>30.970643199229634</c:v>
                </c:pt>
                <c:pt idx="34">
                  <c:v>31.68</c:v>
                </c:pt>
                <c:pt idx="35">
                  <c:v>39.942753421262388</c:v>
                </c:pt>
                <c:pt idx="36">
                  <c:v>40.066174338847254</c:v>
                </c:pt>
                <c:pt idx="37">
                  <c:v>40.187151116517363</c:v>
                </c:pt>
                <c:pt idx="38">
                  <c:v>40.536339162106891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21.589719418855754</c:v>
                </c:pt>
                <c:pt idx="1">
                  <c:v>19.395612475263647</c:v>
                </c:pt>
                <c:pt idx="2">
                  <c:v>17.424486904727953</c:v>
                </c:pt>
                <c:pt idx="3">
                  <c:v>15.653681691168593</c:v>
                </c:pt>
                <c:pt idx="4">
                  <c:v>14.062838798538074</c:v>
                </c:pt>
                <c:pt idx="5">
                  <c:v>10.196297504184882</c:v>
                </c:pt>
                <c:pt idx="6">
                  <c:v>9.4932189770901534</c:v>
                </c:pt>
                <c:pt idx="7">
                  <c:v>7.66172392243109</c:v>
                </c:pt>
                <c:pt idx="8">
                  <c:v>6.8830828788883958</c:v>
                </c:pt>
                <c:pt idx="9">
                  <c:v>6.1835730962508677</c:v>
                </c:pt>
                <c:pt idx="10">
                  <c:v>5.9665735560705189</c:v>
                </c:pt>
                <c:pt idx="11">
                  <c:v>5.7571891600318352</c:v>
                </c:pt>
                <c:pt idx="12">
                  <c:v>5.5551526706086483</c:v>
                </c:pt>
                <c:pt idx="13">
                  <c:v>5.3602062284157688</c:v>
                </c:pt>
                <c:pt idx="14">
                  <c:v>5.172101023102794</c:v>
                </c:pt>
                <c:pt idx="15">
                  <c:v>4.9905969757971835</c:v>
                </c:pt>
                <c:pt idx="16">
                  <c:v>4.8154624326913487</c:v>
                </c:pt>
                <c:pt idx="17">
                  <c:v>4.6464738693826479</c:v>
                </c:pt>
                <c:pt idx="18">
                  <c:v>4.4834156055889576</c:v>
                </c:pt>
                <c:pt idx="19">
                  <c:v>4.0277777568339355</c:v>
                </c:pt>
                <c:pt idx="20">
                  <c:v>3.8864313366369263</c:v>
                </c:pt>
                <c:pt idx="21">
                  <c:v>3.1366351094035441</c:v>
                </c:pt>
                <c:pt idx="22">
                  <c:v>2.5314945659265358</c:v>
                </c:pt>
                <c:pt idx="23">
                  <c:v>2.043101767911474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4" Type="http://schemas.openxmlformats.org/officeDocument/2006/relationships/image" Target="../media/image4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42.emf"/><Relationship Id="rId1" Type="http://schemas.openxmlformats.org/officeDocument/2006/relationships/image" Target="../media/image50.emf"/><Relationship Id="rId6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8</xdr:row>
      <xdr:rowOff>133462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8</xdr:row>
      <xdr:rowOff>152304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14</xdr:row>
      <xdr:rowOff>104677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22</xdr:row>
      <xdr:rowOff>123706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28</xdr:row>
      <xdr:rowOff>180875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34</xdr:row>
      <xdr:rowOff>171365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27</xdr:row>
      <xdr:rowOff>123514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9.emf"/><Relationship Id="rId5" Type="http://schemas.openxmlformats.org/officeDocument/2006/relationships/image" Target="../media/image38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8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340</v>
      </c>
    </row>
    <row r="22" spans="4:10" ht="18" customHeight="1">
      <c r="D22" s="3" t="s">
        <v>256</v>
      </c>
      <c r="E22" s="3" t="s">
        <v>274</v>
      </c>
      <c r="J22" s="3" t="s">
        <v>341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>
    <tabColor rgb="FFFF0000"/>
  </sheetPr>
  <dimension ref="A1:F100"/>
  <sheetViews>
    <sheetView topLeftCell="A68" zoomScaleNormal="100" workbookViewId="0">
      <selection activeCell="B29" sqref="B29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 ht="15">
      <c r="A1" s="539">
        <v>1</v>
      </c>
      <c r="B1" s="540">
        <f>F1</f>
        <v>1.72</v>
      </c>
      <c r="C1" s="540"/>
      <c r="D1" s="540"/>
      <c r="E1" s="540">
        <v>1</v>
      </c>
      <c r="F1" s="540">
        <f>StepTest!G12</f>
        <v>1.72</v>
      </c>
    </row>
    <row r="2" spans="1:6" ht="15">
      <c r="A2" s="539">
        <v>2</v>
      </c>
      <c r="B2" s="540">
        <f t="shared" ref="B2:B20" si="0">F2</f>
        <v>3.01</v>
      </c>
      <c r="C2" s="540"/>
      <c r="D2" s="540"/>
      <c r="E2" s="540">
        <v>2</v>
      </c>
      <c r="F2" s="540">
        <f>StepTest!G13</f>
        <v>3.01</v>
      </c>
    </row>
    <row r="3" spans="1:6" ht="15">
      <c r="A3" s="539">
        <v>3</v>
      </c>
      <c r="B3" s="540">
        <f>F3</f>
        <v>4.1900000000000004</v>
      </c>
      <c r="C3" s="540"/>
      <c r="D3" s="540"/>
      <c r="E3" s="540">
        <v>3</v>
      </c>
      <c r="F3" s="540">
        <f>StepTest!G14</f>
        <v>4.1900000000000004</v>
      </c>
    </row>
    <row r="4" spans="1:6" ht="15">
      <c r="A4" s="539">
        <v>4</v>
      </c>
      <c r="B4" s="540">
        <f t="shared" si="0"/>
        <v>5.0199999999999996</v>
      </c>
      <c r="C4" s="540"/>
      <c r="D4" s="540"/>
      <c r="E4" s="540">
        <v>4</v>
      </c>
      <c r="F4" s="540">
        <f>StepTest!G15</f>
        <v>5.0199999999999996</v>
      </c>
    </row>
    <row r="5" spans="1:6" ht="15">
      <c r="A5" s="539">
        <v>5</v>
      </c>
      <c r="B5" s="540">
        <f>F5</f>
        <v>5.67</v>
      </c>
      <c r="C5" s="540"/>
      <c r="D5" s="540"/>
      <c r="E5" s="540">
        <v>5</v>
      </c>
      <c r="F5" s="540">
        <f>StepTest!G16</f>
        <v>5.67</v>
      </c>
    </row>
    <row r="6" spans="1:6" ht="15">
      <c r="A6" s="539">
        <v>10</v>
      </c>
      <c r="B6" s="540">
        <f t="shared" si="0"/>
        <v>7.68</v>
      </c>
      <c r="C6" s="540"/>
      <c r="D6" s="540"/>
      <c r="E6" s="540">
        <v>10</v>
      </c>
      <c r="F6" s="540">
        <f>StepTest!G17</f>
        <v>7.68</v>
      </c>
    </row>
    <row r="7" spans="1:6" ht="15">
      <c r="A7" s="539">
        <v>15</v>
      </c>
      <c r="B7" s="540">
        <f t="shared" si="0"/>
        <v>8.86</v>
      </c>
      <c r="C7" s="540"/>
      <c r="D7" s="540"/>
      <c r="E7" s="540">
        <v>15</v>
      </c>
      <c r="F7" s="540">
        <f>StepTest!G18</f>
        <v>8.86</v>
      </c>
    </row>
    <row r="8" spans="1:6" ht="15">
      <c r="A8" s="539">
        <v>20</v>
      </c>
      <c r="B8" s="540">
        <f t="shared" si="0"/>
        <v>9.69</v>
      </c>
      <c r="C8" s="540"/>
      <c r="D8" s="540"/>
      <c r="E8" s="540">
        <v>20</v>
      </c>
      <c r="F8" s="540">
        <f>StepTest!G19</f>
        <v>9.69</v>
      </c>
    </row>
    <row r="9" spans="1:6" ht="15">
      <c r="A9" s="539">
        <v>25</v>
      </c>
      <c r="B9" s="540">
        <f t="shared" si="0"/>
        <v>10.34</v>
      </c>
      <c r="C9" s="540"/>
      <c r="D9" s="540"/>
      <c r="E9" s="540">
        <v>25</v>
      </c>
      <c r="F9" s="540">
        <f>StepTest!G20</f>
        <v>10.34</v>
      </c>
    </row>
    <row r="10" spans="1:6" ht="15">
      <c r="A10" s="539">
        <v>30</v>
      </c>
      <c r="B10" s="540">
        <f t="shared" si="0"/>
        <v>10.87</v>
      </c>
      <c r="C10" s="540"/>
      <c r="D10" s="540"/>
      <c r="E10" s="540">
        <v>30</v>
      </c>
      <c r="F10" s="540">
        <f>StepTest!G21</f>
        <v>10.87</v>
      </c>
    </row>
    <row r="11" spans="1:6" ht="15">
      <c r="A11" s="539">
        <v>35</v>
      </c>
      <c r="B11" s="540">
        <f t="shared" si="0"/>
        <v>11.32</v>
      </c>
      <c r="C11" s="540"/>
      <c r="D11" s="540"/>
      <c r="E11" s="540">
        <v>35</v>
      </c>
      <c r="F11" s="540">
        <f>StepTest!G22</f>
        <v>11.32</v>
      </c>
    </row>
    <row r="12" spans="1:6" ht="15">
      <c r="A12" s="539">
        <v>40</v>
      </c>
      <c r="B12" s="540">
        <f t="shared" si="0"/>
        <v>11.71</v>
      </c>
      <c r="C12" s="540"/>
      <c r="D12" s="540"/>
      <c r="E12" s="540">
        <v>40</v>
      </c>
      <c r="F12" s="540">
        <f>StepTest!G23</f>
        <v>11.71</v>
      </c>
    </row>
    <row r="13" spans="1:6" ht="15">
      <c r="A13" s="539">
        <v>45</v>
      </c>
      <c r="B13" s="540">
        <f t="shared" si="0"/>
        <v>12.05</v>
      </c>
      <c r="C13" s="540"/>
      <c r="D13" s="540"/>
      <c r="E13" s="540">
        <v>45</v>
      </c>
      <c r="F13" s="540">
        <f>StepTest!G24</f>
        <v>12.05</v>
      </c>
    </row>
    <row r="14" spans="1:6" ht="15">
      <c r="A14" s="539">
        <v>50</v>
      </c>
      <c r="B14" s="540">
        <f t="shared" si="0"/>
        <v>12.35</v>
      </c>
      <c r="C14" s="540"/>
      <c r="D14" s="540"/>
      <c r="E14" s="540">
        <v>50</v>
      </c>
      <c r="F14" s="540">
        <f>StepTest!G25</f>
        <v>12.35</v>
      </c>
    </row>
    <row r="15" spans="1:6" ht="15">
      <c r="A15" s="539">
        <v>55</v>
      </c>
      <c r="B15" s="540">
        <f t="shared" si="0"/>
        <v>12.63</v>
      </c>
      <c r="C15" s="540"/>
      <c r="D15" s="540"/>
      <c r="E15" s="540">
        <v>55</v>
      </c>
      <c r="F15" s="540">
        <f>StepTest!G26</f>
        <v>12.63</v>
      </c>
    </row>
    <row r="16" spans="1:6" ht="15">
      <c r="A16" s="539">
        <v>60</v>
      </c>
      <c r="B16" s="540">
        <f t="shared" si="0"/>
        <v>12.88</v>
      </c>
      <c r="C16" s="540"/>
      <c r="D16" s="540"/>
      <c r="E16" s="540">
        <v>60</v>
      </c>
      <c r="F16" s="540">
        <f>StepTest!G27</f>
        <v>12.88</v>
      </c>
    </row>
    <row r="17" spans="1:6" ht="15">
      <c r="A17" s="539">
        <v>75</v>
      </c>
      <c r="B17" s="540">
        <f t="shared" si="0"/>
        <v>13.53</v>
      </c>
      <c r="C17" s="540"/>
      <c r="D17" s="540"/>
      <c r="E17" s="540">
        <v>75</v>
      </c>
      <c r="F17" s="540">
        <f>StepTest!G28</f>
        <v>13.53</v>
      </c>
    </row>
    <row r="18" spans="1:6" ht="15">
      <c r="A18" s="539">
        <v>90</v>
      </c>
      <c r="B18" s="540">
        <f t="shared" si="0"/>
        <v>14.06</v>
      </c>
      <c r="C18" s="540"/>
      <c r="D18" s="540"/>
      <c r="E18" s="540">
        <v>90</v>
      </c>
      <c r="F18" s="540">
        <f>StepTest!G29</f>
        <v>14.06</v>
      </c>
    </row>
    <row r="19" spans="1:6" ht="15">
      <c r="A19" s="539">
        <v>105</v>
      </c>
      <c r="B19" s="540">
        <f t="shared" si="0"/>
        <v>14.51</v>
      </c>
      <c r="C19" s="540"/>
      <c r="D19" s="540"/>
      <c r="E19" s="540">
        <v>105</v>
      </c>
      <c r="F19" s="540">
        <f>StepTest!G30</f>
        <v>14.51</v>
      </c>
    </row>
    <row r="20" spans="1:6" ht="15">
      <c r="A20" s="541">
        <v>120</v>
      </c>
      <c r="B20" s="542">
        <f t="shared" si="0"/>
        <v>14.9</v>
      </c>
      <c r="C20" s="542">
        <f>B26-B20</f>
        <v>2.9700000000000006</v>
      </c>
      <c r="D20" s="543">
        <f>C20/10</f>
        <v>0.29700000000000004</v>
      </c>
      <c r="E20" s="540">
        <v>120</v>
      </c>
      <c r="F20" s="540">
        <f>StepTest!G31</f>
        <v>14.9</v>
      </c>
    </row>
    <row r="21" spans="1:6" ht="15">
      <c r="A21" s="539">
        <v>121</v>
      </c>
      <c r="B21" s="544">
        <f>B20+D21</f>
        <v>15.06</v>
      </c>
      <c r="C21" s="540"/>
      <c r="D21" s="540">
        <v>0.16</v>
      </c>
      <c r="E21" s="540">
        <v>130</v>
      </c>
      <c r="F21" s="540">
        <f>StepTest!G32</f>
        <v>17.87</v>
      </c>
    </row>
    <row r="22" spans="1:6" ht="15">
      <c r="A22" s="539">
        <v>122</v>
      </c>
      <c r="B22" s="544">
        <f>B21+D22</f>
        <v>15.21</v>
      </c>
      <c r="C22" s="540"/>
      <c r="D22" s="540">
        <v>0.15</v>
      </c>
      <c r="E22" s="540">
        <v>140</v>
      </c>
      <c r="F22" s="540">
        <f>StepTest!G33</f>
        <v>18.37</v>
      </c>
    </row>
    <row r="23" spans="1:6" ht="15">
      <c r="A23" s="539">
        <v>123</v>
      </c>
      <c r="B23" s="544">
        <f>B22+D23</f>
        <v>15.350000000000001</v>
      </c>
      <c r="C23" s="540"/>
      <c r="D23" s="540">
        <v>0.14000000000000001</v>
      </c>
      <c r="E23" s="540">
        <v>150</v>
      </c>
      <c r="F23" s="540">
        <f>StepTest!G34</f>
        <v>18.86</v>
      </c>
    </row>
    <row r="24" spans="1:6" ht="15">
      <c r="A24" s="539">
        <v>124</v>
      </c>
      <c r="B24" s="544">
        <f>B23+D24</f>
        <v>15.480000000000002</v>
      </c>
      <c r="C24" s="540"/>
      <c r="D24" s="540">
        <v>0.13</v>
      </c>
      <c r="E24" s="540">
        <v>180</v>
      </c>
      <c r="F24" s="540">
        <f>StepTest!G35</f>
        <v>19.36</v>
      </c>
    </row>
    <row r="25" spans="1:6" ht="15">
      <c r="A25" s="539">
        <v>125</v>
      </c>
      <c r="B25" s="544">
        <f>B24+D25</f>
        <v>15.610000000000003</v>
      </c>
      <c r="C25" s="540"/>
      <c r="D25" s="540">
        <v>0.13</v>
      </c>
      <c r="E25" s="540">
        <v>240</v>
      </c>
      <c r="F25" s="540">
        <f>StepTest!G36</f>
        <v>19.86</v>
      </c>
    </row>
    <row r="26" spans="1:6" ht="15">
      <c r="A26" s="539">
        <v>130</v>
      </c>
      <c r="B26" s="542">
        <f>F21</f>
        <v>17.87</v>
      </c>
      <c r="C26" s="542">
        <f>B28-B26</f>
        <v>0.5</v>
      </c>
      <c r="D26" s="542">
        <f>C26/2</f>
        <v>0.25</v>
      </c>
      <c r="E26" s="540">
        <v>250</v>
      </c>
      <c r="F26" s="540">
        <f>StepTest!G37</f>
        <v>23.21</v>
      </c>
    </row>
    <row r="27" spans="1:6" ht="15">
      <c r="A27" s="539">
        <v>135</v>
      </c>
      <c r="B27" s="544">
        <f>B26+D27</f>
        <v>17.98</v>
      </c>
      <c r="C27" s="540"/>
      <c r="D27" s="540">
        <v>0.11</v>
      </c>
      <c r="E27" s="540">
        <v>260</v>
      </c>
      <c r="F27" s="540">
        <f>StepTest!G38</f>
        <v>23.77</v>
      </c>
    </row>
    <row r="28" spans="1:6" ht="15">
      <c r="A28" s="539">
        <v>140</v>
      </c>
      <c r="B28" s="542">
        <f>F22</f>
        <v>18.37</v>
      </c>
      <c r="C28" s="542">
        <f>B30-B28</f>
        <v>0.48999999999999844</v>
      </c>
      <c r="D28" s="542">
        <f>C28/2</f>
        <v>0.24499999999999922</v>
      </c>
      <c r="E28" s="540">
        <v>270</v>
      </c>
      <c r="F28" s="540">
        <f>StepTest!G39</f>
        <v>24.33</v>
      </c>
    </row>
    <row r="29" spans="1:6" ht="15">
      <c r="A29" s="539">
        <v>145</v>
      </c>
      <c r="B29" s="544">
        <f>B28+D29</f>
        <v>18.470000000000002</v>
      </c>
      <c r="C29" s="540"/>
      <c r="D29" s="540">
        <v>0.1</v>
      </c>
      <c r="E29" s="540">
        <v>300</v>
      </c>
      <c r="F29" s="540">
        <f>StepTest!G40</f>
        <v>24.89</v>
      </c>
    </row>
    <row r="30" spans="1:6" ht="15">
      <c r="A30" s="539">
        <v>150</v>
      </c>
      <c r="B30" s="542">
        <f>F23</f>
        <v>18.86</v>
      </c>
      <c r="C30" s="542">
        <f>B36-B30</f>
        <v>0.5</v>
      </c>
      <c r="D30" s="545">
        <f>C30/6</f>
        <v>8.3333333333333329E-2</v>
      </c>
      <c r="E30" s="540">
        <v>360</v>
      </c>
      <c r="F30" s="540">
        <f>StepTest!G41</f>
        <v>25.45</v>
      </c>
    </row>
    <row r="31" spans="1:6" ht="15">
      <c r="A31" s="539">
        <v>155</v>
      </c>
      <c r="B31" s="544">
        <f>B30+D31</f>
        <v>18.919999999999998</v>
      </c>
      <c r="C31" s="540"/>
      <c r="D31" s="540">
        <v>0.06</v>
      </c>
      <c r="E31" s="540"/>
      <c r="F31" s="540"/>
    </row>
    <row r="32" spans="1:6" ht="15">
      <c r="A32" s="539">
        <v>160</v>
      </c>
      <c r="B32" s="544">
        <f t="shared" ref="B32:B39" si="1">B31+D32</f>
        <v>18.97</v>
      </c>
      <c r="C32" s="540"/>
      <c r="D32" s="540">
        <v>0.05</v>
      </c>
      <c r="E32" s="540"/>
      <c r="F32" s="540"/>
    </row>
    <row r="33" spans="1:6" ht="15">
      <c r="A33" s="539">
        <v>165</v>
      </c>
      <c r="B33" s="544">
        <f t="shared" si="1"/>
        <v>19.009999999999998</v>
      </c>
      <c r="C33" s="540"/>
      <c r="D33" s="540">
        <v>0.04</v>
      </c>
      <c r="E33" s="540"/>
      <c r="F33" s="540"/>
    </row>
    <row r="34" spans="1:6" ht="15">
      <c r="A34" s="539">
        <v>170</v>
      </c>
      <c r="B34" s="544">
        <f t="shared" si="1"/>
        <v>19.04</v>
      </c>
      <c r="C34" s="540"/>
      <c r="D34" s="540">
        <v>0.03</v>
      </c>
      <c r="E34" s="540"/>
      <c r="F34" s="540"/>
    </row>
    <row r="35" spans="1:6" ht="15">
      <c r="A35" s="539">
        <v>175</v>
      </c>
      <c r="B35" s="544">
        <f t="shared" si="1"/>
        <v>19.059999999999999</v>
      </c>
      <c r="C35" s="540"/>
      <c r="D35" s="540">
        <v>0.02</v>
      </c>
      <c r="E35" s="540"/>
      <c r="F35" s="540"/>
    </row>
    <row r="36" spans="1:6" ht="15">
      <c r="A36" s="539">
        <v>180</v>
      </c>
      <c r="B36" s="542">
        <f>F24</f>
        <v>19.36</v>
      </c>
      <c r="C36" s="542">
        <f>B40-B36</f>
        <v>0.5</v>
      </c>
      <c r="D36" s="542">
        <f>C36/4</f>
        <v>0.125</v>
      </c>
      <c r="E36" s="540"/>
      <c r="F36" s="540"/>
    </row>
    <row r="37" spans="1:6" ht="15">
      <c r="A37" s="539">
        <v>195</v>
      </c>
      <c r="B37" s="544">
        <f t="shared" si="1"/>
        <v>19.43</v>
      </c>
      <c r="C37" s="540"/>
      <c r="D37" s="540">
        <v>7.0000000000000007E-2</v>
      </c>
      <c r="E37" s="540"/>
      <c r="F37" s="540"/>
    </row>
    <row r="38" spans="1:6" ht="15">
      <c r="A38" s="539">
        <v>210</v>
      </c>
      <c r="B38" s="544">
        <f t="shared" si="1"/>
        <v>19.489999999999998</v>
      </c>
      <c r="C38" s="540"/>
      <c r="D38" s="540">
        <v>0.06</v>
      </c>
      <c r="E38" s="540"/>
      <c r="F38" s="540"/>
    </row>
    <row r="39" spans="1:6" ht="15">
      <c r="A39" s="539">
        <v>225</v>
      </c>
      <c r="B39" s="544">
        <f t="shared" si="1"/>
        <v>19.54</v>
      </c>
      <c r="C39" s="540"/>
      <c r="D39" s="540">
        <v>0.05</v>
      </c>
      <c r="E39" s="540"/>
      <c r="F39" s="540"/>
    </row>
    <row r="40" spans="1:6" ht="15">
      <c r="A40" s="541">
        <v>240</v>
      </c>
      <c r="B40" s="542">
        <f>F25</f>
        <v>19.86</v>
      </c>
      <c r="C40" s="542">
        <f>B46-B40</f>
        <v>3.3500000000000014</v>
      </c>
      <c r="D40" s="543">
        <f>C40/10</f>
        <v>0.33500000000000013</v>
      </c>
      <c r="E40" s="540"/>
      <c r="F40" s="540"/>
    </row>
    <row r="41" spans="1:6" ht="15">
      <c r="A41" s="539">
        <v>241</v>
      </c>
      <c r="B41" s="544">
        <f>B40+D41</f>
        <v>20.04</v>
      </c>
      <c r="C41" s="540"/>
      <c r="D41" s="540">
        <v>0.18</v>
      </c>
      <c r="E41" s="540"/>
      <c r="F41" s="540"/>
    </row>
    <row r="42" spans="1:6" ht="15">
      <c r="A42" s="539">
        <v>242</v>
      </c>
      <c r="B42" s="544">
        <f>B41+D42</f>
        <v>20.2</v>
      </c>
      <c r="C42" s="540"/>
      <c r="D42" s="540">
        <v>0.16</v>
      </c>
      <c r="E42" s="540"/>
      <c r="F42" s="540"/>
    </row>
    <row r="43" spans="1:6" ht="15">
      <c r="A43" s="539">
        <v>243</v>
      </c>
      <c r="B43" s="544">
        <f>B42+D43</f>
        <v>20.349999999999998</v>
      </c>
      <c r="C43" s="540"/>
      <c r="D43" s="540">
        <v>0.15</v>
      </c>
      <c r="E43" s="540"/>
      <c r="F43" s="540"/>
    </row>
    <row r="44" spans="1:6" ht="15">
      <c r="A44" s="539">
        <v>244</v>
      </c>
      <c r="B44" s="544">
        <f>B43+D44</f>
        <v>20.49</v>
      </c>
      <c r="C44" s="540"/>
      <c r="D44" s="540">
        <v>0.14000000000000001</v>
      </c>
      <c r="E44" s="540"/>
      <c r="F44" s="540"/>
    </row>
    <row r="45" spans="1:6" ht="15">
      <c r="A45" s="539">
        <v>245</v>
      </c>
      <c r="B45" s="544">
        <f>B44+D45</f>
        <v>20.619999999999997</v>
      </c>
      <c r="C45" s="540"/>
      <c r="D45" s="540">
        <v>0.13</v>
      </c>
      <c r="E45" s="540"/>
      <c r="F45" s="540"/>
    </row>
    <row r="46" spans="1:6" ht="15">
      <c r="A46" s="539">
        <v>250</v>
      </c>
      <c r="B46" s="542">
        <f>F26</f>
        <v>23.21</v>
      </c>
      <c r="C46" s="542">
        <f>B48-B46</f>
        <v>0.55999999999999872</v>
      </c>
      <c r="D46" s="542">
        <f>C46/2</f>
        <v>0.27999999999999936</v>
      </c>
      <c r="E46" s="540"/>
      <c r="F46" s="540"/>
    </row>
    <row r="47" spans="1:6" ht="15">
      <c r="A47" s="539">
        <v>255</v>
      </c>
      <c r="B47" s="544">
        <f>B46+D47</f>
        <v>23.32</v>
      </c>
      <c r="C47" s="540"/>
      <c r="D47" s="540">
        <v>0.11</v>
      </c>
      <c r="E47" s="540"/>
      <c r="F47" s="540"/>
    </row>
    <row r="48" spans="1:6" ht="15">
      <c r="A48" s="539">
        <v>260</v>
      </c>
      <c r="B48" s="542">
        <f>F27</f>
        <v>23.77</v>
      </c>
      <c r="C48" s="542">
        <f>B50-B48</f>
        <v>0.55999999999999872</v>
      </c>
      <c r="D48" s="542">
        <f>C48/2</f>
        <v>0.27999999999999936</v>
      </c>
      <c r="E48" s="540"/>
      <c r="F48" s="540"/>
    </row>
    <row r="49" spans="1:6" ht="15">
      <c r="A49" s="539">
        <v>265</v>
      </c>
      <c r="B49" s="544">
        <f>B48+D49</f>
        <v>23.88</v>
      </c>
      <c r="C49" s="540"/>
      <c r="D49" s="540">
        <v>0.11</v>
      </c>
      <c r="E49" s="540"/>
      <c r="F49" s="540"/>
    </row>
    <row r="50" spans="1:6" ht="15">
      <c r="A50" s="539">
        <v>270</v>
      </c>
      <c r="B50" s="542">
        <f>F28</f>
        <v>24.33</v>
      </c>
      <c r="C50" s="542">
        <f>B56-B50</f>
        <v>0.56000000000000227</v>
      </c>
      <c r="D50" s="545">
        <f>C50/6</f>
        <v>9.3333333333333712E-2</v>
      </c>
      <c r="E50" s="540"/>
      <c r="F50" s="540"/>
    </row>
    <row r="51" spans="1:6" ht="15">
      <c r="A51" s="539">
        <v>275</v>
      </c>
      <c r="B51" s="544">
        <f>B50+D51</f>
        <v>24.4</v>
      </c>
      <c r="C51" s="540"/>
      <c r="D51" s="540">
        <v>7.0000000000000007E-2</v>
      </c>
      <c r="E51" s="540"/>
      <c r="F51" s="540"/>
    </row>
    <row r="52" spans="1:6" ht="15">
      <c r="A52" s="539">
        <v>280</v>
      </c>
      <c r="B52" s="544">
        <f>B51+D52</f>
        <v>24.45</v>
      </c>
      <c r="C52" s="540"/>
      <c r="D52" s="540">
        <v>0.05</v>
      </c>
      <c r="E52" s="540"/>
      <c r="F52" s="540"/>
    </row>
    <row r="53" spans="1:6" ht="15">
      <c r="A53" s="539">
        <v>285</v>
      </c>
      <c r="B53" s="544">
        <f>B52+D53</f>
        <v>24.49</v>
      </c>
      <c r="C53" s="540"/>
      <c r="D53" s="540">
        <v>0.04</v>
      </c>
      <c r="E53" s="540"/>
      <c r="F53" s="540"/>
    </row>
    <row r="54" spans="1:6" ht="15">
      <c r="A54" s="539">
        <v>290</v>
      </c>
      <c r="B54" s="544">
        <f>B53+D54</f>
        <v>24.52</v>
      </c>
      <c r="C54" s="540"/>
      <c r="D54" s="540">
        <v>0.03</v>
      </c>
      <c r="E54" s="540"/>
      <c r="F54" s="540"/>
    </row>
    <row r="55" spans="1:6" ht="15">
      <c r="A55" s="539">
        <v>295</v>
      </c>
      <c r="B55" s="544">
        <f>B54+D55</f>
        <v>24.54</v>
      </c>
      <c r="C55" s="540"/>
      <c r="D55" s="540">
        <v>0.02</v>
      </c>
      <c r="E55" s="540"/>
      <c r="F55" s="540"/>
    </row>
    <row r="56" spans="1:6" ht="15">
      <c r="A56" s="539">
        <v>300</v>
      </c>
      <c r="B56" s="542">
        <f>F29</f>
        <v>24.89</v>
      </c>
      <c r="C56" s="542">
        <f>B60-B56</f>
        <v>0.55999999999999872</v>
      </c>
      <c r="D56" s="542">
        <f>C56/4</f>
        <v>0.13999999999999968</v>
      </c>
      <c r="E56" s="540"/>
      <c r="F56" s="540"/>
    </row>
    <row r="57" spans="1:6" ht="15">
      <c r="A57" s="539">
        <v>315</v>
      </c>
      <c r="B57" s="544">
        <f>B56+D57</f>
        <v>24.97</v>
      </c>
      <c r="C57" s="540"/>
      <c r="D57" s="540">
        <v>0.08</v>
      </c>
      <c r="E57" s="540"/>
      <c r="F57" s="540"/>
    </row>
    <row r="58" spans="1:6" ht="15">
      <c r="A58" s="539">
        <v>330</v>
      </c>
      <c r="B58" s="544">
        <f>B57+D58</f>
        <v>25.029999999999998</v>
      </c>
      <c r="C58" s="540"/>
      <c r="D58" s="540">
        <v>0.06</v>
      </c>
      <c r="E58" s="540"/>
      <c r="F58" s="540"/>
    </row>
    <row r="59" spans="1:6" ht="15">
      <c r="A59" s="539">
        <v>345</v>
      </c>
      <c r="B59" s="544">
        <f>B58+D59</f>
        <v>25.08</v>
      </c>
      <c r="C59" s="540"/>
      <c r="D59" s="540">
        <v>0.05</v>
      </c>
      <c r="E59" s="540"/>
      <c r="F59" s="540"/>
    </row>
    <row r="60" spans="1:6" ht="15">
      <c r="A60" s="541">
        <v>360</v>
      </c>
      <c r="B60" s="542">
        <f>F30</f>
        <v>25.45</v>
      </c>
      <c r="C60" s="542">
        <f>B66-B60</f>
        <v>3.7300000000000004</v>
      </c>
      <c r="D60" s="543">
        <f>C60/10</f>
        <v>0.37300000000000005</v>
      </c>
      <c r="E60" s="540"/>
      <c r="F60" s="540"/>
    </row>
    <row r="61" spans="1:6" ht="15">
      <c r="A61" s="539">
        <v>361</v>
      </c>
      <c r="B61" s="544">
        <f>B60+D61</f>
        <v>25.64</v>
      </c>
      <c r="C61" s="540"/>
      <c r="D61" s="540">
        <v>0.19</v>
      </c>
      <c r="E61" s="540"/>
      <c r="F61" s="540"/>
    </row>
    <row r="62" spans="1:6" ht="15">
      <c r="A62" s="539">
        <v>362</v>
      </c>
      <c r="B62" s="544">
        <f>B61+D62</f>
        <v>25.810000000000002</v>
      </c>
      <c r="C62" s="540"/>
      <c r="D62" s="540">
        <v>0.17</v>
      </c>
      <c r="E62" s="540"/>
      <c r="F62" s="540"/>
    </row>
    <row r="63" spans="1:6" ht="15">
      <c r="A63" s="539">
        <v>363</v>
      </c>
      <c r="B63" s="544">
        <f>B62+D63</f>
        <v>25.970000000000002</v>
      </c>
      <c r="C63" s="540"/>
      <c r="D63" s="540">
        <v>0.16</v>
      </c>
      <c r="E63" s="540">
        <v>370</v>
      </c>
      <c r="F63" s="540">
        <f>StepTest!G42</f>
        <v>29.18</v>
      </c>
    </row>
    <row r="64" spans="1:6" ht="15">
      <c r="A64" s="539">
        <v>364</v>
      </c>
      <c r="B64" s="544">
        <f>B63+D64</f>
        <v>26.12</v>
      </c>
      <c r="C64" s="540"/>
      <c r="D64" s="540">
        <v>0.15</v>
      </c>
      <c r="E64" s="540">
        <v>380</v>
      </c>
      <c r="F64" s="540">
        <f>StepTest!G43</f>
        <v>29.81</v>
      </c>
    </row>
    <row r="65" spans="1:6" ht="15">
      <c r="A65" s="539">
        <v>365</v>
      </c>
      <c r="B65" s="544">
        <f>B64+D65</f>
        <v>26.26</v>
      </c>
      <c r="C65" s="540"/>
      <c r="D65" s="540">
        <v>0.14000000000000001</v>
      </c>
      <c r="E65" s="540">
        <v>390</v>
      </c>
      <c r="F65" s="540">
        <f>StepTest!G44</f>
        <v>30.43</v>
      </c>
    </row>
    <row r="66" spans="1:6" ht="15">
      <c r="A66" s="539">
        <v>370</v>
      </c>
      <c r="B66" s="542">
        <f>F63</f>
        <v>29.18</v>
      </c>
      <c r="C66" s="546">
        <f>B68-B66</f>
        <v>0.62999999999999901</v>
      </c>
      <c r="D66" s="542">
        <f>C66/2</f>
        <v>0.3149999999999995</v>
      </c>
      <c r="E66" s="540">
        <v>420</v>
      </c>
      <c r="F66" s="540">
        <f>StepTest!G45</f>
        <v>31.05</v>
      </c>
    </row>
    <row r="67" spans="1:6" ht="15">
      <c r="A67" s="539">
        <v>375</v>
      </c>
      <c r="B67" s="544">
        <f>B66+D67</f>
        <v>29.3</v>
      </c>
      <c r="C67" s="540"/>
      <c r="D67" s="540">
        <v>0.12</v>
      </c>
      <c r="E67" s="540">
        <v>480</v>
      </c>
      <c r="F67" s="540">
        <f>StepTest!G46</f>
        <v>31.68</v>
      </c>
    </row>
    <row r="68" spans="1:6" ht="15">
      <c r="A68" s="539">
        <v>380</v>
      </c>
      <c r="B68" s="547">
        <f>F64</f>
        <v>29.81</v>
      </c>
      <c r="C68" s="542">
        <f>B70-B68</f>
        <v>0.62000000000000099</v>
      </c>
      <c r="D68" s="542">
        <f>C68/2</f>
        <v>0.3100000000000005</v>
      </c>
      <c r="E68" s="540">
        <v>490</v>
      </c>
      <c r="F68" s="540">
        <f>StepTest!G47</f>
        <v>35.479999999999997</v>
      </c>
    </row>
    <row r="69" spans="1:6" ht="15">
      <c r="A69" s="539">
        <v>385</v>
      </c>
      <c r="B69" s="544">
        <f>B68+D69</f>
        <v>29.93</v>
      </c>
      <c r="C69" s="540"/>
      <c r="D69" s="540">
        <v>0.12</v>
      </c>
      <c r="E69" s="540">
        <v>500</v>
      </c>
      <c r="F69" s="540">
        <f>StepTest!G48</f>
        <v>36.9</v>
      </c>
    </row>
    <row r="70" spans="1:6" ht="15">
      <c r="A70" s="539">
        <v>390</v>
      </c>
      <c r="B70" s="547">
        <f>F65</f>
        <v>30.43</v>
      </c>
      <c r="C70" s="542">
        <f>B76-B70</f>
        <v>0.62000000000000099</v>
      </c>
      <c r="D70" s="545">
        <f>C70/6</f>
        <v>0.1033333333333335</v>
      </c>
      <c r="E70" s="540">
        <v>510</v>
      </c>
      <c r="F70" s="540">
        <f>StepTest!G49</f>
        <v>38.33</v>
      </c>
    </row>
    <row r="71" spans="1:6" ht="15">
      <c r="A71" s="539">
        <v>395</v>
      </c>
      <c r="B71" s="544">
        <f>B70+D71</f>
        <v>30.5</v>
      </c>
      <c r="C71" s="540"/>
      <c r="D71" s="540">
        <v>7.0000000000000007E-2</v>
      </c>
      <c r="E71" s="540">
        <v>540</v>
      </c>
      <c r="F71" s="540">
        <f>StepTest!G50</f>
        <v>39.75</v>
      </c>
    </row>
    <row r="72" spans="1:6" ht="15">
      <c r="A72" s="539">
        <v>400</v>
      </c>
      <c r="B72" s="544">
        <f>B71+D72</f>
        <v>30.55</v>
      </c>
      <c r="C72" s="540"/>
      <c r="D72" s="540">
        <v>0.05</v>
      </c>
      <c r="E72" s="540">
        <v>600</v>
      </c>
      <c r="F72" s="540">
        <f>StepTest!G51</f>
        <v>41.18</v>
      </c>
    </row>
    <row r="73" spans="1:6" ht="15">
      <c r="A73" s="539">
        <v>405</v>
      </c>
      <c r="B73" s="544">
        <f>B72+D73</f>
        <v>30.59</v>
      </c>
      <c r="C73" s="540"/>
      <c r="D73" s="540">
        <v>0.04</v>
      </c>
      <c r="E73" s="540"/>
      <c r="F73" s="540"/>
    </row>
    <row r="74" spans="1:6" ht="15">
      <c r="A74" s="539">
        <v>410</v>
      </c>
      <c r="B74" s="544">
        <f>B73+D74</f>
        <v>30.62</v>
      </c>
      <c r="C74" s="540"/>
      <c r="D74" s="540">
        <v>0.03</v>
      </c>
      <c r="E74" s="540"/>
      <c r="F74" s="540"/>
    </row>
    <row r="75" spans="1:6" ht="15">
      <c r="A75" s="539">
        <v>415</v>
      </c>
      <c r="B75" s="544">
        <f>B74+D75</f>
        <v>30.650000000000002</v>
      </c>
      <c r="C75" s="540"/>
      <c r="D75" s="540">
        <v>0.03</v>
      </c>
      <c r="E75" s="540"/>
      <c r="F75" s="540"/>
    </row>
    <row r="76" spans="1:6" ht="15">
      <c r="A76" s="539">
        <v>420</v>
      </c>
      <c r="B76" s="547">
        <f>F66</f>
        <v>31.05</v>
      </c>
      <c r="C76" s="542">
        <f>B80-B76</f>
        <v>0.62999999999999901</v>
      </c>
      <c r="D76" s="542">
        <f>C76/4</f>
        <v>0.15749999999999975</v>
      </c>
      <c r="E76" s="540"/>
      <c r="F76" s="540"/>
    </row>
    <row r="77" spans="1:6" ht="15">
      <c r="A77" s="539">
        <v>435</v>
      </c>
      <c r="B77" s="544">
        <f>B76+D77</f>
        <v>31.14</v>
      </c>
      <c r="C77" s="540"/>
      <c r="D77" s="540">
        <v>0.09</v>
      </c>
      <c r="E77" s="540"/>
      <c r="F77" s="540"/>
    </row>
    <row r="78" spans="1:6" ht="15">
      <c r="A78" s="539">
        <v>450</v>
      </c>
      <c r="B78" s="544">
        <f>B77+D78</f>
        <v>31.21</v>
      </c>
      <c r="C78" s="540"/>
      <c r="D78" s="540">
        <v>7.0000000000000007E-2</v>
      </c>
      <c r="E78" s="540"/>
      <c r="F78" s="540"/>
    </row>
    <row r="79" spans="1:6" ht="15">
      <c r="A79" s="539">
        <v>465</v>
      </c>
      <c r="B79" s="544">
        <f>B78+D79</f>
        <v>31.26</v>
      </c>
      <c r="C79" s="540"/>
      <c r="D79" s="540">
        <v>0.05</v>
      </c>
      <c r="E79" s="540"/>
      <c r="F79" s="540"/>
    </row>
    <row r="80" spans="1:6" ht="15">
      <c r="A80" s="541">
        <v>480</v>
      </c>
      <c r="B80" s="547">
        <f>F67</f>
        <v>31.68</v>
      </c>
      <c r="C80" s="542">
        <f>B86-B80</f>
        <v>3.7999999999999972</v>
      </c>
      <c r="D80" s="543">
        <f>C80/10</f>
        <v>0.37999999999999973</v>
      </c>
      <c r="E80" s="540"/>
      <c r="F80" s="540"/>
    </row>
    <row r="81" spans="1:6" ht="15">
      <c r="A81" s="539">
        <v>481</v>
      </c>
      <c r="B81" s="544">
        <f>B80+D81</f>
        <v>31.89</v>
      </c>
      <c r="C81" s="540"/>
      <c r="D81" s="540">
        <v>0.21</v>
      </c>
      <c r="E81" s="540"/>
      <c r="F81" s="540"/>
    </row>
    <row r="82" spans="1:6" ht="15">
      <c r="A82" s="539">
        <v>482</v>
      </c>
      <c r="B82" s="544">
        <f>B81+D82</f>
        <v>32.08</v>
      </c>
      <c r="C82" s="540"/>
      <c r="D82" s="540">
        <v>0.19</v>
      </c>
      <c r="E82" s="540"/>
      <c r="F82" s="540"/>
    </row>
    <row r="83" spans="1:6" ht="15">
      <c r="A83" s="539">
        <v>483</v>
      </c>
      <c r="B83" s="544">
        <f>B82+D83</f>
        <v>32.25</v>
      </c>
      <c r="C83" s="540"/>
      <c r="D83" s="540">
        <v>0.17</v>
      </c>
      <c r="E83" s="540"/>
      <c r="F83" s="540"/>
    </row>
    <row r="84" spans="1:6" ht="15">
      <c r="A84" s="539">
        <v>484</v>
      </c>
      <c r="B84" s="544">
        <f>B83+D84</f>
        <v>32.409999999999997</v>
      </c>
      <c r="C84" s="540"/>
      <c r="D84" s="540">
        <v>0.16</v>
      </c>
      <c r="E84" s="540"/>
      <c r="F84" s="540"/>
    </row>
    <row r="85" spans="1:6" ht="15">
      <c r="A85" s="539">
        <v>485</v>
      </c>
      <c r="B85" s="544">
        <f>B84+D85</f>
        <v>32.549999999999997</v>
      </c>
      <c r="C85" s="540"/>
      <c r="D85" s="540">
        <v>0.14000000000000001</v>
      </c>
      <c r="E85" s="540"/>
      <c r="F85" s="540"/>
    </row>
    <row r="86" spans="1:6" ht="15">
      <c r="A86" s="539">
        <v>490</v>
      </c>
      <c r="B86" s="547">
        <f>F68</f>
        <v>35.479999999999997</v>
      </c>
      <c r="C86" s="542">
        <f>B88-B86</f>
        <v>1.4200000000000017</v>
      </c>
      <c r="D86" s="542">
        <f>C86/2</f>
        <v>0.71000000000000085</v>
      </c>
      <c r="E86" s="540"/>
      <c r="F86" s="540"/>
    </row>
    <row r="87" spans="1:6" ht="15">
      <c r="A87" s="539">
        <v>495</v>
      </c>
      <c r="B87" s="544">
        <f>B86+D87</f>
        <v>35.79</v>
      </c>
      <c r="C87" s="540"/>
      <c r="D87" s="540">
        <v>0.31</v>
      </c>
      <c r="E87" s="540"/>
      <c r="F87" s="540"/>
    </row>
    <row r="88" spans="1:6" ht="15">
      <c r="A88" s="539">
        <v>500</v>
      </c>
      <c r="B88" s="547">
        <f>F69</f>
        <v>36.9</v>
      </c>
      <c r="C88" s="542">
        <f>B90-B88</f>
        <v>1.4299999999999997</v>
      </c>
      <c r="D88" s="542">
        <f>C88/2</f>
        <v>0.71499999999999986</v>
      </c>
      <c r="E88" s="540"/>
      <c r="F88" s="540"/>
    </row>
    <row r="89" spans="1:6" ht="15">
      <c r="A89" s="539">
        <v>505</v>
      </c>
      <c r="B89" s="544">
        <f>B88+D89</f>
        <v>37.199999999999996</v>
      </c>
      <c r="C89" s="540"/>
      <c r="D89" s="540">
        <v>0.3</v>
      </c>
      <c r="E89" s="540"/>
      <c r="F89" s="540"/>
    </row>
    <row r="90" spans="1:6" ht="15">
      <c r="A90" s="539">
        <v>510</v>
      </c>
      <c r="B90" s="547">
        <f>F70</f>
        <v>38.33</v>
      </c>
      <c r="C90" s="542">
        <f>B96-B90</f>
        <v>1.4200000000000017</v>
      </c>
      <c r="D90" s="545">
        <f>C90/6</f>
        <v>0.23666666666666694</v>
      </c>
      <c r="E90" s="540"/>
      <c r="F90" s="540"/>
    </row>
    <row r="91" spans="1:6" ht="15">
      <c r="A91" s="539">
        <v>515</v>
      </c>
      <c r="B91" s="544">
        <f>B90+D91</f>
        <v>38.479999999999997</v>
      </c>
      <c r="C91" s="540"/>
      <c r="D91" s="540">
        <v>0.15</v>
      </c>
      <c r="E91" s="540"/>
      <c r="F91" s="540"/>
    </row>
    <row r="92" spans="1:6" ht="15">
      <c r="A92" s="539">
        <v>520</v>
      </c>
      <c r="B92" s="544">
        <f>B91+D92</f>
        <v>38.61</v>
      </c>
      <c r="C92" s="540"/>
      <c r="D92" s="540">
        <v>0.13</v>
      </c>
      <c r="E92" s="540"/>
      <c r="F92" s="540"/>
    </row>
    <row r="93" spans="1:6" ht="15">
      <c r="A93" s="539">
        <v>525</v>
      </c>
      <c r="B93" s="544">
        <f>B92+D93</f>
        <v>38.72</v>
      </c>
      <c r="C93" s="540"/>
      <c r="D93" s="540">
        <v>0.11</v>
      </c>
      <c r="E93" s="540"/>
      <c r="F93" s="540"/>
    </row>
    <row r="94" spans="1:6" ht="15">
      <c r="A94" s="539">
        <v>530</v>
      </c>
      <c r="B94" s="544">
        <f>B93+D94</f>
        <v>38.799999999999997</v>
      </c>
      <c r="C94" s="540"/>
      <c r="D94" s="540">
        <v>0.08</v>
      </c>
      <c r="E94" s="540"/>
      <c r="F94" s="540"/>
    </row>
    <row r="95" spans="1:6" ht="15">
      <c r="A95" s="539">
        <v>535</v>
      </c>
      <c r="B95" s="544">
        <f>B94+D95</f>
        <v>38.869999999999997</v>
      </c>
      <c r="C95" s="540"/>
      <c r="D95" s="540">
        <v>7.0000000000000007E-2</v>
      </c>
      <c r="E95" s="540"/>
      <c r="F95" s="540"/>
    </row>
    <row r="96" spans="1:6" ht="15">
      <c r="A96" s="539">
        <v>540</v>
      </c>
      <c r="B96" s="547">
        <f>F71</f>
        <v>39.75</v>
      </c>
      <c r="C96" s="542">
        <f>B100-B96</f>
        <v>1.4299999999999997</v>
      </c>
      <c r="D96" s="542">
        <f>C96/4</f>
        <v>0.35749999999999993</v>
      </c>
      <c r="E96" s="540"/>
      <c r="F96" s="540"/>
    </row>
    <row r="97" spans="1:6" ht="15">
      <c r="A97" s="539">
        <v>555</v>
      </c>
      <c r="B97" s="544">
        <f>B96+D97</f>
        <v>39.94</v>
      </c>
      <c r="C97" s="540"/>
      <c r="D97" s="540">
        <v>0.19</v>
      </c>
      <c r="E97" s="540"/>
      <c r="F97" s="540"/>
    </row>
    <row r="98" spans="1:6" ht="15">
      <c r="A98" s="539">
        <v>570</v>
      </c>
      <c r="B98" s="544">
        <f>B97+D98</f>
        <v>40.099999999999994</v>
      </c>
      <c r="C98" s="540"/>
      <c r="D98" s="540">
        <v>0.16</v>
      </c>
      <c r="E98" s="540"/>
      <c r="F98" s="540"/>
    </row>
    <row r="99" spans="1:6" ht="15">
      <c r="A99" s="539">
        <v>585</v>
      </c>
      <c r="B99" s="544">
        <f>B98+D99</f>
        <v>40.239999999999995</v>
      </c>
      <c r="C99" s="540"/>
      <c r="D99" s="540">
        <v>0.14000000000000001</v>
      </c>
      <c r="E99" s="540"/>
      <c r="F99" s="540"/>
    </row>
    <row r="100" spans="1:6" ht="15">
      <c r="A100" s="541">
        <v>600</v>
      </c>
      <c r="B100" s="548">
        <f>F72</f>
        <v>41.18</v>
      </c>
      <c r="C100" s="540"/>
      <c r="D100" s="540"/>
      <c r="E100" s="540"/>
      <c r="F100" s="540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Z999"/>
  <sheetViews>
    <sheetView topLeftCell="A4" zoomScaleNormal="100" workbookViewId="0">
      <selection activeCell="O37" sqref="O37"/>
    </sheetView>
  </sheetViews>
  <sheetFormatPr defaultColWidth="9" defaultRowHeight="16.5"/>
  <cols>
    <col min="1" max="1" width="13.875" style="298" customWidth="1"/>
    <col min="2" max="2" width="10.125" style="298" customWidth="1"/>
    <col min="3" max="3" width="12.25" style="298" bestFit="1" customWidth="1"/>
    <col min="4" max="4" width="8.375" style="298" customWidth="1"/>
    <col min="5" max="5" width="7.125" style="298" customWidth="1"/>
    <col min="6" max="6" width="6" style="298" bestFit="1" customWidth="1"/>
    <col min="7" max="7" width="9.75" style="298" bestFit="1" customWidth="1"/>
    <col min="8" max="8" width="10.375" style="299" customWidth="1"/>
    <col min="9" max="9" width="11.625" style="299" bestFit="1" customWidth="1"/>
    <col min="10" max="10" width="9" style="299"/>
    <col min="11" max="11" width="11.875" style="299" customWidth="1"/>
    <col min="12" max="12" width="10.375" style="299" customWidth="1"/>
    <col min="13" max="14" width="9" style="299"/>
    <col min="15" max="15" width="13.375" style="299" customWidth="1"/>
    <col min="16" max="16" width="9" style="299" customWidth="1"/>
    <col min="17" max="17" width="11.375" style="299" bestFit="1" customWidth="1"/>
    <col min="18" max="18" width="10.875" style="299" customWidth="1"/>
    <col min="19" max="19" width="12.75" style="299" customWidth="1"/>
    <col min="20" max="21" width="10.375" style="299" bestFit="1" customWidth="1"/>
    <col min="22" max="24" width="9.75" style="299" customWidth="1"/>
    <col min="25" max="16384" width="9" style="299"/>
  </cols>
  <sheetData>
    <row r="1" spans="1:19" s="6" customFormat="1">
      <c r="A1" s="251"/>
      <c r="B1" s="251"/>
      <c r="C1" s="251"/>
      <c r="D1" s="251"/>
      <c r="E1" s="262">
        <f>SUM(E3:E6)</f>
        <v>44.35</v>
      </c>
      <c r="F1" s="262"/>
      <c r="G1" s="262">
        <f>E1/E2</f>
        <v>0.88700000000000001</v>
      </c>
    </row>
    <row r="2" spans="1:19" s="6" customFormat="1">
      <c r="A2" s="519" t="s">
        <v>0</v>
      </c>
      <c r="B2" s="519" t="s">
        <v>236</v>
      </c>
      <c r="C2" s="251"/>
      <c r="D2" s="254">
        <f>D19</f>
        <v>84</v>
      </c>
      <c r="E2" s="262">
        <f>M51/3</f>
        <v>50</v>
      </c>
      <c r="F2" s="537" t="s">
        <v>2</v>
      </c>
      <c r="G2" s="538" t="s">
        <v>3</v>
      </c>
    </row>
    <row r="3" spans="1:19" s="6" customFormat="1">
      <c r="A3" s="264">
        <f>B3+$M$48</f>
        <v>22.1</v>
      </c>
      <c r="B3" s="265">
        <f>B20</f>
        <v>14.9</v>
      </c>
      <c r="C3" s="257"/>
      <c r="D3" s="266">
        <f t="shared" ref="D3:D7" si="0">D20</f>
        <v>94</v>
      </c>
      <c r="E3" s="251">
        <f>D3/12</f>
        <v>7.833333333333333</v>
      </c>
      <c r="F3" s="267">
        <f>B3/D3</f>
        <v>0.15851063829787235</v>
      </c>
      <c r="G3" s="267">
        <f>1/F3</f>
        <v>6.3087248322147644</v>
      </c>
    </row>
    <row r="4" spans="1:19" s="6" customFormat="1">
      <c r="A4" s="264">
        <f>B4+$M$48</f>
        <v>27.06</v>
      </c>
      <c r="B4" s="257">
        <f>B21</f>
        <v>19.86</v>
      </c>
      <c r="C4" s="257"/>
      <c r="D4" s="254">
        <f t="shared" si="0"/>
        <v>120</v>
      </c>
      <c r="E4" s="251">
        <f>D4/12</f>
        <v>10</v>
      </c>
      <c r="F4" s="267">
        <f t="shared" ref="F4:F7" si="1">B4/D4</f>
        <v>0.16550000000000001</v>
      </c>
      <c r="G4" s="267">
        <f t="shared" ref="G4:G7" si="2">1/F4</f>
        <v>6.0422960725075523</v>
      </c>
    </row>
    <row r="5" spans="1:19" s="6" customFormat="1">
      <c r="A5" s="264">
        <f>B5+$M$48</f>
        <v>32.65</v>
      </c>
      <c r="B5" s="257">
        <f>B22</f>
        <v>25.45</v>
      </c>
      <c r="C5" s="257"/>
      <c r="D5" s="254">
        <f t="shared" si="0"/>
        <v>146.19999999999999</v>
      </c>
      <c r="E5" s="251">
        <f>D5/12</f>
        <v>12.183333333333332</v>
      </c>
      <c r="F5" s="267">
        <f t="shared" si="1"/>
        <v>0.17407660738714092</v>
      </c>
      <c r="G5" s="267">
        <f t="shared" si="2"/>
        <v>5.74459724950884</v>
      </c>
    </row>
    <row r="6" spans="1:19" s="6" customFormat="1">
      <c r="A6" s="264">
        <f>B6+$M$48</f>
        <v>38.880000000000003</v>
      </c>
      <c r="B6" s="265">
        <f>B23</f>
        <v>31.68</v>
      </c>
      <c r="C6" s="257"/>
      <c r="D6" s="254">
        <f>D23</f>
        <v>172</v>
      </c>
      <c r="E6" s="251">
        <f>D6/12</f>
        <v>14.333333333333334</v>
      </c>
      <c r="F6" s="267">
        <f t="shared" si="1"/>
        <v>0.1841860465116279</v>
      </c>
      <c r="G6" s="267">
        <f t="shared" si="2"/>
        <v>5.4292929292929299</v>
      </c>
    </row>
    <row r="7" spans="1:19" s="6" customFormat="1">
      <c r="A7" s="264">
        <f>B7+$M$48</f>
        <v>48.38</v>
      </c>
      <c r="B7" s="257">
        <f>B24</f>
        <v>41.18</v>
      </c>
      <c r="C7" s="257"/>
      <c r="D7" s="254">
        <f t="shared" si="0"/>
        <v>197.79999999999998</v>
      </c>
      <c r="E7" s="251">
        <f>D7/12</f>
        <v>16.483333333333331</v>
      </c>
      <c r="F7" s="267">
        <f t="shared" si="1"/>
        <v>0.20819009100101113</v>
      </c>
      <c r="G7" s="267">
        <f t="shared" si="2"/>
        <v>4.8033025740650803</v>
      </c>
    </row>
    <row r="8" spans="1:19" s="6" customFormat="1">
      <c r="A8" s="251"/>
      <c r="B8" s="251" t="s">
        <v>4</v>
      </c>
      <c r="C8" s="251"/>
      <c r="D8" s="251"/>
      <c r="E8" s="554" t="s">
        <v>5</v>
      </c>
      <c r="F8" s="554"/>
      <c r="G8" s="554"/>
    </row>
    <row r="9" spans="1:19" s="6" customFormat="1">
      <c r="A9" s="520" t="s">
        <v>6</v>
      </c>
      <c r="B9" s="520" t="s">
        <v>2</v>
      </c>
      <c r="C9" s="251"/>
      <c r="D9" s="251"/>
      <c r="E9" s="253">
        <v>0.98</v>
      </c>
      <c r="F9" s="553" t="s">
        <v>7</v>
      </c>
      <c r="G9" s="553"/>
    </row>
    <row r="10" spans="1:19" s="6" customFormat="1">
      <c r="A10" s="268">
        <f>D20/B20</f>
        <v>6.3087248322147653</v>
      </c>
      <c r="B10" s="268">
        <f>B20/D20</f>
        <v>0.15851063829787235</v>
      </c>
      <c r="C10" s="251"/>
      <c r="D10" s="251"/>
      <c r="E10" s="253">
        <v>0.98</v>
      </c>
      <c r="F10" s="553" t="s">
        <v>8</v>
      </c>
      <c r="G10" s="553"/>
    </row>
    <row r="11" spans="1:19" s="6" customFormat="1">
      <c r="A11" s="268">
        <f t="shared" ref="A11:A14" si="3">D21/B21</f>
        <v>6.0422960725075532</v>
      </c>
      <c r="B11" s="268">
        <f t="shared" ref="B11:B14" si="4">B21/D21</f>
        <v>0.16550000000000001</v>
      </c>
      <c r="C11" s="251"/>
      <c r="D11" s="251" t="s">
        <v>4</v>
      </c>
      <c r="E11" s="253">
        <v>0.98</v>
      </c>
      <c r="F11" s="553" t="s">
        <v>9</v>
      </c>
      <c r="G11" s="553"/>
    </row>
    <row r="12" spans="1:19" s="6" customFormat="1">
      <c r="A12" s="268">
        <f t="shared" si="3"/>
        <v>5.7445972495088409</v>
      </c>
      <c r="B12" s="268">
        <f t="shared" si="4"/>
        <v>0.17407660738714092</v>
      </c>
      <c r="C12" s="251"/>
      <c r="D12" s="251"/>
      <c r="E12" s="253">
        <v>1</v>
      </c>
      <c r="F12" s="553" t="s">
        <v>10</v>
      </c>
      <c r="G12" s="553"/>
    </row>
    <row r="13" spans="1:19" s="6" customFormat="1">
      <c r="A13" s="268">
        <f t="shared" si="3"/>
        <v>5.4292929292929291</v>
      </c>
      <c r="B13" s="268">
        <f t="shared" si="4"/>
        <v>0.1841860465116279</v>
      </c>
      <c r="C13" s="251"/>
      <c r="D13" s="251" t="s">
        <v>4</v>
      </c>
      <c r="E13" s="554" t="s">
        <v>11</v>
      </c>
      <c r="F13" s="554"/>
      <c r="G13" s="554"/>
    </row>
    <row r="14" spans="1:19" s="6" customFormat="1">
      <c r="A14" s="268">
        <f t="shared" si="3"/>
        <v>4.8033025740650794</v>
      </c>
      <c r="B14" s="268">
        <f t="shared" si="4"/>
        <v>0.20819009100101113</v>
      </c>
      <c r="C14" s="251"/>
      <c r="D14" s="251"/>
      <c r="E14" s="253">
        <v>1</v>
      </c>
      <c r="F14" s="553" t="s">
        <v>7</v>
      </c>
      <c r="G14" s="553"/>
    </row>
    <row r="15" spans="1:19" s="6" customFormat="1" ht="17.25" thickBot="1">
      <c r="A15" s="251"/>
      <c r="B15" s="251"/>
      <c r="C15" s="251"/>
      <c r="D15" s="251"/>
      <c r="E15" s="253">
        <v>1</v>
      </c>
      <c r="F15" s="553" t="s">
        <v>8</v>
      </c>
      <c r="G15" s="553"/>
    </row>
    <row r="16" spans="1:19" s="6" customFormat="1">
      <c r="A16" s="251"/>
      <c r="B16" s="517" t="s">
        <v>12</v>
      </c>
      <c r="C16" s="251"/>
      <c r="D16" s="517" t="s">
        <v>13</v>
      </c>
      <c r="E16" s="515">
        <v>1</v>
      </c>
      <c r="F16" s="553" t="s">
        <v>9</v>
      </c>
      <c r="G16" s="553"/>
      <c r="Q16" s="578" t="s">
        <v>337</v>
      </c>
      <c r="R16" s="579"/>
      <c r="S16" s="580"/>
    </row>
    <row r="17" spans="1:21" s="6" customFormat="1" ht="17.25" thickBot="1">
      <c r="A17" s="251"/>
      <c r="B17" s="514">
        <f>M52</f>
        <v>31.68</v>
      </c>
      <c r="C17" s="251"/>
      <c r="D17" s="516">
        <f>M47</f>
        <v>172</v>
      </c>
      <c r="E17" s="515">
        <v>1</v>
      </c>
      <c r="F17" s="553" t="s">
        <v>10</v>
      </c>
      <c r="G17" s="553"/>
      <c r="P17" s="273"/>
      <c r="Q17" s="274"/>
    </row>
    <row r="18" spans="1:21" s="6" customFormat="1" ht="17.25" thickBot="1">
      <c r="A18" s="251"/>
      <c r="B18" s="251"/>
      <c r="C18" s="251"/>
      <c r="D18" s="251"/>
      <c r="E18" s="251"/>
      <c r="F18" s="257"/>
      <c r="G18" s="257"/>
      <c r="P18" s="273"/>
    </row>
    <row r="19" spans="1:21" s="6" customFormat="1" ht="17.25" thickBot="1">
      <c r="A19" s="251"/>
      <c r="B19" s="257"/>
      <c r="C19" s="257"/>
      <c r="D19" s="518">
        <f>INT(D20*0.9)</f>
        <v>84</v>
      </c>
      <c r="E19" s="251"/>
      <c r="F19" s="257"/>
      <c r="G19" s="257"/>
    </row>
    <row r="20" spans="1:21" s="6" customFormat="1">
      <c r="A20" s="263" t="s">
        <v>241</v>
      </c>
      <c r="B20" s="511">
        <f>INT(B$17*C20*100)/100</f>
        <v>14.9</v>
      </c>
      <c r="C20" s="251">
        <f>0.48*E9</f>
        <v>0.47039999999999998</v>
      </c>
      <c r="D20" s="508">
        <f>INT(D$17*E20)</f>
        <v>94</v>
      </c>
      <c r="E20" s="269">
        <f>0.55*E14</f>
        <v>0.55000000000000004</v>
      </c>
      <c r="F20" s="267">
        <f>B20/D20</f>
        <v>0.15851063829787235</v>
      </c>
      <c r="G20" s="251">
        <f>F20-F19</f>
        <v>0.15851063829787235</v>
      </c>
    </row>
    <row r="21" spans="1:21" s="6" customFormat="1">
      <c r="A21" s="257">
        <f>B21-B20</f>
        <v>4.9599999999999991</v>
      </c>
      <c r="B21" s="512">
        <f>INT(B$17*C21*100)/100</f>
        <v>19.86</v>
      </c>
      <c r="C21" s="251">
        <f>0.64*E10</f>
        <v>0.62719999999999998</v>
      </c>
      <c r="D21" s="508">
        <f>INT(D$17*E21)</f>
        <v>120</v>
      </c>
      <c r="E21" s="269">
        <f>0.7*E15</f>
        <v>0.7</v>
      </c>
      <c r="F21" s="267">
        <f>B21/D21</f>
        <v>0.16550000000000001</v>
      </c>
      <c r="G21" s="251">
        <f>F21-F20</f>
        <v>6.9893617021276611E-3</v>
      </c>
      <c r="O21" s="275"/>
      <c r="P21" s="275"/>
      <c r="Q21" s="275"/>
      <c r="R21" s="275"/>
      <c r="S21" s="275"/>
      <c r="T21" s="275"/>
    </row>
    <row r="22" spans="1:21" s="6" customFormat="1">
      <c r="A22" s="257">
        <f>B22-B21</f>
        <v>5.59</v>
      </c>
      <c r="B22" s="512">
        <f>INT(B$17*C22*100)/100</f>
        <v>25.45</v>
      </c>
      <c r="C22" s="251">
        <f>0.82*E11</f>
        <v>0.80359999999999998</v>
      </c>
      <c r="D22" s="509">
        <f>(D$17*E22)</f>
        <v>146.19999999999999</v>
      </c>
      <c r="E22" s="269">
        <f>0.85*E16</f>
        <v>0.85</v>
      </c>
      <c r="F22" s="267">
        <f>B22/D22</f>
        <v>0.17407660738714092</v>
      </c>
      <c r="G22" s="394">
        <f>F22-F21</f>
        <v>8.5766073871409165E-3</v>
      </c>
    </row>
    <row r="23" spans="1:21" s="6" customFormat="1">
      <c r="A23" s="257">
        <f>B23-B22</f>
        <v>6.23</v>
      </c>
      <c r="B23" s="512">
        <f>INT(B$17*C23*100)/100</f>
        <v>31.68</v>
      </c>
      <c r="C23" s="251">
        <v>1</v>
      </c>
      <c r="D23" s="508">
        <f>D$17*E23</f>
        <v>172</v>
      </c>
      <c r="E23" s="269">
        <v>1</v>
      </c>
      <c r="F23" s="267">
        <f>B23/D23</f>
        <v>0.1841860465116279</v>
      </c>
      <c r="G23" s="251">
        <f>F23-F22</f>
        <v>1.0109439124486974E-2</v>
      </c>
      <c r="O23" s="276"/>
      <c r="Q23" s="276"/>
      <c r="S23" s="276"/>
      <c r="U23" s="276"/>
    </row>
    <row r="24" spans="1:21" s="6" customFormat="1" ht="17.25" thickBot="1">
      <c r="A24" s="257">
        <f>B24-B23</f>
        <v>9.5</v>
      </c>
      <c r="B24" s="513">
        <f>INT(B$17*C24*100)/100</f>
        <v>41.18</v>
      </c>
      <c r="C24" s="251">
        <f>1.3*E12</f>
        <v>1.3</v>
      </c>
      <c r="D24" s="510">
        <f>D$17*E24</f>
        <v>197.79999999999998</v>
      </c>
      <c r="E24" s="269">
        <v>1.1499999999999999</v>
      </c>
      <c r="F24" s="267"/>
      <c r="G24" s="257"/>
      <c r="O24" s="276"/>
      <c r="Q24" s="276"/>
      <c r="S24" s="276"/>
      <c r="U24" s="276"/>
    </row>
    <row r="25" spans="1:21" s="6" customFormat="1">
      <c r="A25" s="251"/>
      <c r="B25" s="251"/>
      <c r="C25" s="251"/>
      <c r="D25" s="251"/>
      <c r="E25" s="251"/>
      <c r="F25" s="267">
        <f>B24/D24</f>
        <v>0.20819009100101113</v>
      </c>
      <c r="G25" s="257"/>
      <c r="O25" s="276"/>
      <c r="Q25" s="276"/>
      <c r="S25" s="276"/>
      <c r="U25" s="276"/>
    </row>
    <row r="26" spans="1:21" s="6" customFormat="1">
      <c r="A26" s="555" t="s">
        <v>14</v>
      </c>
      <c r="B26" s="555"/>
      <c r="C26" s="270">
        <f>INT(M51*1)</f>
        <v>150</v>
      </c>
      <c r="D26" s="251"/>
      <c r="E26" s="251"/>
      <c r="F26" s="271">
        <f>M50/M51</f>
        <v>0.23733333333333329</v>
      </c>
      <c r="G26" s="251"/>
      <c r="O26" s="276"/>
      <c r="Q26" s="276"/>
      <c r="S26" s="276"/>
      <c r="U26" s="276"/>
    </row>
    <row r="27" spans="1:21" s="6" customFormat="1">
      <c r="A27" s="555" t="s">
        <v>15</v>
      </c>
      <c r="B27" s="555"/>
      <c r="C27" s="272">
        <f>SafeYield!B7</f>
        <v>155.42723577017168</v>
      </c>
      <c r="D27" s="257">
        <f>(C27/D6)*100</f>
        <v>90.364671959402145</v>
      </c>
      <c r="E27" s="251"/>
      <c r="F27" s="251"/>
      <c r="G27" s="251"/>
      <c r="O27" s="276"/>
      <c r="Q27" s="276"/>
      <c r="S27" s="276"/>
      <c r="U27" s="276"/>
    </row>
    <row r="28" spans="1:21" s="6" customFormat="1">
      <c r="A28" s="251"/>
      <c r="B28" s="251"/>
      <c r="C28" s="251"/>
      <c r="D28" s="251"/>
      <c r="E28" s="251"/>
      <c r="F28" s="251"/>
      <c r="G28" s="251"/>
      <c r="O28" s="276"/>
      <c r="Q28" s="276"/>
      <c r="S28" s="276"/>
      <c r="U28" s="276"/>
    </row>
    <row r="29" spans="1:21" s="6" customFormat="1" ht="13.5" customHeight="1">
      <c r="A29" s="251"/>
      <c r="B29" s="251"/>
      <c r="C29" s="251"/>
      <c r="D29" s="251"/>
      <c r="E29" s="251"/>
      <c r="F29" s="251"/>
      <c r="G29" s="251"/>
      <c r="O29" s="276"/>
      <c r="Q29" s="276"/>
      <c r="S29" s="276"/>
      <c r="U29" s="276"/>
    </row>
    <row r="30" spans="1:21" s="6" customFormat="1" ht="13.5" customHeight="1">
      <c r="A30" s="405" t="s">
        <v>16</v>
      </c>
      <c r="B30" s="405" t="s">
        <v>17</v>
      </c>
      <c r="C30" s="251"/>
      <c r="D30" s="251"/>
      <c r="E30" s="252">
        <f>ROUNDUP(F32,-1)</f>
        <v>90</v>
      </c>
      <c r="F30" s="252">
        <f>ROUNDDOWN(F35,-1)</f>
        <v>60</v>
      </c>
      <c r="G30" s="251"/>
      <c r="O30" s="276"/>
      <c r="Q30" s="276"/>
      <c r="S30" s="276"/>
      <c r="U30" s="276"/>
    </row>
    <row r="31" spans="1:21" s="6" customFormat="1" ht="13.5" customHeight="1">
      <c r="A31" s="408">
        <v>3.2890000000000003E-4</v>
      </c>
      <c r="B31" s="408">
        <v>0.12680279999999999</v>
      </c>
      <c r="C31" s="251"/>
      <c r="D31" s="254">
        <f t="shared" ref="D31:D36" si="5">D19</f>
        <v>84</v>
      </c>
      <c r="E31" s="251"/>
      <c r="F31" s="252"/>
      <c r="G31" s="252"/>
      <c r="O31" s="276"/>
      <c r="Q31" s="276"/>
      <c r="S31" s="276"/>
      <c r="U31" s="276"/>
    </row>
    <row r="32" spans="1:21" s="6" customFormat="1" ht="13.5" customHeight="1">
      <c r="A32" s="251">
        <f t="shared" ref="A32:B34" si="6">A31</f>
        <v>3.2890000000000003E-4</v>
      </c>
      <c r="B32" s="251">
        <f t="shared" si="6"/>
        <v>0.12680279999999999</v>
      </c>
      <c r="C32" s="251"/>
      <c r="D32" s="254">
        <f t="shared" si="5"/>
        <v>94</v>
      </c>
      <c r="E32" s="251"/>
      <c r="F32" s="252">
        <f>B32*D32/(B32*D32+A32*D32*D32)*100</f>
        <v>80.397718987011103</v>
      </c>
      <c r="G32" s="252"/>
      <c r="O32" s="276"/>
      <c r="Q32" s="276"/>
      <c r="S32" s="276"/>
      <c r="U32" s="276"/>
    </row>
    <row r="33" spans="1:21" s="6" customFormat="1" ht="13.5" customHeight="1">
      <c r="A33" s="251">
        <f t="shared" si="6"/>
        <v>3.2890000000000003E-4</v>
      </c>
      <c r="B33" s="251">
        <f t="shared" si="6"/>
        <v>0.12680279999999999</v>
      </c>
      <c r="C33" s="251"/>
      <c r="D33" s="254">
        <f t="shared" si="5"/>
        <v>120</v>
      </c>
      <c r="E33" s="251"/>
      <c r="F33" s="252">
        <f>B33*D33/(B33*D33+A33*D33*D33)*100</f>
        <v>76.262819448754684</v>
      </c>
      <c r="G33" s="252"/>
      <c r="N33" s="275"/>
      <c r="O33" s="277"/>
      <c r="P33" s="278"/>
      <c r="Q33" s="277"/>
      <c r="R33" s="278"/>
      <c r="S33" s="277"/>
      <c r="T33" s="278"/>
      <c r="U33" s="277"/>
    </row>
    <row r="34" spans="1:21" s="6" customFormat="1" ht="13.5" customHeight="1">
      <c r="A34" s="251">
        <f t="shared" si="6"/>
        <v>3.2890000000000003E-4</v>
      </c>
      <c r="B34" s="251">
        <f t="shared" si="6"/>
        <v>0.12680279999999999</v>
      </c>
      <c r="C34" s="251"/>
      <c r="D34" s="254">
        <f t="shared" si="5"/>
        <v>146.19999999999999</v>
      </c>
      <c r="E34" s="251"/>
      <c r="F34" s="252">
        <f>B34*D34/(B34*D34+A34*D34*D34)*100</f>
        <v>72.505154442289282</v>
      </c>
      <c r="G34" s="252"/>
      <c r="N34" s="275"/>
      <c r="O34" s="277"/>
      <c r="P34" s="279"/>
      <c r="Q34" s="277"/>
      <c r="R34" s="279"/>
      <c r="S34" s="277"/>
      <c r="T34" s="279"/>
      <c r="U34" s="277"/>
    </row>
    <row r="35" spans="1:21" s="6" customFormat="1" ht="13.5" customHeight="1">
      <c r="A35" s="251">
        <f>A34</f>
        <v>3.2890000000000003E-4</v>
      </c>
      <c r="B35" s="251">
        <f>B34</f>
        <v>0.12680279999999999</v>
      </c>
      <c r="C35" s="251"/>
      <c r="D35" s="254">
        <f t="shared" si="5"/>
        <v>172</v>
      </c>
      <c r="E35" s="251"/>
      <c r="F35" s="252">
        <f>B35*D35/(B35*D35+A35*D35*D35)*100</f>
        <v>69.149975787136214</v>
      </c>
      <c r="G35" s="252"/>
      <c r="N35" s="275"/>
    </row>
    <row r="36" spans="1:21" s="6" customFormat="1" ht="13.5" customHeight="1">
      <c r="A36" s="251"/>
      <c r="B36" s="251"/>
      <c r="C36" s="251"/>
      <c r="D36" s="254">
        <f t="shared" si="5"/>
        <v>197.79999999999998</v>
      </c>
      <c r="E36" s="251"/>
      <c r="F36" s="252"/>
      <c r="G36" s="252"/>
      <c r="N36" s="275"/>
    </row>
    <row r="37" spans="1:21" s="6" customFormat="1" ht="13.5" customHeight="1">
      <c r="A37" s="250" t="s">
        <v>18</v>
      </c>
      <c r="B37" s="250" t="s">
        <v>19</v>
      </c>
      <c r="C37" s="250" t="s">
        <v>20</v>
      </c>
      <c r="D37" s="251" t="s">
        <v>21</v>
      </c>
      <c r="E37" s="251" t="s">
        <v>21</v>
      </c>
      <c r="F37" s="252">
        <f>AVERAGE(F32:F35)</f>
        <v>74.578917166297813</v>
      </c>
      <c r="G37" s="251"/>
      <c r="P37" s="99">
        <v>3.2890000000000003E-4</v>
      </c>
      <c r="Q37" s="99">
        <v>0.14399999999999999</v>
      </c>
    </row>
    <row r="38" spans="1:21" s="6" customFormat="1" ht="13.5" customHeight="1">
      <c r="A38" s="255">
        <v>72.156000000000006</v>
      </c>
      <c r="B38" s="253">
        <v>0.14399999999999999</v>
      </c>
      <c r="C38" s="253">
        <v>93.756</v>
      </c>
      <c r="D38" s="251"/>
      <c r="E38" s="251" t="s">
        <v>21</v>
      </c>
      <c r="F38" s="251"/>
      <c r="G38" s="251"/>
      <c r="P38" s="99">
        <v>0.12680279999999999</v>
      </c>
      <c r="Q38" s="99">
        <v>93.756</v>
      </c>
    </row>
    <row r="39" spans="1:21" s="6" customFormat="1" ht="13.5" customHeight="1">
      <c r="A39" s="256"/>
      <c r="B39" s="251" t="s">
        <v>22</v>
      </c>
      <c r="C39" s="257">
        <f>(C38-A38)/B38</f>
        <v>149.99999999999997</v>
      </c>
      <c r="D39" s="251">
        <f>C38-B38*M51</f>
        <v>72.156000000000006</v>
      </c>
      <c r="E39" s="251"/>
      <c r="F39" s="251"/>
      <c r="G39" s="251"/>
    </row>
    <row r="40" spans="1:21" s="6" customFormat="1" ht="13.5" customHeight="1">
      <c r="A40" s="256" t="s">
        <v>23</v>
      </c>
      <c r="B40" s="251" t="s">
        <v>22</v>
      </c>
      <c r="C40" s="251">
        <f>INT(C39)</f>
        <v>150</v>
      </c>
      <c r="D40" s="251"/>
      <c r="E40" s="251"/>
      <c r="F40" s="251"/>
      <c r="G40" s="251"/>
    </row>
    <row r="41" spans="1:21" s="6" customFormat="1" ht="13.5" customHeight="1">
      <c r="A41" s="251"/>
      <c r="B41" s="251"/>
      <c r="C41" s="251"/>
      <c r="D41" s="251"/>
      <c r="E41" s="251"/>
      <c r="F41" s="251"/>
      <c r="G41" s="251"/>
    </row>
    <row r="42" spans="1:21" s="6" customFormat="1" ht="17.25" customHeight="1" thickBot="1">
      <c r="A42" s="258" t="s">
        <v>24</v>
      </c>
      <c r="B42" s="259"/>
      <c r="C42" s="251"/>
      <c r="D42" s="251"/>
      <c r="E42" s="251"/>
      <c r="F42" s="251"/>
      <c r="G42" s="251"/>
    </row>
    <row r="43" spans="1:21" s="6" customFormat="1" ht="21" customHeight="1" thickBot="1">
      <c r="A43" s="258" t="s">
        <v>25</v>
      </c>
      <c r="B43" s="260">
        <f>INT(SQRT((2.25*A44*A47)/(A45*10^(5.46*A44*A46)))*1000)/1000</f>
        <v>0.308</v>
      </c>
      <c r="C43" s="251" t="s">
        <v>26</v>
      </c>
      <c r="D43" s="251"/>
      <c r="E43" s="251"/>
      <c r="F43" s="251"/>
      <c r="G43" s="251"/>
      <c r="Q43" s="280" t="s">
        <v>27</v>
      </c>
      <c r="R43" s="281" t="s">
        <v>0</v>
      </c>
      <c r="S43" s="281" t="s">
        <v>1</v>
      </c>
      <c r="T43" s="281" t="s">
        <v>3</v>
      </c>
      <c r="U43" s="282" t="s">
        <v>2</v>
      </c>
    </row>
    <row r="44" spans="1:21" s="6" customFormat="1">
      <c r="A44" s="261">
        <f>B58</f>
        <v>6.3520341974657759</v>
      </c>
      <c r="B44" s="99" t="s">
        <v>28</v>
      </c>
      <c r="C44" s="251"/>
      <c r="D44" s="251"/>
      <c r="E44" s="251"/>
      <c r="F44" s="251"/>
      <c r="G44" s="251"/>
      <c r="H44" s="378" t="s">
        <v>29</v>
      </c>
      <c r="I44" s="556" t="s">
        <v>347</v>
      </c>
      <c r="J44" s="557"/>
      <c r="K44" s="558"/>
      <c r="L44" s="379" t="s">
        <v>30</v>
      </c>
      <c r="M44" s="387">
        <v>250</v>
      </c>
      <c r="N44" s="397" t="s">
        <v>31</v>
      </c>
      <c r="Q44" s="526">
        <v>94</v>
      </c>
      <c r="R44" s="284">
        <v>22.1</v>
      </c>
      <c r="S44" s="284">
        <v>14.9</v>
      </c>
      <c r="T44" s="285">
        <v>6.3090000000000002</v>
      </c>
      <c r="U44" s="286">
        <v>0.15851063829787235</v>
      </c>
    </row>
    <row r="45" spans="1:21" s="6" customFormat="1" ht="17.25" thickBot="1">
      <c r="A45" s="253">
        <v>5.0000000000000001E-4</v>
      </c>
      <c r="B45" s="99" t="s">
        <v>32</v>
      </c>
      <c r="C45" s="251"/>
      <c r="D45" s="251"/>
      <c r="E45" s="251"/>
      <c r="F45" s="251"/>
      <c r="G45" s="251"/>
      <c r="H45" s="380" t="s">
        <v>33</v>
      </c>
      <c r="I45" s="560" t="s">
        <v>348</v>
      </c>
      <c r="J45" s="561"/>
      <c r="K45" s="562"/>
      <c r="L45" s="386" t="s">
        <v>34</v>
      </c>
      <c r="M45" s="398">
        <v>88</v>
      </c>
      <c r="N45" s="396">
        <f>M44</f>
        <v>250</v>
      </c>
      <c r="Q45" s="526">
        <v>120</v>
      </c>
      <c r="R45" s="284">
        <v>27.06</v>
      </c>
      <c r="S45" s="284">
        <v>19.86</v>
      </c>
      <c r="T45" s="285">
        <v>6.0419999999999998</v>
      </c>
      <c r="U45" s="286">
        <v>0.16550000000000001</v>
      </c>
    </row>
    <row r="46" spans="1:21" s="6" customFormat="1">
      <c r="A46" s="251">
        <f>B34</f>
        <v>0.12680279999999999</v>
      </c>
      <c r="B46" s="99" t="s">
        <v>35</v>
      </c>
      <c r="C46" s="559" t="s">
        <v>36</v>
      </c>
      <c r="D46" s="559"/>
      <c r="E46" s="251"/>
      <c r="F46" s="251"/>
      <c r="G46" s="251"/>
      <c r="H46" s="380" t="s">
        <v>37</v>
      </c>
      <c r="I46" s="566" t="s">
        <v>346</v>
      </c>
      <c r="J46" s="567"/>
      <c r="K46" s="568"/>
      <c r="L46" s="386" t="s">
        <v>38</v>
      </c>
      <c r="M46" s="399">
        <f>IF(I52&gt;M48, M45-I52,M45-M48)</f>
        <v>76</v>
      </c>
      <c r="Q46" s="526">
        <v>146</v>
      </c>
      <c r="R46" s="284">
        <v>32.65</v>
      </c>
      <c r="S46" s="284">
        <v>25.45</v>
      </c>
      <c r="T46" s="285">
        <v>5.7450000000000001</v>
      </c>
      <c r="U46" s="286">
        <v>0.17407660738714092</v>
      </c>
    </row>
    <row r="47" spans="1:21" s="6" customFormat="1">
      <c r="A47" s="251">
        <f>120/1440</f>
        <v>8.3333333333333329E-2</v>
      </c>
      <c r="B47" s="99" t="s">
        <v>336</v>
      </c>
      <c r="C47" s="559" t="s">
        <v>40</v>
      </c>
      <c r="D47" s="559"/>
      <c r="E47" s="251"/>
      <c r="F47" s="251"/>
      <c r="G47" s="251"/>
      <c r="H47" s="380" t="s">
        <v>41</v>
      </c>
      <c r="I47" s="563" t="s">
        <v>349</v>
      </c>
      <c r="J47" s="564"/>
      <c r="K47" s="565"/>
      <c r="L47" s="406" t="s">
        <v>42</v>
      </c>
      <c r="M47" s="407">
        <f>INT((M51*100)/M53)</f>
        <v>172</v>
      </c>
      <c r="Q47" s="526">
        <v>172</v>
      </c>
      <c r="R47" s="284">
        <v>38.880000000000003</v>
      </c>
      <c r="S47" s="284">
        <v>31.68</v>
      </c>
      <c r="T47" s="285">
        <v>5.4290000000000003</v>
      </c>
      <c r="U47" s="286">
        <v>0.1841860465116279</v>
      </c>
    </row>
    <row r="48" spans="1:21" s="6" customFormat="1" ht="17.25" thickBot="1">
      <c r="A48" s="251"/>
      <c r="B48" s="251"/>
      <c r="C48" s="251"/>
      <c r="D48" s="251"/>
      <c r="E48" s="251"/>
      <c r="F48" s="251"/>
      <c r="G48" s="251"/>
      <c r="H48" s="389" t="s">
        <v>43</v>
      </c>
      <c r="I48" s="287">
        <v>5</v>
      </c>
      <c r="J48" s="592" t="s">
        <v>290</v>
      </c>
      <c r="K48" s="592"/>
      <c r="L48" s="393" t="s">
        <v>44</v>
      </c>
      <c r="M48" s="398">
        <v>7.2</v>
      </c>
      <c r="Q48" s="527">
        <v>198</v>
      </c>
      <c r="R48" s="288">
        <v>48.38</v>
      </c>
      <c r="S48" s="288">
        <v>41.18</v>
      </c>
      <c r="T48" s="289">
        <v>4.8029999999999999</v>
      </c>
      <c r="U48" s="290">
        <v>0.20819009100101113</v>
      </c>
    </row>
    <row r="49" spans="1:24" s="6" customFormat="1">
      <c r="A49" s="251" t="s">
        <v>45</v>
      </c>
      <c r="B49" s="291">
        <f>INT(SQRT(B54)*1000)/1000</f>
        <v>0.308</v>
      </c>
      <c r="C49" s="99" t="s">
        <v>46</v>
      </c>
      <c r="D49" s="292" t="s">
        <v>21</v>
      </c>
      <c r="E49" s="251"/>
      <c r="F49" s="251"/>
      <c r="G49" s="251"/>
      <c r="H49" s="380" t="s">
        <v>47</v>
      </c>
      <c r="I49" s="593">
        <f>LongTest!C10</f>
        <v>45768.479166666664</v>
      </c>
      <c r="J49" s="593"/>
      <c r="K49" s="593"/>
      <c r="L49" s="386" t="s">
        <v>48</v>
      </c>
      <c r="M49" s="398">
        <v>42.8</v>
      </c>
    </row>
    <row r="50" spans="1:24" s="6" customFormat="1">
      <c r="A50" s="251" t="s">
        <v>49</v>
      </c>
      <c r="B50" s="99">
        <f>2.25*A44*A47</f>
        <v>1.1910064120248329</v>
      </c>
      <c r="C50" s="99">
        <f>B50</f>
        <v>1.1910064120248329</v>
      </c>
      <c r="D50" s="251"/>
      <c r="E50" s="251"/>
      <c r="F50" s="251"/>
      <c r="G50" s="251"/>
      <c r="H50" s="380" t="s">
        <v>314</v>
      </c>
      <c r="I50" s="377">
        <v>60</v>
      </c>
      <c r="J50" s="283" t="s">
        <v>338</v>
      </c>
      <c r="K50" s="377">
        <v>50</v>
      </c>
      <c r="L50" s="386" t="s">
        <v>50</v>
      </c>
      <c r="M50" s="400">
        <f>M49-M48</f>
        <v>35.599999999999994</v>
      </c>
    </row>
    <row r="51" spans="1:24" s="6" customFormat="1">
      <c r="A51" s="251" t="s">
        <v>51</v>
      </c>
      <c r="B51" s="99">
        <f>A45</f>
        <v>5.0000000000000001E-4</v>
      </c>
      <c r="C51" s="99" t="s">
        <v>35</v>
      </c>
      <c r="D51" s="257" t="s">
        <v>21</v>
      </c>
      <c r="E51" s="251"/>
      <c r="F51" s="251"/>
      <c r="G51" s="251"/>
      <c r="H51" s="380" t="s">
        <v>339</v>
      </c>
      <c r="I51" s="392">
        <v>245</v>
      </c>
      <c r="J51" s="376"/>
      <c r="K51" s="376"/>
      <c r="L51" s="388" t="s">
        <v>52</v>
      </c>
      <c r="M51" s="398">
        <v>150</v>
      </c>
      <c r="P51" s="293"/>
    </row>
    <row r="52" spans="1:24" s="6" customFormat="1" ht="17.25" thickBot="1">
      <c r="A52" s="256" t="s">
        <v>53</v>
      </c>
      <c r="B52" s="99">
        <f>10^(5.46*A44*A46)</f>
        <v>24991.265120695331</v>
      </c>
      <c r="C52" s="294">
        <f>B52*B51</f>
        <v>12.495632560347666</v>
      </c>
      <c r="D52" s="251"/>
      <c r="E52" s="251"/>
      <c r="F52" s="251"/>
      <c r="G52" s="251"/>
      <c r="H52" s="390" t="s">
        <v>54</v>
      </c>
      <c r="I52" s="381">
        <v>12</v>
      </c>
      <c r="J52" s="391" t="s">
        <v>55</v>
      </c>
      <c r="K52" s="382">
        <v>0</v>
      </c>
      <c r="L52" s="395" t="s">
        <v>56</v>
      </c>
      <c r="M52" s="401">
        <f>INT(M50*0.89*100)/100</f>
        <v>31.68</v>
      </c>
      <c r="N52" s="296"/>
      <c r="P52" s="293"/>
    </row>
    <row r="53" spans="1:24" s="6" customFormat="1" ht="17.25" thickBot="1">
      <c r="A53" s="251"/>
      <c r="B53" s="251"/>
      <c r="C53" s="251"/>
      <c r="D53" s="251"/>
      <c r="E53" s="251"/>
      <c r="F53" s="251"/>
      <c r="G53" s="251"/>
      <c r="I53" s="577" t="s">
        <v>240</v>
      </c>
      <c r="J53" s="577"/>
      <c r="K53" s="577"/>
      <c r="L53" s="577"/>
      <c r="M53" s="385">
        <v>87</v>
      </c>
      <c r="R53"/>
    </row>
    <row r="54" spans="1:24" ht="18.75" customHeight="1" thickBot="1">
      <c r="A54" s="297" t="s">
        <v>57</v>
      </c>
      <c r="B54" s="99">
        <f>INT(C50/C52*1000)/1000</f>
        <v>9.5000000000000001E-2</v>
      </c>
      <c r="H54" s="383" t="s">
        <v>58</v>
      </c>
      <c r="I54" s="384" t="s">
        <v>59</v>
      </c>
      <c r="J54" s="293"/>
      <c r="K54" s="293"/>
      <c r="L54" s="293"/>
      <c r="M54" s="293"/>
      <c r="N54" s="293"/>
      <c r="R54"/>
    </row>
    <row r="55" spans="1:24">
      <c r="A55" s="297" t="s">
        <v>45</v>
      </c>
      <c r="B55" s="294">
        <f>SQRT(B54)</f>
        <v>0.30822070014844882</v>
      </c>
      <c r="P55" s="299">
        <f>INT((M51*100)/M53)*1.15</f>
        <v>197.79999999999998</v>
      </c>
      <c r="R55"/>
    </row>
    <row r="56" spans="1:24" ht="17.25" thickBot="1">
      <c r="A56" s="297"/>
      <c r="R56"/>
    </row>
    <row r="57" spans="1:24" s="6" customFormat="1" ht="18" customHeight="1">
      <c r="A57" s="102"/>
      <c r="B57" s="300" t="s">
        <v>60</v>
      </c>
      <c r="C57" s="300" t="s">
        <v>61</v>
      </c>
      <c r="D57" s="587" t="s">
        <v>62</v>
      </c>
      <c r="E57" s="588"/>
      <c r="F57" s="587" t="s">
        <v>61</v>
      </c>
      <c r="G57" s="588"/>
      <c r="H57" s="300" t="s">
        <v>63</v>
      </c>
      <c r="I57" s="301">
        <f>M50</f>
        <v>35.599999999999994</v>
      </c>
      <c r="J57" s="300" t="s">
        <v>64</v>
      </c>
      <c r="K57" s="300" t="s">
        <v>65</v>
      </c>
      <c r="L57" s="587" t="s">
        <v>66</v>
      </c>
      <c r="M57" s="589"/>
      <c r="P57" s="6">
        <f xml:space="preserve"> ((147 * M53) / 1.15) / 100</f>
        <v>111.20869565217392</v>
      </c>
      <c r="R57"/>
    </row>
    <row r="58" spans="1:24" s="6" customFormat="1" ht="18" customHeight="1">
      <c r="A58" s="100" t="s">
        <v>67</v>
      </c>
      <c r="B58" s="302">
        <f>SkinFactor!D4</f>
        <v>6.3520341974657759</v>
      </c>
      <c r="C58" s="295"/>
      <c r="D58" s="590">
        <f>SkinFactor!E10</f>
        <v>7.9329999999999998E-2</v>
      </c>
      <c r="E58" s="591"/>
      <c r="F58" s="581"/>
      <c r="G58" s="582"/>
      <c r="H58" s="295" t="s">
        <v>68</v>
      </c>
      <c r="I58" s="303">
        <f>C62/M46</f>
        <v>3.0776315789473683E-2</v>
      </c>
      <c r="J58" s="295" t="s">
        <v>69</v>
      </c>
      <c r="K58" s="304">
        <f>SQRT(6*I57*I58*I60/I59)</f>
        <v>108.13431122789224</v>
      </c>
      <c r="L58" s="295" t="s">
        <v>70</v>
      </c>
      <c r="M58" s="305" t="s">
        <v>71</v>
      </c>
      <c r="R58"/>
    </row>
    <row r="59" spans="1:24" s="6" customFormat="1" ht="18" customHeight="1">
      <c r="A59" s="100" t="s">
        <v>72</v>
      </c>
      <c r="B59" s="302">
        <f>SkinFactor!D5</f>
        <v>2.8809999999999998</v>
      </c>
      <c r="C59" s="569">
        <f>B59</f>
        <v>2.8809999999999998</v>
      </c>
      <c r="D59" s="571">
        <f>SkinFactor!I16</f>
        <v>2.811E-4</v>
      </c>
      <c r="E59" s="572"/>
      <c r="F59" s="573">
        <f>INT((D59+D60)/1*10000000)/10000000</f>
        <v>2.811E-4</v>
      </c>
      <c r="G59" s="574"/>
      <c r="H59" s="295" t="s">
        <v>32</v>
      </c>
      <c r="I59" s="295">
        <f>F62</f>
        <v>2.811E-4</v>
      </c>
      <c r="J59" s="295" t="s">
        <v>73</v>
      </c>
      <c r="K59" s="304">
        <f>3*SQRT((I57*I58*I60/I59))</f>
        <v>132.43694309782293</v>
      </c>
      <c r="L59" s="304"/>
      <c r="M59" s="306"/>
      <c r="R59"/>
    </row>
    <row r="60" spans="1:24" s="6" customFormat="1" ht="18" customHeight="1">
      <c r="A60" s="100" t="s">
        <v>74</v>
      </c>
      <c r="B60" s="302"/>
      <c r="C60" s="570"/>
      <c r="D60" s="571"/>
      <c r="E60" s="572"/>
      <c r="F60" s="575"/>
      <c r="G60" s="576"/>
      <c r="H60" s="307">
        <f>LongTest!AE33</f>
        <v>720</v>
      </c>
      <c r="I60" s="303">
        <f>SkinFactor!H16</f>
        <v>0.5</v>
      </c>
      <c r="J60" s="295" t="s">
        <v>75</v>
      </c>
      <c r="K60" s="304">
        <f>SQRT(2.25*I61*I60/I59)</f>
        <v>96.752222348372882</v>
      </c>
      <c r="L60" s="304"/>
      <c r="M60" s="306"/>
    </row>
    <row r="61" spans="1:24" s="6" customFormat="1" ht="18" customHeight="1">
      <c r="A61" s="100" t="s">
        <v>76</v>
      </c>
      <c r="B61" s="375">
        <f>SkinFactor!H13</f>
        <v>1.7969999999999999</v>
      </c>
      <c r="C61" s="374">
        <f>B61</f>
        <v>1.7969999999999999</v>
      </c>
      <c r="D61" s="581"/>
      <c r="E61" s="582"/>
      <c r="F61" s="581"/>
      <c r="G61" s="582"/>
      <c r="H61" s="295" t="s">
        <v>28</v>
      </c>
      <c r="I61" s="295">
        <f>C62</f>
        <v>2.339</v>
      </c>
      <c r="J61" s="295" t="s">
        <v>77</v>
      </c>
      <c r="K61" s="304">
        <f>((K58+K59+K60)/3)</f>
        <v>112.44115889136269</v>
      </c>
      <c r="L61" s="304"/>
      <c r="M61" s="306"/>
    </row>
    <row r="62" spans="1:24" s="6" customFormat="1" ht="18" customHeight="1" thickBot="1">
      <c r="A62" s="101" t="s">
        <v>61</v>
      </c>
      <c r="B62" s="308"/>
      <c r="C62" s="373">
        <f>(C58+C59+C61)/2</f>
        <v>2.339</v>
      </c>
      <c r="D62" s="583"/>
      <c r="E62" s="584"/>
      <c r="F62" s="585">
        <f>F59</f>
        <v>2.811E-4</v>
      </c>
      <c r="G62" s="586"/>
      <c r="H62" s="309" t="s">
        <v>78</v>
      </c>
      <c r="I62" s="310">
        <v>70.33</v>
      </c>
      <c r="J62" s="309" t="s">
        <v>79</v>
      </c>
      <c r="K62" s="311">
        <f>MAX(K58:K60)</f>
        <v>132.43694309782293</v>
      </c>
      <c r="L62" s="312"/>
      <c r="M62" s="313"/>
    </row>
    <row r="63" spans="1:24" s="6" customFormat="1" ht="18" customHeight="1" thickBot="1">
      <c r="A63" s="251"/>
      <c r="B63" s="251"/>
      <c r="C63" s="251"/>
      <c r="D63" s="251"/>
      <c r="E63" s="251"/>
      <c r="F63" s="251"/>
      <c r="G63" s="251"/>
    </row>
    <row r="64" spans="1:24" s="315" customFormat="1" ht="97.5" customHeight="1" thickBot="1">
      <c r="A64" s="314"/>
      <c r="B64" s="314"/>
      <c r="C64" s="314"/>
      <c r="D64" s="314"/>
      <c r="E64" s="314"/>
      <c r="F64" s="314"/>
      <c r="G64" s="314"/>
      <c r="Q64" s="316" t="s">
        <v>350</v>
      </c>
      <c r="R64" s="317" t="s">
        <v>351</v>
      </c>
      <c r="S64" s="317" t="s">
        <v>352</v>
      </c>
      <c r="T64" s="317" t="s">
        <v>353</v>
      </c>
      <c r="U64" s="317" t="s">
        <v>354</v>
      </c>
      <c r="V64" s="317" t="s">
        <v>218</v>
      </c>
      <c r="W64" s="317" t="s">
        <v>219</v>
      </c>
      <c r="X64" s="318" t="s">
        <v>220</v>
      </c>
    </row>
    <row r="69" spans="17:17">
      <c r="Q69" s="319"/>
    </row>
    <row r="70" spans="17:17">
      <c r="Q70" s="319"/>
    </row>
    <row r="71" spans="17:17">
      <c r="Q71" s="319"/>
    </row>
    <row r="72" spans="17:17">
      <c r="Q72" s="319"/>
    </row>
    <row r="73" spans="17:17">
      <c r="Q73" s="319"/>
    </row>
    <row r="80" spans="17:17" ht="27.75" customHeight="1"/>
    <row r="999" spans="26:26">
      <c r="Z999" s="299">
        <v>2880</v>
      </c>
    </row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75" r:id="rId12" name="OptionButton1">
          <controlPr defaultSize="0" autoLine="0" r:id="rId13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12" name="OptionButton1"/>
      </mc:Fallback>
    </mc:AlternateContent>
    <mc:AlternateContent xmlns:mc="http://schemas.openxmlformats.org/markup-compatibility/2006">
      <mc:Choice Requires="x14">
        <control shapeId="1076" r:id="rId14" name="OptionButton2">
          <controlPr defaultSize="0" autoLine="0" r:id="rId15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14" name="OptionButton2"/>
      </mc:Fallback>
    </mc:AlternateContent>
    <mc:AlternateContent xmlns:mc="http://schemas.openxmlformats.org/markup-compatibility/2006">
      <mc:Choice Requires="x14">
        <control shapeId="1079" r:id="rId16" name="CommandButton_STEP">
          <controlPr defaultSize="0" autoLine="0" autoPict="0" r:id="rId17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16" name="CommandButton_ST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95" t="str">
        <f>Input!I45</f>
        <v>시묘리 352-1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논산시 은진면 시묘리 352-1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51" t="s">
        <v>116</v>
      </c>
      <c r="C3" s="452" t="s">
        <v>13</v>
      </c>
      <c r="D3" s="452" t="s">
        <v>28</v>
      </c>
      <c r="E3" s="452" t="s">
        <v>117</v>
      </c>
      <c r="F3" s="452" t="s">
        <v>32</v>
      </c>
      <c r="G3" s="452" t="s">
        <v>118</v>
      </c>
      <c r="H3" s="452" t="s">
        <v>35</v>
      </c>
      <c r="I3" s="45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54">
        <f>LongTest!G10</f>
        <v>2.9256377634303292</v>
      </c>
      <c r="C4" s="455">
        <f>LongTest!B10</f>
        <v>150</v>
      </c>
      <c r="D4" s="456">
        <v>6.3520341974657759</v>
      </c>
      <c r="E4" s="457">
        <f>Input!M44/2000</f>
        <v>0.125</v>
      </c>
      <c r="F4" s="458">
        <v>5.0000000000000001E-4</v>
      </c>
      <c r="G4" s="458">
        <f>PI()</f>
        <v>3.1415926535897931</v>
      </c>
      <c r="H4" s="458">
        <f>Input!$A$46</f>
        <v>0.12680279999999999</v>
      </c>
      <c r="I4" s="459">
        <f>Input!M48</f>
        <v>7.2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60"/>
      <c r="C5" s="461"/>
      <c r="D5" s="462">
        <v>2.8809999999999998</v>
      </c>
      <c r="E5" s="463" t="s">
        <v>235</v>
      </c>
      <c r="F5" s="461"/>
      <c r="G5" s="461"/>
      <c r="H5" s="458"/>
      <c r="I5" s="46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65" t="s">
        <v>120</v>
      </c>
      <c r="C6" s="466">
        <f>(2*G4*B4*D5)/(C4)</f>
        <v>0.3530631736469137</v>
      </c>
      <c r="D6" s="467"/>
      <c r="E6" s="466">
        <f>1.15*LOG((2.25*D5*(1/1440))/(F4*E4^2))</f>
        <v>3.1746592420360527</v>
      </c>
      <c r="F6" s="468" t="s">
        <v>121</v>
      </c>
      <c r="G6" s="469">
        <f>C6-E6</f>
        <v>-2.8215960683891388</v>
      </c>
      <c r="H6" s="458"/>
      <c r="I6" s="459">
        <f>Input!M49</f>
        <v>42.8</v>
      </c>
      <c r="J6" s="107">
        <f>MAX(C13,C18,C23)</f>
        <v>132.4</v>
      </c>
      <c r="K6" s="105" t="s">
        <v>214</v>
      </c>
      <c r="M6" s="12"/>
      <c r="N6" s="7"/>
      <c r="O6" s="7"/>
    </row>
    <row r="7" spans="1:15" ht="23.1" customHeight="1">
      <c r="A7" s="7"/>
      <c r="B7" s="470" t="s">
        <v>122</v>
      </c>
      <c r="C7" s="458">
        <f>2.25*D4*(120/1440)</f>
        <v>1.1910064120248329</v>
      </c>
      <c r="D7" s="461"/>
      <c r="E7" s="471" t="s">
        <v>123</v>
      </c>
      <c r="F7" s="458">
        <f>F4*10^(5.46*D4*H4)</f>
        <v>12.495632560347666</v>
      </c>
      <c r="G7" s="471" t="s">
        <v>124</v>
      </c>
      <c r="H7" s="458">
        <f>F4*EXP(4*G4*D4*H4)</f>
        <v>12.437954639446524</v>
      </c>
      <c r="I7" s="464" t="s">
        <v>125</v>
      </c>
      <c r="J7" s="108">
        <f>ROUND((C13+C18+C23)/3,1)</f>
        <v>112.4</v>
      </c>
      <c r="K7" s="106" t="s">
        <v>215</v>
      </c>
      <c r="L7" s="7"/>
      <c r="M7" s="12"/>
      <c r="N7" s="7"/>
      <c r="O7" s="7"/>
    </row>
    <row r="8" spans="1:15" ht="23.1" customHeight="1" thickBot="1">
      <c r="A8" s="7"/>
      <c r="B8" s="472" t="s">
        <v>126</v>
      </c>
      <c r="C8" s="473">
        <f>ROUND(E4*EXP(-1*G6),3)</f>
        <v>2.1</v>
      </c>
      <c r="D8" s="474"/>
      <c r="E8" s="474"/>
      <c r="F8" s="475"/>
      <c r="G8" s="474"/>
      <c r="H8" s="476"/>
      <c r="I8" s="477">
        <f>Input!M45</f>
        <v>88</v>
      </c>
      <c r="J8" s="103" t="s">
        <v>237</v>
      </c>
      <c r="K8" s="109">
        <f>ROUND(SQRT(C7/F7),4)</f>
        <v>0.30869999999999997</v>
      </c>
      <c r="L8" s="7"/>
      <c r="M8" s="7"/>
      <c r="N8" s="13"/>
      <c r="O8" s="7"/>
    </row>
    <row r="9" spans="1:15" ht="23.1" customHeight="1" thickBot="1">
      <c r="A9" s="7"/>
      <c r="B9" s="403" t="s">
        <v>342</v>
      </c>
      <c r="C9" s="404">
        <v>1440</v>
      </c>
      <c r="D9" s="7"/>
      <c r="E9" s="7"/>
      <c r="F9" s="7"/>
      <c r="G9" s="7"/>
      <c r="H9" s="8"/>
      <c r="I9" s="478" t="s">
        <v>127</v>
      </c>
      <c r="J9" s="103" t="s">
        <v>238</v>
      </c>
      <c r="K9" s="110">
        <f>ROUND(SQRT(C7/H7),4)</f>
        <v>0.30940000000000001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9">
        <f>LongTest!F101</f>
        <v>9.2431017679114742</v>
      </c>
      <c r="D10" s="551">
        <f>LongTest!F97</f>
        <v>11.227777756833936</v>
      </c>
      <c r="E10" s="402">
        <v>7.9329999999999998E-2</v>
      </c>
      <c r="F10" s="409" t="s">
        <v>343</v>
      </c>
      <c r="H10" s="249" t="s">
        <v>84</v>
      </c>
      <c r="I10" s="479">
        <f>Input!I52</f>
        <v>12</v>
      </c>
      <c r="J10" s="104" t="s">
        <v>239</v>
      </c>
      <c r="K10" s="111">
        <f>ROUND(E4*SQRT(E10/F4),4)</f>
        <v>1.5745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50">
        <f>I6-C10</f>
        <v>33.556898232088521</v>
      </c>
      <c r="D11" s="552">
        <f>I6-D10</f>
        <v>31.57222224316606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80" t="s">
        <v>130</v>
      </c>
      <c r="C13" s="481">
        <f>ROUND(SQRT(6*B16*E16*H16/I16),1)</f>
        <v>108.1</v>
      </c>
      <c r="D13" s="482"/>
      <c r="E13" s="483" t="s">
        <v>248</v>
      </c>
      <c r="F13" s="484">
        <f>D5</f>
        <v>2.8809999999999998</v>
      </c>
      <c r="G13" s="483" t="s">
        <v>247</v>
      </c>
      <c r="H13" s="485">
        <v>1.7969999999999999</v>
      </c>
      <c r="I13" s="486">
        <v>78.14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60"/>
      <c r="C14" s="461"/>
      <c r="D14" s="461"/>
      <c r="E14" s="461"/>
      <c r="F14" s="461"/>
      <c r="G14" s="461"/>
      <c r="H14" s="458"/>
      <c r="I14" s="487"/>
      <c r="J14" s="7"/>
      <c r="K14" s="7"/>
      <c r="L14" s="7"/>
      <c r="M14" s="7"/>
      <c r="N14" s="7"/>
      <c r="O14" s="7"/>
    </row>
    <row r="15" spans="1:15" ht="23.1" customHeight="1">
      <c r="A15" s="7"/>
      <c r="B15" s="488" t="s">
        <v>131</v>
      </c>
      <c r="C15" s="458" t="s">
        <v>132</v>
      </c>
      <c r="D15" s="458" t="s">
        <v>133</v>
      </c>
      <c r="E15" s="458" t="s">
        <v>68</v>
      </c>
      <c r="F15" s="458" t="s">
        <v>134</v>
      </c>
      <c r="G15" s="458" t="s">
        <v>135</v>
      </c>
      <c r="H15" s="458" t="s">
        <v>136</v>
      </c>
      <c r="I15" s="48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490">
        <f>I6-I4</f>
        <v>35.599999999999994</v>
      </c>
      <c r="C16" s="491">
        <f>I8-IF(I4&gt;I10,I4,I10)</f>
        <v>76</v>
      </c>
      <c r="D16" s="492">
        <f>(F13+H13)/2</f>
        <v>2.339</v>
      </c>
      <c r="E16" s="493">
        <f>INT(D16/C16*100000)/100000</f>
        <v>3.0769999999999999E-2</v>
      </c>
      <c r="F16" s="494">
        <v>1440</v>
      </c>
      <c r="G16" s="495">
        <v>720</v>
      </c>
      <c r="H16" s="492">
        <f>INT(G16/F16*10000)/10000</f>
        <v>0.5</v>
      </c>
      <c r="I16" s="496">
        <v>2.811E-4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80" t="s">
        <v>137</v>
      </c>
      <c r="C18" s="481">
        <f>ROUND(3*SQRT(B21*E21*H21/I21),1)</f>
        <v>132.4</v>
      </c>
      <c r="D18" s="482"/>
      <c r="E18" s="482"/>
      <c r="F18" s="482"/>
      <c r="G18" s="482"/>
      <c r="H18" s="497"/>
      <c r="I18" s="498"/>
      <c r="J18" s="7"/>
      <c r="K18" s="7"/>
      <c r="L18" s="7"/>
      <c r="M18" s="7"/>
      <c r="N18" s="7"/>
      <c r="O18" s="7"/>
    </row>
    <row r="19" spans="1:15" ht="23.1" customHeight="1">
      <c r="A19" s="7"/>
      <c r="B19" s="460"/>
      <c r="C19" s="461"/>
      <c r="D19" s="461"/>
      <c r="E19" s="461"/>
      <c r="F19" s="461"/>
      <c r="G19" s="461"/>
      <c r="H19" s="458"/>
      <c r="I19" s="487"/>
      <c r="J19" s="7"/>
      <c r="K19" s="7"/>
      <c r="L19" s="7"/>
      <c r="M19" s="7"/>
      <c r="N19" s="7"/>
      <c r="O19" s="7"/>
    </row>
    <row r="20" spans="1:15" ht="23.1" customHeight="1">
      <c r="A20" s="7"/>
      <c r="B20" s="488" t="s">
        <v>138</v>
      </c>
      <c r="C20" s="458" t="s">
        <v>38</v>
      </c>
      <c r="D20" s="458" t="s">
        <v>139</v>
      </c>
      <c r="E20" s="499" t="s">
        <v>68</v>
      </c>
      <c r="F20" s="458" t="s">
        <v>134</v>
      </c>
      <c r="G20" s="458" t="s">
        <v>140</v>
      </c>
      <c r="H20" s="458" t="s">
        <v>39</v>
      </c>
      <c r="I20" s="487" t="s">
        <v>32</v>
      </c>
      <c r="J20" s="7"/>
      <c r="K20" s="7"/>
      <c r="L20" s="7"/>
      <c r="M20" s="7"/>
      <c r="N20" s="98"/>
      <c r="O20" s="7"/>
    </row>
    <row r="21" spans="1:15" ht="23.1" customHeight="1" thickBot="1">
      <c r="A21" s="7"/>
      <c r="B21" s="500">
        <f t="shared" ref="B21:I21" si="0">B16</f>
        <v>35.599999999999994</v>
      </c>
      <c r="C21" s="501">
        <f t="shared" si="0"/>
        <v>76</v>
      </c>
      <c r="D21" s="494">
        <f t="shared" si="0"/>
        <v>2.339</v>
      </c>
      <c r="E21" s="492">
        <f t="shared" si="0"/>
        <v>3.0769999999999999E-2</v>
      </c>
      <c r="F21" s="494">
        <f t="shared" si="0"/>
        <v>1440</v>
      </c>
      <c r="G21" s="494">
        <f t="shared" si="0"/>
        <v>720</v>
      </c>
      <c r="H21" s="494">
        <f t="shared" si="0"/>
        <v>0.5</v>
      </c>
      <c r="I21" s="502">
        <f t="shared" si="0"/>
        <v>2.811E-4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80" t="s">
        <v>141</v>
      </c>
      <c r="C23" s="481">
        <f>ROUND(SQRT((2.25*D26*H26)/I26),1)</f>
        <v>96.8</v>
      </c>
      <c r="D23" s="482"/>
      <c r="E23" s="482"/>
      <c r="F23" s="482"/>
      <c r="G23" s="482"/>
      <c r="H23" s="497"/>
      <c r="I23" s="498"/>
      <c r="J23" s="7"/>
      <c r="K23" s="7"/>
      <c r="L23" s="7"/>
      <c r="M23" s="7"/>
      <c r="N23" s="7"/>
      <c r="O23" s="7"/>
    </row>
    <row r="24" spans="1:15" ht="23.1" customHeight="1">
      <c r="A24" s="7"/>
      <c r="B24" s="460"/>
      <c r="C24" s="461"/>
      <c r="D24" s="461"/>
      <c r="E24" s="461"/>
      <c r="F24" s="461"/>
      <c r="G24" s="461"/>
      <c r="H24" s="458"/>
      <c r="I24" s="487"/>
      <c r="J24" s="7"/>
      <c r="K24" s="7"/>
      <c r="L24" s="7"/>
      <c r="M24" s="7"/>
      <c r="N24" s="95"/>
      <c r="O24" s="7"/>
    </row>
    <row r="25" spans="1:15" ht="23.1" customHeight="1">
      <c r="A25" s="7"/>
      <c r="B25" s="488" t="s">
        <v>138</v>
      </c>
      <c r="C25" s="458" t="s">
        <v>38</v>
      </c>
      <c r="D25" s="458" t="s">
        <v>139</v>
      </c>
      <c r="E25" s="458" t="s">
        <v>68</v>
      </c>
      <c r="F25" s="458" t="s">
        <v>134</v>
      </c>
      <c r="G25" s="458" t="s">
        <v>140</v>
      </c>
      <c r="H25" s="499" t="s">
        <v>39</v>
      </c>
      <c r="I25" s="48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00">
        <f t="shared" ref="B26:G26" si="1">B21</f>
        <v>35.599999999999994</v>
      </c>
      <c r="C26" s="494">
        <f t="shared" si="1"/>
        <v>76</v>
      </c>
      <c r="D26" s="494">
        <f t="shared" si="1"/>
        <v>2.339</v>
      </c>
      <c r="E26" s="493">
        <f t="shared" si="1"/>
        <v>3.0769999999999999E-2</v>
      </c>
      <c r="F26" s="494">
        <f t="shared" si="1"/>
        <v>1440</v>
      </c>
      <c r="G26" s="494">
        <f t="shared" si="1"/>
        <v>720</v>
      </c>
      <c r="H26" s="492">
        <f>INT(G16/F16*10000)/10000</f>
        <v>0.5</v>
      </c>
      <c r="I26" s="502">
        <f>I21</f>
        <v>2.811E-4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96"/>
      <c r="E27" s="9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63">
        <f>D16</f>
        <v>2.339</v>
      </c>
      <c r="D28" s="166">
        <f>(C28/C16)*(1/86400)</f>
        <v>3.5620735867446389E-7</v>
      </c>
      <c r="E28" s="9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64">
        <f>I16</f>
        <v>2.811E-4</v>
      </c>
      <c r="D29" s="8">
        <f>(C28*1)/(C16*86400)</f>
        <v>3.5620735867446394E-7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65">
        <f>(C13+C18+C23)/3</f>
        <v>112.43333333333334</v>
      </c>
      <c r="D30" s="7"/>
      <c r="E30" s="160">
        <f>(C13+C18)/2</f>
        <v>120.25</v>
      </c>
      <c r="F30" s="161">
        <f>MAX(C13,C18)</f>
        <v>132.4</v>
      </c>
      <c r="G30" s="162">
        <f>ROUND(C4/(G4*F30^2*I16),3)</f>
        <v>9.69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8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88">
        <f>StepTest!B12</f>
        <v>94</v>
      </c>
    </row>
    <row r="3" spans="1:2" ht="20.100000000000001" customHeight="1">
      <c r="A3" s="19" t="s">
        <v>146</v>
      </c>
      <c r="B3" s="89">
        <f>StepTest!G31</f>
        <v>14.9</v>
      </c>
    </row>
    <row r="4" spans="1:2" ht="20.100000000000001" customHeight="1">
      <c r="A4" s="19" t="s">
        <v>147</v>
      </c>
      <c r="B4" s="90">
        <f>StepTest!G46</f>
        <v>31.68</v>
      </c>
    </row>
    <row r="5" spans="1:2" ht="20.100000000000001" customHeight="1">
      <c r="A5" s="20" t="s">
        <v>148</v>
      </c>
      <c r="B5" s="90">
        <f>2/3</f>
        <v>0.66666666666666663</v>
      </c>
    </row>
    <row r="6" spans="1:2" ht="20.100000000000001" customHeight="1">
      <c r="A6" s="19"/>
      <c r="B6" s="90"/>
    </row>
    <row r="7" spans="1:2" ht="20.100000000000001" customHeight="1">
      <c r="A7" s="19" t="s">
        <v>149</v>
      </c>
      <c r="B7" s="90">
        <f>B2*(B4/B3)^(2/3)</f>
        <v>155.42723577017168</v>
      </c>
    </row>
    <row r="8" spans="1:2" ht="20.100000000000001" customHeight="1">
      <c r="A8" s="19" t="s">
        <v>150</v>
      </c>
      <c r="B8" s="90">
        <f>INT(B7)</f>
        <v>155</v>
      </c>
    </row>
    <row r="9" spans="1:2" ht="24.75" customHeight="1">
      <c r="B9" s="90"/>
    </row>
    <row r="10" spans="1:2" ht="24.75" customHeight="1">
      <c r="B10" s="90"/>
    </row>
    <row r="11" spans="1:2">
      <c r="B11" s="91">
        <f>B8/Input!$D$23</f>
        <v>0.90116279069767447</v>
      </c>
    </row>
    <row r="12" spans="1:2" ht="17.25" thickBot="1"/>
    <row r="13" spans="1:2" ht="24.95" customHeight="1">
      <c r="A13" s="21" t="s">
        <v>151</v>
      </c>
      <c r="B13" s="92">
        <f>Input!$D$6</f>
        <v>172</v>
      </c>
    </row>
    <row r="14" spans="1:2" ht="24.95" customHeight="1">
      <c r="A14" s="22" t="s">
        <v>52</v>
      </c>
      <c r="B14" s="93">
        <f>B8</f>
        <v>155</v>
      </c>
    </row>
    <row r="15" spans="1:2" ht="24.95" customHeight="1" thickBot="1">
      <c r="A15" s="23" t="s">
        <v>152</v>
      </c>
      <c r="B15" s="94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22" zoomScaleNormal="100" zoomScaleSheetLayoutView="100" workbookViewId="0">
      <selection activeCell="F46" sqref="F46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32" bestFit="1" customWidth="1"/>
    <col min="19" max="19" width="4.125" style="332" bestFit="1" customWidth="1"/>
    <col min="20" max="20" width="5.5" style="332" bestFit="1" customWidth="1"/>
    <col min="21" max="21" width="7.5" style="344" bestFit="1" customWidth="1"/>
    <col min="22" max="23" width="8.75" style="332" customWidth="1"/>
    <col min="24" max="24" width="9.125" style="332" customWidth="1"/>
    <col min="25" max="25" width="7.375" style="332" customWidth="1"/>
    <col min="26" max="26" width="9.125" style="299" bestFit="1" customWidth="1"/>
    <col min="27" max="27" width="6.5" style="299" bestFit="1" customWidth="1"/>
    <col min="28" max="28" width="7.25" style="299" customWidth="1"/>
    <col min="29" max="29" width="6.625" style="299" customWidth="1"/>
    <col min="30" max="30" width="6.875" style="299" bestFit="1" customWidth="1"/>
    <col min="31" max="31" width="7.125" style="299" customWidth="1"/>
    <col min="32" max="32" width="6.875" style="299" customWidth="1"/>
    <col min="33" max="33" width="6.25" style="299" customWidth="1"/>
    <col min="34" max="34" width="5.375" style="1" customWidth="1"/>
    <col min="35" max="16384" width="9" style="24"/>
  </cols>
  <sheetData>
    <row r="1" spans="1:136" ht="26.25">
      <c r="A1" s="82" t="s">
        <v>153</v>
      </c>
      <c r="B1" s="83"/>
      <c r="C1" s="83"/>
      <c r="D1" s="83"/>
      <c r="E1" s="83"/>
      <c r="F1" s="83"/>
      <c r="G1" s="83"/>
      <c r="H1" s="83"/>
      <c r="I1" s="84"/>
      <c r="J1" s="364"/>
      <c r="L1" s="37"/>
    </row>
    <row r="2" spans="1:136" s="26" customFormat="1" ht="20.25">
      <c r="A2" s="85"/>
      <c r="B2" s="83"/>
      <c r="C2" s="83"/>
      <c r="D2" s="83"/>
      <c r="E2" s="83"/>
      <c r="F2" s="83"/>
      <c r="G2" s="83"/>
      <c r="H2" s="83"/>
      <c r="I2" s="84"/>
      <c r="J2" s="28"/>
      <c r="P2" s="27"/>
      <c r="Q2" s="119" t="s">
        <v>154</v>
      </c>
      <c r="R2" s="345"/>
      <c r="S2" s="345"/>
      <c r="T2" s="346" t="s">
        <v>155</v>
      </c>
      <c r="U2" s="347"/>
      <c r="V2" s="346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</row>
    <row r="3" spans="1:136" s="27" customFormat="1" ht="27" thickBot="1">
      <c r="A3" s="86" t="s">
        <v>156</v>
      </c>
      <c r="B3" s="86"/>
      <c r="C3" s="86"/>
      <c r="D3" s="86"/>
      <c r="E3" s="86"/>
      <c r="F3" s="86"/>
      <c r="G3" s="86"/>
      <c r="H3" s="87"/>
      <c r="I3" s="86"/>
      <c r="J3" s="28"/>
      <c r="Q3" s="112" t="s">
        <v>157</v>
      </c>
      <c r="R3" s="140"/>
      <c r="S3" s="117" t="s">
        <v>13</v>
      </c>
      <c r="T3" s="117" t="s">
        <v>28</v>
      </c>
      <c r="U3" s="348" t="s">
        <v>158</v>
      </c>
      <c r="V3" s="117" t="s">
        <v>32</v>
      </c>
      <c r="W3" s="117" t="s">
        <v>159</v>
      </c>
      <c r="X3" s="117" t="s">
        <v>39</v>
      </c>
      <c r="Y3" s="117" t="s">
        <v>12</v>
      </c>
      <c r="Z3" s="140"/>
      <c r="AA3" s="140"/>
      <c r="AB3" s="140"/>
      <c r="AC3" s="140">
        <v>0</v>
      </c>
      <c r="AD3" s="140"/>
      <c r="AE3" s="140"/>
      <c r="AF3" s="140"/>
      <c r="AG3" s="140"/>
      <c r="AI3" s="28"/>
    </row>
    <row r="4" spans="1:136" s="27" customFormat="1" ht="23.1" customHeight="1">
      <c r="A4" s="596" t="s">
        <v>160</v>
      </c>
      <c r="B4" s="597"/>
      <c r="C4" s="410" t="str">
        <f>Input!I44</f>
        <v>벌곡 한삼천등 8지구 소규모수도시설 지하수영향조사 및 사후관리 용역</v>
      </c>
      <c r="D4" s="411"/>
      <c r="E4" s="411"/>
      <c r="F4" s="411"/>
      <c r="G4" s="411"/>
      <c r="H4" s="412"/>
      <c r="I4" s="413"/>
      <c r="J4" s="28"/>
      <c r="P4" s="37">
        <v>1</v>
      </c>
      <c r="Q4" s="159">
        <v>-0.72174621582031306</v>
      </c>
      <c r="R4" s="320">
        <f>B12</f>
        <v>94</v>
      </c>
      <c r="S4" s="140">
        <f>$R$4</f>
        <v>94</v>
      </c>
      <c r="T4" s="367">
        <v>2.5736493273561547</v>
      </c>
      <c r="U4" s="349">
        <f>Input!M44/2/1000</f>
        <v>0.125</v>
      </c>
      <c r="V4" s="350">
        <v>5.0000000000000001E-4</v>
      </c>
      <c r="W4" s="140">
        <f t="shared" ref="W4:W43" si="0">X4/1440</f>
        <v>6.9444444444444447E-4</v>
      </c>
      <c r="X4" s="321">
        <f>D12</f>
        <v>1</v>
      </c>
      <c r="Y4" s="150">
        <f t="shared" ref="Y4:Y43" si="1">2.3*S4/(4*PI()*T4)*LOG10((2.25*T4*W4)/(U4*U4*V4))</f>
        <v>18.126701140349802</v>
      </c>
      <c r="Z4" s="152">
        <f>Z22</f>
        <v>17.125869099809393</v>
      </c>
      <c r="AA4" s="150">
        <f>$Z$4</f>
        <v>17.125869099809393</v>
      </c>
      <c r="AB4" s="150">
        <f>X4</f>
        <v>1</v>
      </c>
      <c r="AC4" s="150">
        <f>Y4-AA4</f>
        <v>1.0008320405404092</v>
      </c>
      <c r="AD4" s="351">
        <f>INT((AC4-AE4)*100)/100</f>
        <v>1.72</v>
      </c>
      <c r="AE4" s="352">
        <f>Q4</f>
        <v>-0.72174621582031306</v>
      </c>
      <c r="AF4" s="152">
        <f t="shared" ref="AF4:AF21" si="2">AF5-0.01</f>
        <v>0.80999999999999983</v>
      </c>
      <c r="AG4" s="150"/>
      <c r="AH4" s="29"/>
      <c r="AI4" s="29"/>
    </row>
    <row r="5" spans="1:136" s="27" customFormat="1" ht="23.1" customHeight="1">
      <c r="A5" s="598" t="s">
        <v>161</v>
      </c>
      <c r="B5" s="599"/>
      <c r="C5" s="123" t="str">
        <f>Input!I45</f>
        <v>시묘리 352-1</v>
      </c>
      <c r="D5" s="121"/>
      <c r="E5" s="121"/>
      <c r="F5" s="124"/>
      <c r="G5" s="121"/>
      <c r="H5" s="125" t="str">
        <f>Input!J48</f>
        <v>공  번 : W - 1</v>
      </c>
      <c r="I5" s="415"/>
      <c r="J5" s="28"/>
      <c r="P5" s="37">
        <v>2</v>
      </c>
      <c r="Q5" s="159"/>
      <c r="R5" s="140"/>
      <c r="S5" s="140">
        <f t="shared" ref="S5:S23" si="3">$R$4</f>
        <v>94</v>
      </c>
      <c r="T5" s="140">
        <f>$T4</f>
        <v>2.5736493273561547</v>
      </c>
      <c r="U5" s="353">
        <f>$U4</f>
        <v>0.125</v>
      </c>
      <c r="V5" s="140">
        <f>$V4</f>
        <v>5.0000000000000001E-4</v>
      </c>
      <c r="W5" s="140">
        <f t="shared" si="0"/>
        <v>1.3888888888888889E-3</v>
      </c>
      <c r="X5" s="321">
        <f t="shared" ref="X5:X43" si="4">D13</f>
        <v>2</v>
      </c>
      <c r="Y5" s="150">
        <f t="shared" si="1"/>
        <v>20.13906368859935</v>
      </c>
      <c r="Z5" s="140"/>
      <c r="AA5" s="150">
        <f t="shared" ref="AA5:AA23" si="5">$Z$4</f>
        <v>17.125869099809393</v>
      </c>
      <c r="AB5" s="150">
        <f t="shared" ref="AB5:AB43" si="6">X5</f>
        <v>2</v>
      </c>
      <c r="AC5" s="150">
        <f t="shared" ref="AC5:AC43" si="7">Y5-AA5</f>
        <v>3.0131945887899576</v>
      </c>
      <c r="AD5" s="351">
        <f t="shared" ref="AD5:AD16" si="8">INT((AC5-AE5)*100)/100</f>
        <v>3.01</v>
      </c>
      <c r="AE5" s="352">
        <f t="shared" ref="AE5:AE16" si="9">Q5</f>
        <v>0</v>
      </c>
      <c r="AF5" s="152">
        <f t="shared" si="2"/>
        <v>0.81999999999999984</v>
      </c>
      <c r="AG5" s="150"/>
      <c r="AH5" s="29"/>
      <c r="AI5" s="29"/>
    </row>
    <row r="6" spans="1:136" s="27" customFormat="1" ht="23.1" customHeight="1">
      <c r="A6" s="598" t="s">
        <v>162</v>
      </c>
      <c r="B6" s="599"/>
      <c r="C6" s="126" t="str">
        <f>Input!I46</f>
        <v>논산시 은진면 시묘리 352-1</v>
      </c>
      <c r="D6" s="121"/>
      <c r="E6" s="121"/>
      <c r="F6" s="121"/>
      <c r="G6" s="121"/>
      <c r="H6" s="122"/>
      <c r="I6" s="416"/>
      <c r="J6" s="28"/>
      <c r="P6" s="37">
        <v>3</v>
      </c>
      <c r="Q6" s="159"/>
      <c r="R6" s="140"/>
      <c r="S6" s="140">
        <f t="shared" si="3"/>
        <v>94</v>
      </c>
      <c r="T6" s="140">
        <f t="shared" ref="T6:T51" si="10">$T5</f>
        <v>2.5736493273561547</v>
      </c>
      <c r="U6" s="353">
        <f t="shared" ref="U6:U51" si="11">$U5</f>
        <v>0.125</v>
      </c>
      <c r="V6" s="140">
        <f t="shared" ref="V6:V51" si="12">$V5</f>
        <v>5.0000000000000001E-4</v>
      </c>
      <c r="W6" s="140">
        <f t="shared" si="0"/>
        <v>2.0833333333333333E-3</v>
      </c>
      <c r="X6" s="321">
        <f t="shared" si="4"/>
        <v>3</v>
      </c>
      <c r="Y6" s="150">
        <f t="shared" si="1"/>
        <v>21.316220317181003</v>
      </c>
      <c r="Z6" s="140"/>
      <c r="AA6" s="150">
        <f t="shared" si="5"/>
        <v>17.125869099809393</v>
      </c>
      <c r="AB6" s="150">
        <f t="shared" si="6"/>
        <v>3</v>
      </c>
      <c r="AC6" s="150">
        <f t="shared" si="7"/>
        <v>4.1903512173716102</v>
      </c>
      <c r="AD6" s="351">
        <f t="shared" si="8"/>
        <v>4.1900000000000004</v>
      </c>
      <c r="AE6" s="352">
        <f t="shared" si="9"/>
        <v>0</v>
      </c>
      <c r="AF6" s="152">
        <f t="shared" si="2"/>
        <v>0.82999999999999985</v>
      </c>
      <c r="AG6" s="150"/>
      <c r="AH6" s="29"/>
      <c r="AI6" s="29"/>
    </row>
    <row r="7" spans="1:136" s="27" customFormat="1" ht="23.1" customHeight="1">
      <c r="A7" s="598" t="s">
        <v>163</v>
      </c>
      <c r="B7" s="599"/>
      <c r="C7" s="127" t="str">
        <f>Input!I47</f>
        <v>(주)환일</v>
      </c>
      <c r="D7" s="417"/>
      <c r="E7" s="121"/>
      <c r="F7" s="128"/>
      <c r="G7" s="129">
        <f>Input!I49</f>
        <v>45768.479166666664</v>
      </c>
      <c r="H7" s="130"/>
      <c r="I7" s="418"/>
      <c r="J7" s="28"/>
      <c r="P7" s="37">
        <v>4</v>
      </c>
      <c r="Q7" s="159"/>
      <c r="R7" s="140"/>
      <c r="S7" s="140">
        <f t="shared" si="3"/>
        <v>94</v>
      </c>
      <c r="T7" s="140">
        <f t="shared" si="10"/>
        <v>2.5736493273561547</v>
      </c>
      <c r="U7" s="353">
        <f t="shared" si="11"/>
        <v>0.125</v>
      </c>
      <c r="V7" s="140">
        <f t="shared" si="12"/>
        <v>5.0000000000000001E-4</v>
      </c>
      <c r="W7" s="140">
        <f t="shared" si="0"/>
        <v>2.7777777777777779E-3</v>
      </c>
      <c r="X7" s="321">
        <f t="shared" si="4"/>
        <v>4</v>
      </c>
      <c r="Y7" s="150">
        <f t="shared" si="1"/>
        <v>22.151426236848895</v>
      </c>
      <c r="Z7" s="140"/>
      <c r="AA7" s="150">
        <f t="shared" si="5"/>
        <v>17.125869099809393</v>
      </c>
      <c r="AB7" s="150">
        <f t="shared" si="6"/>
        <v>4</v>
      </c>
      <c r="AC7" s="150">
        <f t="shared" si="7"/>
        <v>5.0255571370395025</v>
      </c>
      <c r="AD7" s="351">
        <f t="shared" si="8"/>
        <v>5.0199999999999996</v>
      </c>
      <c r="AE7" s="352">
        <f t="shared" si="9"/>
        <v>0</v>
      </c>
      <c r="AF7" s="152">
        <f t="shared" si="2"/>
        <v>0.83999999999999986</v>
      </c>
      <c r="AG7" s="150"/>
      <c r="AH7" s="29"/>
      <c r="AI7" s="29"/>
    </row>
    <row r="8" spans="1:136" s="27" customFormat="1" ht="23.1" customHeight="1">
      <c r="A8" s="419" t="s">
        <v>164</v>
      </c>
      <c r="B8" s="131"/>
      <c r="C8" s="600">
        <f>Input!I48</f>
        <v>5</v>
      </c>
      <c r="D8" s="601"/>
      <c r="E8" s="602"/>
      <c r="F8" s="132" t="s">
        <v>165</v>
      </c>
      <c r="G8" s="129">
        <f>G7</f>
        <v>45768.479166666664</v>
      </c>
      <c r="H8" s="130"/>
      <c r="I8" s="420"/>
      <c r="J8" s="28"/>
      <c r="K8" s="32"/>
      <c r="P8" s="37">
        <v>5</v>
      </c>
      <c r="Q8" s="159"/>
      <c r="R8" s="140"/>
      <c r="S8" s="140">
        <f t="shared" si="3"/>
        <v>94</v>
      </c>
      <c r="T8" s="140">
        <f t="shared" si="10"/>
        <v>2.5736493273561547</v>
      </c>
      <c r="U8" s="353">
        <f t="shared" si="11"/>
        <v>0.125</v>
      </c>
      <c r="V8" s="140">
        <f t="shared" si="12"/>
        <v>5.0000000000000001E-4</v>
      </c>
      <c r="W8" s="140">
        <f t="shared" si="0"/>
        <v>3.472222222222222E-3</v>
      </c>
      <c r="X8" s="321">
        <f t="shared" si="4"/>
        <v>5</v>
      </c>
      <c r="Y8" s="150">
        <f t="shared" si="1"/>
        <v>22.799262278229548</v>
      </c>
      <c r="Z8" s="140"/>
      <c r="AA8" s="150">
        <f t="shared" si="5"/>
        <v>17.125869099809393</v>
      </c>
      <c r="AB8" s="150">
        <f t="shared" si="6"/>
        <v>5</v>
      </c>
      <c r="AC8" s="150">
        <f t="shared" si="7"/>
        <v>5.6733931784201559</v>
      </c>
      <c r="AD8" s="351">
        <f t="shared" si="8"/>
        <v>5.67</v>
      </c>
      <c r="AE8" s="352">
        <f t="shared" si="9"/>
        <v>0</v>
      </c>
      <c r="AF8" s="152">
        <f t="shared" si="2"/>
        <v>0.84999999999999987</v>
      </c>
      <c r="AG8" s="150"/>
      <c r="AH8" s="29"/>
      <c r="AI8" s="29"/>
    </row>
    <row r="9" spans="1:136" s="27" customFormat="1" ht="23.1" customHeight="1">
      <c r="A9" s="419" t="s">
        <v>166</v>
      </c>
      <c r="B9" s="131"/>
      <c r="C9" s="133" t="s">
        <v>167</v>
      </c>
      <c r="D9" s="603">
        <f>Input!M44</f>
        <v>250</v>
      </c>
      <c r="E9" s="603"/>
      <c r="F9" s="120" t="s">
        <v>168</v>
      </c>
      <c r="G9" s="604">
        <f>Input!M45</f>
        <v>88</v>
      </c>
      <c r="H9" s="604"/>
      <c r="I9" s="421"/>
      <c r="J9" s="28"/>
      <c r="P9" s="37">
        <v>10</v>
      </c>
      <c r="Q9" s="159"/>
      <c r="R9" s="140"/>
      <c r="S9" s="140">
        <f t="shared" si="3"/>
        <v>94</v>
      </c>
      <c r="T9" s="140">
        <f t="shared" si="10"/>
        <v>2.5736493273561547</v>
      </c>
      <c r="U9" s="353">
        <f t="shared" si="11"/>
        <v>0.125</v>
      </c>
      <c r="V9" s="140">
        <f t="shared" si="12"/>
        <v>5.0000000000000001E-4</v>
      </c>
      <c r="W9" s="140">
        <f t="shared" si="0"/>
        <v>6.9444444444444441E-3</v>
      </c>
      <c r="X9" s="321">
        <f t="shared" si="4"/>
        <v>10</v>
      </c>
      <c r="Y9" s="150">
        <f t="shared" si="1"/>
        <v>24.811624826479097</v>
      </c>
      <c r="Z9" s="140"/>
      <c r="AA9" s="150">
        <f t="shared" si="5"/>
        <v>17.125869099809393</v>
      </c>
      <c r="AB9" s="150">
        <f t="shared" si="6"/>
        <v>10</v>
      </c>
      <c r="AC9" s="150">
        <f t="shared" si="7"/>
        <v>7.6857557266697043</v>
      </c>
      <c r="AD9" s="351">
        <f t="shared" si="8"/>
        <v>7.68</v>
      </c>
      <c r="AE9" s="352">
        <f t="shared" si="9"/>
        <v>0</v>
      </c>
      <c r="AF9" s="152">
        <f t="shared" si="2"/>
        <v>0.85999999999999988</v>
      </c>
      <c r="AG9" s="150"/>
      <c r="AH9" s="29"/>
      <c r="AI9" s="29"/>
    </row>
    <row r="10" spans="1:136" s="27" customFormat="1" ht="23.1" customHeight="1">
      <c r="A10" s="419" t="s">
        <v>169</v>
      </c>
      <c r="B10" s="131"/>
      <c r="C10" s="133" t="s">
        <v>216</v>
      </c>
      <c r="D10" s="605">
        <f>Input!M48</f>
        <v>7.2</v>
      </c>
      <c r="E10" s="606"/>
      <c r="F10" s="134" t="s">
        <v>4</v>
      </c>
      <c r="G10" s="607" t="s">
        <v>4</v>
      </c>
      <c r="H10" s="607"/>
      <c r="I10" s="415"/>
      <c r="J10" s="28"/>
      <c r="P10" s="37">
        <v>15</v>
      </c>
      <c r="Q10" s="159"/>
      <c r="R10" s="140"/>
      <c r="S10" s="140">
        <f t="shared" si="3"/>
        <v>94</v>
      </c>
      <c r="T10" s="140">
        <f t="shared" si="10"/>
        <v>2.5736493273561547</v>
      </c>
      <c r="U10" s="353">
        <f t="shared" si="11"/>
        <v>0.125</v>
      </c>
      <c r="V10" s="140">
        <f t="shared" si="12"/>
        <v>5.0000000000000001E-4</v>
      </c>
      <c r="W10" s="140">
        <f t="shared" si="0"/>
        <v>1.0416666666666666E-2</v>
      </c>
      <c r="X10" s="321">
        <f t="shared" si="4"/>
        <v>15</v>
      </c>
      <c r="Y10" s="150">
        <f t="shared" si="1"/>
        <v>25.988781455060749</v>
      </c>
      <c r="Z10" s="140"/>
      <c r="AA10" s="150">
        <f t="shared" si="5"/>
        <v>17.125869099809393</v>
      </c>
      <c r="AB10" s="150">
        <f t="shared" si="6"/>
        <v>15</v>
      </c>
      <c r="AC10" s="150">
        <f t="shared" si="7"/>
        <v>8.8629123552513569</v>
      </c>
      <c r="AD10" s="351">
        <f t="shared" si="8"/>
        <v>8.86</v>
      </c>
      <c r="AE10" s="352">
        <f t="shared" si="9"/>
        <v>0</v>
      </c>
      <c r="AF10" s="152">
        <f t="shared" si="2"/>
        <v>0.86999999999999988</v>
      </c>
      <c r="AG10" s="150"/>
      <c r="AH10" s="29"/>
      <c r="AI10" s="29"/>
    </row>
    <row r="11" spans="1:136" s="27" customFormat="1" ht="23.1" customHeight="1">
      <c r="A11" s="414" t="s">
        <v>170</v>
      </c>
      <c r="B11" s="135" t="s">
        <v>171</v>
      </c>
      <c r="C11" s="133" t="s">
        <v>172</v>
      </c>
      <c r="D11" s="608" t="s">
        <v>173</v>
      </c>
      <c r="E11" s="608"/>
      <c r="F11" s="135" t="s">
        <v>174</v>
      </c>
      <c r="G11" s="609" t="s">
        <v>175</v>
      </c>
      <c r="H11" s="609"/>
      <c r="I11" s="421" t="s">
        <v>176</v>
      </c>
      <c r="J11" s="33">
        <f>G12-J13</f>
        <v>0.43000000000000016</v>
      </c>
      <c r="P11" s="37">
        <v>20</v>
      </c>
      <c r="Q11" s="159"/>
      <c r="R11" s="140"/>
      <c r="S11" s="140">
        <f t="shared" si="3"/>
        <v>94</v>
      </c>
      <c r="T11" s="140">
        <f t="shared" si="10"/>
        <v>2.5736493273561547</v>
      </c>
      <c r="U11" s="353">
        <f t="shared" si="11"/>
        <v>0.125</v>
      </c>
      <c r="V11" s="140">
        <f t="shared" si="12"/>
        <v>5.0000000000000001E-4</v>
      </c>
      <c r="W11" s="140">
        <f t="shared" si="0"/>
        <v>1.3888888888888888E-2</v>
      </c>
      <c r="X11" s="321">
        <f t="shared" si="4"/>
        <v>20</v>
      </c>
      <c r="Y11" s="150">
        <f t="shared" si="1"/>
        <v>26.823987374728642</v>
      </c>
      <c r="Z11" s="140"/>
      <c r="AA11" s="150">
        <f t="shared" si="5"/>
        <v>17.125869099809393</v>
      </c>
      <c r="AB11" s="150">
        <f t="shared" si="6"/>
        <v>20</v>
      </c>
      <c r="AC11" s="150">
        <f t="shared" si="7"/>
        <v>9.6981182749192492</v>
      </c>
      <c r="AD11" s="351">
        <f t="shared" si="8"/>
        <v>9.69</v>
      </c>
      <c r="AE11" s="352">
        <f t="shared" si="9"/>
        <v>0</v>
      </c>
      <c r="AF11" s="152">
        <f t="shared" si="2"/>
        <v>0.87999999999999989</v>
      </c>
      <c r="AG11" s="150"/>
      <c r="AH11" s="29"/>
      <c r="AI11" s="29"/>
    </row>
    <row r="12" spans="1:136" s="27" customFormat="1" ht="23.1" customHeight="1">
      <c r="A12" s="422">
        <v>1</v>
      </c>
      <c r="B12" s="137">
        <f>Input!D20</f>
        <v>94</v>
      </c>
      <c r="C12" s="138">
        <v>45725.430555555555</v>
      </c>
      <c r="D12" s="594">
        <v>1</v>
      </c>
      <c r="E12" s="594"/>
      <c r="F12" s="139">
        <f>G12+$D$10</f>
        <v>8.92</v>
      </c>
      <c r="G12" s="595">
        <f>AD4</f>
        <v>1.72</v>
      </c>
      <c r="H12" s="595"/>
      <c r="I12" s="421" t="s">
        <v>177</v>
      </c>
      <c r="J12" s="365"/>
      <c r="P12" s="37">
        <v>25</v>
      </c>
      <c r="Q12" s="159"/>
      <c r="R12" s="140"/>
      <c r="S12" s="140">
        <f t="shared" si="3"/>
        <v>94</v>
      </c>
      <c r="T12" s="140">
        <f t="shared" si="10"/>
        <v>2.5736493273561547</v>
      </c>
      <c r="U12" s="353">
        <f t="shared" si="11"/>
        <v>0.125</v>
      </c>
      <c r="V12" s="140">
        <f t="shared" si="12"/>
        <v>5.0000000000000001E-4</v>
      </c>
      <c r="W12" s="140">
        <f t="shared" si="0"/>
        <v>1.7361111111111112E-2</v>
      </c>
      <c r="X12" s="321">
        <f t="shared" si="4"/>
        <v>25</v>
      </c>
      <c r="Y12" s="150">
        <f t="shared" si="1"/>
        <v>27.471823416109295</v>
      </c>
      <c r="Z12" s="140"/>
      <c r="AA12" s="150">
        <f t="shared" si="5"/>
        <v>17.125869099809393</v>
      </c>
      <c r="AB12" s="150">
        <f t="shared" si="6"/>
        <v>25</v>
      </c>
      <c r="AC12" s="150">
        <f t="shared" si="7"/>
        <v>10.345954316299903</v>
      </c>
      <c r="AD12" s="351">
        <f t="shared" si="8"/>
        <v>10.34</v>
      </c>
      <c r="AE12" s="352">
        <f t="shared" si="9"/>
        <v>0</v>
      </c>
      <c r="AF12" s="152">
        <f t="shared" si="2"/>
        <v>0.8899999999999999</v>
      </c>
      <c r="AG12" s="150"/>
      <c r="AH12" s="29"/>
      <c r="AI12" s="29"/>
      <c r="EF12" s="27">
        <v>2.46</v>
      </c>
    </row>
    <row r="13" spans="1:136" s="27" customFormat="1" ht="23.1" customHeight="1">
      <c r="A13" s="422"/>
      <c r="B13" s="136"/>
      <c r="C13" s="138"/>
      <c r="D13" s="594">
        <v>2</v>
      </c>
      <c r="E13" s="594"/>
      <c r="F13" s="139">
        <f t="shared" ref="F13:F51" si="13">G13+$D$10</f>
        <v>10.210000000000001</v>
      </c>
      <c r="G13" s="595">
        <f t="shared" ref="G13:G51" si="14">AD5</f>
        <v>3.01</v>
      </c>
      <c r="H13" s="595"/>
      <c r="I13" s="423"/>
      <c r="J13" s="366">
        <f>G13-G12</f>
        <v>1.2899999999999998</v>
      </c>
      <c r="P13" s="37">
        <v>30</v>
      </c>
      <c r="Q13" s="159"/>
      <c r="R13" s="140"/>
      <c r="S13" s="140">
        <f t="shared" si="3"/>
        <v>94</v>
      </c>
      <c r="T13" s="140">
        <f t="shared" si="10"/>
        <v>2.5736493273561547</v>
      </c>
      <c r="U13" s="353">
        <f t="shared" si="11"/>
        <v>0.125</v>
      </c>
      <c r="V13" s="140">
        <f t="shared" si="12"/>
        <v>5.0000000000000001E-4</v>
      </c>
      <c r="W13" s="140">
        <f t="shared" si="0"/>
        <v>2.0833333333333332E-2</v>
      </c>
      <c r="X13" s="321">
        <f t="shared" si="4"/>
        <v>30</v>
      </c>
      <c r="Y13" s="150">
        <f t="shared" si="1"/>
        <v>28.001144003310298</v>
      </c>
      <c r="Z13" s="140"/>
      <c r="AA13" s="150">
        <f t="shared" si="5"/>
        <v>17.125869099809393</v>
      </c>
      <c r="AB13" s="150">
        <f t="shared" si="6"/>
        <v>30</v>
      </c>
      <c r="AC13" s="150">
        <f t="shared" si="7"/>
        <v>10.875274903500905</v>
      </c>
      <c r="AD13" s="351">
        <f t="shared" si="8"/>
        <v>10.87</v>
      </c>
      <c r="AE13" s="352">
        <f t="shared" si="9"/>
        <v>0</v>
      </c>
      <c r="AF13" s="152">
        <f t="shared" si="2"/>
        <v>0.89999999999999991</v>
      </c>
      <c r="AG13" s="150"/>
      <c r="AH13" s="29"/>
      <c r="AI13" s="29"/>
      <c r="EF13" s="27">
        <v>3.77</v>
      </c>
    </row>
    <row r="14" spans="1:136" s="27" customFormat="1" ht="23.1" customHeight="1">
      <c r="A14" s="422"/>
      <c r="B14" s="136"/>
      <c r="C14" s="138"/>
      <c r="D14" s="594">
        <v>3</v>
      </c>
      <c r="E14" s="594"/>
      <c r="F14" s="139">
        <f t="shared" si="13"/>
        <v>11.39</v>
      </c>
      <c r="G14" s="595">
        <f t="shared" si="14"/>
        <v>4.1900000000000004</v>
      </c>
      <c r="H14" s="595"/>
      <c r="I14" s="423"/>
      <c r="J14" s="366">
        <f t="shared" ref="J14:J51" si="15">G14-G13</f>
        <v>1.1800000000000006</v>
      </c>
      <c r="P14" s="37"/>
      <c r="Q14" s="159"/>
      <c r="R14" s="140"/>
      <c r="S14" s="140">
        <f t="shared" si="3"/>
        <v>94</v>
      </c>
      <c r="T14" s="140">
        <f t="shared" si="10"/>
        <v>2.5736493273561547</v>
      </c>
      <c r="U14" s="353">
        <f t="shared" si="11"/>
        <v>0.125</v>
      </c>
      <c r="V14" s="140">
        <f t="shared" si="12"/>
        <v>5.0000000000000001E-4</v>
      </c>
      <c r="W14" s="140">
        <f t="shared" si="0"/>
        <v>2.4305555555555556E-2</v>
      </c>
      <c r="X14" s="321">
        <f t="shared" si="4"/>
        <v>35</v>
      </c>
      <c r="Y14" s="150">
        <f t="shared" si="1"/>
        <v>28.448678183022295</v>
      </c>
      <c r="Z14" s="140"/>
      <c r="AA14" s="150">
        <f t="shared" si="5"/>
        <v>17.125869099809393</v>
      </c>
      <c r="AB14" s="150">
        <f t="shared" si="6"/>
        <v>35</v>
      </c>
      <c r="AC14" s="150">
        <f t="shared" si="7"/>
        <v>11.322809083212903</v>
      </c>
      <c r="AD14" s="351">
        <f t="shared" si="8"/>
        <v>11.32</v>
      </c>
      <c r="AE14" s="352">
        <f t="shared" si="9"/>
        <v>0</v>
      </c>
      <c r="AF14" s="152">
        <f t="shared" si="2"/>
        <v>0.90999999999999992</v>
      </c>
      <c r="AG14" s="150"/>
      <c r="AH14" s="29"/>
      <c r="AI14" s="29"/>
      <c r="EF14" s="27">
        <v>4.87</v>
      </c>
    </row>
    <row r="15" spans="1:136" s="27" customFormat="1" ht="23.1" customHeight="1" thickBot="1">
      <c r="A15" s="422"/>
      <c r="B15" s="136"/>
      <c r="C15" s="138"/>
      <c r="D15" s="594">
        <v>4</v>
      </c>
      <c r="E15" s="594"/>
      <c r="F15" s="139">
        <f t="shared" si="13"/>
        <v>12.219999999999999</v>
      </c>
      <c r="G15" s="595">
        <f t="shared" si="14"/>
        <v>5.0199999999999996</v>
      </c>
      <c r="H15" s="595"/>
      <c r="I15" s="423"/>
      <c r="J15" s="366">
        <f t="shared" si="15"/>
        <v>0.82999999999999918</v>
      </c>
      <c r="P15" s="37"/>
      <c r="Q15" s="159"/>
      <c r="R15" s="140"/>
      <c r="S15" s="140">
        <f t="shared" si="3"/>
        <v>94</v>
      </c>
      <c r="T15" s="140">
        <f t="shared" si="10"/>
        <v>2.5736493273561547</v>
      </c>
      <c r="U15" s="353">
        <f t="shared" si="11"/>
        <v>0.125</v>
      </c>
      <c r="V15" s="140">
        <f t="shared" si="12"/>
        <v>5.0000000000000001E-4</v>
      </c>
      <c r="W15" s="140">
        <f t="shared" si="0"/>
        <v>2.7777777777777776E-2</v>
      </c>
      <c r="X15" s="321">
        <f t="shared" si="4"/>
        <v>40</v>
      </c>
      <c r="Y15" s="150">
        <f t="shared" si="1"/>
        <v>28.83634992297819</v>
      </c>
      <c r="Z15" s="140"/>
      <c r="AA15" s="150">
        <f t="shared" si="5"/>
        <v>17.125869099809393</v>
      </c>
      <c r="AB15" s="150">
        <f t="shared" si="6"/>
        <v>40</v>
      </c>
      <c r="AC15" s="150">
        <f t="shared" si="7"/>
        <v>11.710480823168798</v>
      </c>
      <c r="AD15" s="351">
        <f t="shared" si="8"/>
        <v>11.71</v>
      </c>
      <c r="AE15" s="352">
        <f t="shared" si="9"/>
        <v>0</v>
      </c>
      <c r="AF15" s="152">
        <f t="shared" si="2"/>
        <v>0.91999999999999993</v>
      </c>
      <c r="AG15" s="150"/>
      <c r="AH15" s="29"/>
      <c r="AI15" s="29"/>
      <c r="EF15" s="27">
        <v>5.79</v>
      </c>
    </row>
    <row r="16" spans="1:136" s="27" customFormat="1" ht="23.1" customHeight="1">
      <c r="A16" s="422"/>
      <c r="B16" s="136"/>
      <c r="C16" s="138"/>
      <c r="D16" s="594">
        <v>5</v>
      </c>
      <c r="E16" s="594"/>
      <c r="F16" s="139">
        <f t="shared" si="13"/>
        <v>12.870000000000001</v>
      </c>
      <c r="G16" s="595">
        <f t="shared" si="14"/>
        <v>5.67</v>
      </c>
      <c r="H16" s="595"/>
      <c r="I16" s="423"/>
      <c r="J16" s="366">
        <f t="shared" si="15"/>
        <v>0.65000000000000036</v>
      </c>
      <c r="K16" s="368" t="s">
        <v>244</v>
      </c>
      <c r="L16" s="369" t="s">
        <v>178</v>
      </c>
      <c r="M16" s="369" t="s">
        <v>179</v>
      </c>
      <c r="N16" s="369" t="s">
        <v>242</v>
      </c>
      <c r="O16" s="369" t="s">
        <v>243</v>
      </c>
      <c r="P16" s="370" t="s">
        <v>245</v>
      </c>
      <c r="R16" s="140"/>
      <c r="S16" s="140">
        <f t="shared" si="3"/>
        <v>94</v>
      </c>
      <c r="T16" s="140">
        <f t="shared" si="10"/>
        <v>2.5736493273561547</v>
      </c>
      <c r="U16" s="353">
        <f t="shared" si="11"/>
        <v>0.125</v>
      </c>
      <c r="V16" s="140">
        <f t="shared" si="12"/>
        <v>5.0000000000000001E-4</v>
      </c>
      <c r="W16" s="140">
        <f t="shared" si="0"/>
        <v>3.125E-2</v>
      </c>
      <c r="X16" s="321">
        <f t="shared" si="4"/>
        <v>45</v>
      </c>
      <c r="Y16" s="150">
        <f t="shared" si="1"/>
        <v>29.17830063189195</v>
      </c>
      <c r="Z16" s="140"/>
      <c r="AA16" s="150">
        <f t="shared" si="5"/>
        <v>17.125869099809393</v>
      </c>
      <c r="AB16" s="150">
        <f t="shared" si="6"/>
        <v>45</v>
      </c>
      <c r="AC16" s="150">
        <f t="shared" si="7"/>
        <v>12.052431532082558</v>
      </c>
      <c r="AD16" s="351">
        <f t="shared" si="8"/>
        <v>12.05</v>
      </c>
      <c r="AE16" s="352">
        <f t="shared" si="9"/>
        <v>0</v>
      </c>
      <c r="AF16" s="152">
        <f t="shared" si="2"/>
        <v>0.92999999999999994</v>
      </c>
      <c r="AG16" s="150"/>
      <c r="AH16" s="29"/>
      <c r="AI16" s="29"/>
      <c r="EF16" s="27">
        <v>6.75</v>
      </c>
    </row>
    <row r="17" spans="1:136" s="27" customFormat="1" ht="23.1" customHeight="1">
      <c r="A17" s="422"/>
      <c r="B17" s="136"/>
      <c r="C17" s="138"/>
      <c r="D17" s="594">
        <v>10</v>
      </c>
      <c r="E17" s="594"/>
      <c r="F17" s="139">
        <f t="shared" si="13"/>
        <v>14.879999999999999</v>
      </c>
      <c r="G17" s="595">
        <f t="shared" si="14"/>
        <v>7.68</v>
      </c>
      <c r="H17" s="595"/>
      <c r="I17" s="423"/>
      <c r="J17" s="366">
        <f t="shared" si="15"/>
        <v>2.0099999999999998</v>
      </c>
      <c r="K17" s="354">
        <f>D12</f>
        <v>1</v>
      </c>
      <c r="L17" s="143">
        <f>INT(B12/1440*10000)/10000</f>
        <v>6.5199999999999994E-2</v>
      </c>
      <c r="M17" s="143">
        <f>K17*L17</f>
        <v>6.5199999999999994E-2</v>
      </c>
      <c r="N17" s="143">
        <f>INT((D9/2000)^2*3.14159*100000)/100000</f>
        <v>4.9079999999999999E-2</v>
      </c>
      <c r="O17" s="143">
        <f>INT(M17/N17*100)/100</f>
        <v>1.32</v>
      </c>
      <c r="P17" s="355">
        <f>INT((G12-O17)*100)/100</f>
        <v>0.4</v>
      </c>
      <c r="R17" s="140"/>
      <c r="S17" s="140">
        <f t="shared" si="3"/>
        <v>94</v>
      </c>
      <c r="T17" s="140">
        <f t="shared" si="10"/>
        <v>2.5736493273561547</v>
      </c>
      <c r="U17" s="353">
        <f t="shared" si="11"/>
        <v>0.125</v>
      </c>
      <c r="V17" s="140">
        <f t="shared" si="12"/>
        <v>5.0000000000000001E-4</v>
      </c>
      <c r="W17" s="140">
        <f t="shared" si="0"/>
        <v>3.4722222222222224E-2</v>
      </c>
      <c r="X17" s="321">
        <f t="shared" si="4"/>
        <v>50</v>
      </c>
      <c r="Y17" s="150">
        <f t="shared" si="1"/>
        <v>29.484185964358844</v>
      </c>
      <c r="Z17" s="140"/>
      <c r="AA17" s="150">
        <f t="shared" si="5"/>
        <v>17.125869099809393</v>
      </c>
      <c r="AB17" s="150">
        <f t="shared" si="6"/>
        <v>50</v>
      </c>
      <c r="AC17" s="150">
        <f t="shared" si="7"/>
        <v>12.358316864549451</v>
      </c>
      <c r="AD17" s="351">
        <f t="shared" ref="AD17:AD22" si="16">INT(AC17*100)/100</f>
        <v>12.35</v>
      </c>
      <c r="AE17" s="140"/>
      <c r="AF17" s="152">
        <f t="shared" si="2"/>
        <v>0.94</v>
      </c>
      <c r="AG17" s="150"/>
      <c r="AH17" s="29"/>
      <c r="AI17" s="29"/>
      <c r="EF17" s="27">
        <v>7.73</v>
      </c>
    </row>
    <row r="18" spans="1:136" s="27" customFormat="1" ht="23.1" customHeight="1">
      <c r="A18" s="422"/>
      <c r="B18" s="136"/>
      <c r="C18" s="138"/>
      <c r="D18" s="594">
        <v>15</v>
      </c>
      <c r="E18" s="594"/>
      <c r="F18" s="139">
        <f t="shared" si="13"/>
        <v>16.059999999999999</v>
      </c>
      <c r="G18" s="595">
        <f t="shared" si="14"/>
        <v>8.86</v>
      </c>
      <c r="H18" s="595"/>
      <c r="I18" s="423"/>
      <c r="J18" s="366">
        <f t="shared" si="15"/>
        <v>1.1799999999999997</v>
      </c>
      <c r="K18" s="354">
        <f>D13</f>
        <v>2</v>
      </c>
      <c r="L18" s="143">
        <f>L17</f>
        <v>6.5199999999999994E-2</v>
      </c>
      <c r="M18" s="143">
        <f t="shared" ref="M18:M32" si="17">K18*L18</f>
        <v>0.13039999999999999</v>
      </c>
      <c r="N18" s="143">
        <f>N17</f>
        <v>4.9079999999999999E-2</v>
      </c>
      <c r="O18" s="143">
        <f>INT(M18/N18*100)/100</f>
        <v>2.65</v>
      </c>
      <c r="P18" s="355">
        <f>INT((G13-O18)*100*0.98)/100</f>
        <v>0.35</v>
      </c>
      <c r="R18" s="140"/>
      <c r="S18" s="140">
        <f t="shared" si="3"/>
        <v>94</v>
      </c>
      <c r="T18" s="140">
        <f t="shared" si="10"/>
        <v>2.5736493273561547</v>
      </c>
      <c r="U18" s="353">
        <f t="shared" si="11"/>
        <v>0.125</v>
      </c>
      <c r="V18" s="140">
        <f t="shared" si="12"/>
        <v>5.0000000000000001E-4</v>
      </c>
      <c r="W18" s="140">
        <f t="shared" si="0"/>
        <v>3.8194444444444448E-2</v>
      </c>
      <c r="X18" s="321">
        <f t="shared" si="4"/>
        <v>55</v>
      </c>
      <c r="Y18" s="150">
        <f t="shared" si="1"/>
        <v>29.760892905805555</v>
      </c>
      <c r="Z18" s="140"/>
      <c r="AA18" s="150">
        <f t="shared" si="5"/>
        <v>17.125869099809393</v>
      </c>
      <c r="AB18" s="150">
        <f t="shared" si="6"/>
        <v>55</v>
      </c>
      <c r="AC18" s="150">
        <f t="shared" si="7"/>
        <v>12.635023805996163</v>
      </c>
      <c r="AD18" s="351">
        <f t="shared" si="16"/>
        <v>12.63</v>
      </c>
      <c r="AE18" s="140"/>
      <c r="AF18" s="152">
        <f t="shared" si="2"/>
        <v>0.95</v>
      </c>
      <c r="AG18" s="150"/>
      <c r="AH18" s="29"/>
      <c r="AI18" s="29"/>
      <c r="EF18" s="27">
        <v>8.74</v>
      </c>
    </row>
    <row r="19" spans="1:136" s="27" customFormat="1" ht="23.1" customHeight="1">
      <c r="A19" s="422"/>
      <c r="B19" s="136"/>
      <c r="C19" s="138"/>
      <c r="D19" s="594">
        <v>20</v>
      </c>
      <c r="E19" s="594"/>
      <c r="F19" s="139">
        <f t="shared" si="13"/>
        <v>16.89</v>
      </c>
      <c r="G19" s="595">
        <f t="shared" si="14"/>
        <v>9.69</v>
      </c>
      <c r="H19" s="595"/>
      <c r="I19" s="423"/>
      <c r="J19" s="366">
        <f t="shared" si="15"/>
        <v>0.83000000000000007</v>
      </c>
      <c r="K19" s="354">
        <f t="shared" ref="K19:K32" si="18">D14</f>
        <v>3</v>
      </c>
      <c r="L19" s="143">
        <f>L18</f>
        <v>6.5199999999999994E-2</v>
      </c>
      <c r="M19" s="143">
        <f t="shared" si="17"/>
        <v>0.1956</v>
      </c>
      <c r="N19" s="143">
        <f t="shared" ref="N19:N32" si="19">N18</f>
        <v>4.9079999999999999E-2</v>
      </c>
      <c r="O19" s="143">
        <f>INT(M19/N19*100)/100</f>
        <v>3.98</v>
      </c>
      <c r="P19" s="355">
        <f>INT((G14-O19)*100*0.95)/100</f>
        <v>0.19</v>
      </c>
      <c r="R19" s="140"/>
      <c r="S19" s="140">
        <f t="shared" si="3"/>
        <v>94</v>
      </c>
      <c r="T19" s="140">
        <f t="shared" si="10"/>
        <v>2.5736493273561547</v>
      </c>
      <c r="U19" s="353">
        <f t="shared" si="11"/>
        <v>0.125</v>
      </c>
      <c r="V19" s="140">
        <f t="shared" si="12"/>
        <v>5.0000000000000001E-4</v>
      </c>
      <c r="W19" s="140">
        <f t="shared" si="0"/>
        <v>4.1666666666666664E-2</v>
      </c>
      <c r="X19" s="321">
        <f t="shared" si="4"/>
        <v>60</v>
      </c>
      <c r="Y19" s="150">
        <f t="shared" si="1"/>
        <v>30.013506551559843</v>
      </c>
      <c r="Z19" s="140"/>
      <c r="AA19" s="150">
        <f t="shared" si="5"/>
        <v>17.125869099809393</v>
      </c>
      <c r="AB19" s="150">
        <f t="shared" si="6"/>
        <v>60</v>
      </c>
      <c r="AC19" s="150">
        <f t="shared" si="7"/>
        <v>12.88763745175045</v>
      </c>
      <c r="AD19" s="351">
        <f t="shared" si="16"/>
        <v>12.88</v>
      </c>
      <c r="AE19" s="140"/>
      <c r="AF19" s="152">
        <f t="shared" si="2"/>
        <v>0.96</v>
      </c>
      <c r="AG19" s="150"/>
      <c r="AH19" s="29"/>
      <c r="AI19" s="29"/>
      <c r="EF19" s="27">
        <v>9.7799999999999994</v>
      </c>
    </row>
    <row r="20" spans="1:136" s="27" customFormat="1" ht="23.1" customHeight="1">
      <c r="A20" s="422"/>
      <c r="B20" s="136"/>
      <c r="C20" s="138"/>
      <c r="D20" s="594">
        <v>25</v>
      </c>
      <c r="E20" s="594"/>
      <c r="F20" s="139">
        <f t="shared" si="13"/>
        <v>17.54</v>
      </c>
      <c r="G20" s="595">
        <f t="shared" si="14"/>
        <v>10.34</v>
      </c>
      <c r="H20" s="595"/>
      <c r="I20" s="423"/>
      <c r="J20" s="366">
        <f t="shared" si="15"/>
        <v>0.65000000000000036</v>
      </c>
      <c r="K20" s="354">
        <f t="shared" si="18"/>
        <v>4</v>
      </c>
      <c r="L20" s="143">
        <f>L19</f>
        <v>6.5199999999999994E-2</v>
      </c>
      <c r="M20" s="143">
        <f t="shared" si="17"/>
        <v>0.26079999999999998</v>
      </c>
      <c r="N20" s="143">
        <f t="shared" si="19"/>
        <v>4.9079999999999999E-2</v>
      </c>
      <c r="O20" s="143">
        <f>INT(M20/N20*100)/100</f>
        <v>5.31</v>
      </c>
      <c r="P20" s="355">
        <f>INT((G15-O20)*100*0.91)/100</f>
        <v>-0.27</v>
      </c>
      <c r="R20" s="140"/>
      <c r="S20" s="140">
        <f t="shared" si="3"/>
        <v>94</v>
      </c>
      <c r="T20" s="140">
        <f t="shared" si="10"/>
        <v>2.5736493273561547</v>
      </c>
      <c r="U20" s="353">
        <f t="shared" si="11"/>
        <v>0.125</v>
      </c>
      <c r="V20" s="140">
        <f t="shared" si="12"/>
        <v>5.0000000000000001E-4</v>
      </c>
      <c r="W20" s="140">
        <f t="shared" si="0"/>
        <v>5.2083333333333336E-2</v>
      </c>
      <c r="X20" s="321">
        <f t="shared" si="4"/>
        <v>75</v>
      </c>
      <c r="Y20" s="150">
        <f t="shared" si="1"/>
        <v>30.661342592940496</v>
      </c>
      <c r="Z20" s="140"/>
      <c r="AA20" s="150">
        <f t="shared" si="5"/>
        <v>17.125869099809393</v>
      </c>
      <c r="AB20" s="150">
        <f t="shared" si="6"/>
        <v>75</v>
      </c>
      <c r="AC20" s="150">
        <f t="shared" si="7"/>
        <v>13.535473493131104</v>
      </c>
      <c r="AD20" s="351">
        <f t="shared" si="16"/>
        <v>13.53</v>
      </c>
      <c r="AE20" s="140"/>
      <c r="AF20" s="152">
        <f t="shared" si="2"/>
        <v>0.97</v>
      </c>
      <c r="AG20" s="150"/>
      <c r="AH20" s="29"/>
      <c r="AI20" s="29"/>
      <c r="EF20" s="27">
        <v>10</v>
      </c>
    </row>
    <row r="21" spans="1:136" s="27" customFormat="1" ht="23.1" customHeight="1">
      <c r="A21" s="422"/>
      <c r="B21" s="136"/>
      <c r="C21" s="138"/>
      <c r="D21" s="594">
        <v>30</v>
      </c>
      <c r="E21" s="594"/>
      <c r="F21" s="139">
        <f t="shared" si="13"/>
        <v>18.07</v>
      </c>
      <c r="G21" s="595">
        <f t="shared" si="14"/>
        <v>10.87</v>
      </c>
      <c r="H21" s="595"/>
      <c r="I21" s="423"/>
      <c r="J21" s="366">
        <f t="shared" si="15"/>
        <v>0.52999999999999936</v>
      </c>
      <c r="K21" s="354">
        <f t="shared" si="18"/>
        <v>5</v>
      </c>
      <c r="L21" s="371">
        <f>L20</f>
        <v>6.5199999999999994E-2</v>
      </c>
      <c r="M21" s="143">
        <f t="shared" si="17"/>
        <v>0.32599999999999996</v>
      </c>
      <c r="N21" s="143">
        <f t="shared" si="19"/>
        <v>4.9079999999999999E-2</v>
      </c>
      <c r="O21" s="371">
        <f>INT(M21/N21*100)/100</f>
        <v>6.64</v>
      </c>
      <c r="P21" s="355">
        <f>INT((G16-O21)*100*0.86)/100</f>
        <v>-0.84</v>
      </c>
      <c r="R21" s="140"/>
      <c r="S21" s="140">
        <f t="shared" si="3"/>
        <v>94</v>
      </c>
      <c r="T21" s="140">
        <f t="shared" si="10"/>
        <v>2.5736493273561547</v>
      </c>
      <c r="U21" s="353">
        <f t="shared" si="11"/>
        <v>0.125</v>
      </c>
      <c r="V21" s="140">
        <f t="shared" si="12"/>
        <v>5.0000000000000001E-4</v>
      </c>
      <c r="W21" s="140">
        <f t="shared" si="0"/>
        <v>6.25E-2</v>
      </c>
      <c r="X21" s="321">
        <f t="shared" si="4"/>
        <v>90</v>
      </c>
      <c r="Y21" s="150">
        <f t="shared" si="1"/>
        <v>31.190663180141499</v>
      </c>
      <c r="Z21" s="140"/>
      <c r="AA21" s="150">
        <f t="shared" si="5"/>
        <v>17.125869099809393</v>
      </c>
      <c r="AB21" s="150">
        <f t="shared" si="6"/>
        <v>90</v>
      </c>
      <c r="AC21" s="150">
        <f t="shared" si="7"/>
        <v>14.064794080332106</v>
      </c>
      <c r="AD21" s="351">
        <f t="shared" si="16"/>
        <v>14.06</v>
      </c>
      <c r="AE21" s="140"/>
      <c r="AF21" s="152">
        <f t="shared" si="2"/>
        <v>0.98</v>
      </c>
      <c r="AG21" s="150"/>
      <c r="AH21" s="29"/>
      <c r="AI21" s="29"/>
      <c r="EF21" s="27">
        <v>10.16</v>
      </c>
    </row>
    <row r="22" spans="1:136" s="27" customFormat="1" ht="23.1" customHeight="1">
      <c r="A22" s="422"/>
      <c r="B22" s="136"/>
      <c r="C22" s="138"/>
      <c r="D22" s="594">
        <v>35</v>
      </c>
      <c r="E22" s="594"/>
      <c r="F22" s="139">
        <f t="shared" si="13"/>
        <v>18.52</v>
      </c>
      <c r="G22" s="595">
        <f t="shared" si="14"/>
        <v>11.32</v>
      </c>
      <c r="H22" s="595"/>
      <c r="I22" s="421"/>
      <c r="J22" s="366">
        <f t="shared" si="15"/>
        <v>0.45000000000000107</v>
      </c>
      <c r="K22" s="354">
        <f t="shared" si="18"/>
        <v>10</v>
      </c>
      <c r="L22" s="371">
        <f t="shared" ref="L22:L32" si="20">L21</f>
        <v>6.5199999999999994E-2</v>
      </c>
      <c r="M22" s="143">
        <f t="shared" si="17"/>
        <v>0.65199999999999991</v>
      </c>
      <c r="N22" s="143">
        <f t="shared" si="19"/>
        <v>4.9079999999999999E-2</v>
      </c>
      <c r="O22" s="371">
        <f t="shared" ref="O22:O30" si="21">INT(M22/N22*100)/100</f>
        <v>13.28</v>
      </c>
      <c r="P22" s="355">
        <f>INT((G17-O22)*100*0.8)/100</f>
        <v>-4.4800000000000004</v>
      </c>
      <c r="R22" s="140"/>
      <c r="S22" s="140">
        <f t="shared" si="3"/>
        <v>94</v>
      </c>
      <c r="T22" s="140">
        <f t="shared" si="10"/>
        <v>2.5736493273561547</v>
      </c>
      <c r="U22" s="353">
        <f t="shared" si="11"/>
        <v>0.125</v>
      </c>
      <c r="V22" s="140">
        <f t="shared" si="12"/>
        <v>5.0000000000000001E-4</v>
      </c>
      <c r="W22" s="140">
        <f t="shared" si="0"/>
        <v>7.2916666666666671E-2</v>
      </c>
      <c r="X22" s="321">
        <f t="shared" si="4"/>
        <v>105</v>
      </c>
      <c r="Y22" s="150">
        <f t="shared" si="1"/>
        <v>31.638197359853496</v>
      </c>
      <c r="Z22" s="150">
        <f>Y23-Z23</f>
        <v>17.125869099809393</v>
      </c>
      <c r="AA22" s="150">
        <f t="shared" si="5"/>
        <v>17.125869099809393</v>
      </c>
      <c r="AB22" s="150">
        <f t="shared" si="6"/>
        <v>105</v>
      </c>
      <c r="AC22" s="150">
        <f t="shared" si="7"/>
        <v>14.512328260044104</v>
      </c>
      <c r="AD22" s="351">
        <f t="shared" si="16"/>
        <v>14.51</v>
      </c>
      <c r="AE22" s="140"/>
      <c r="AF22" s="152">
        <f>AF23-0.01</f>
        <v>0.99</v>
      </c>
      <c r="AG22" s="150"/>
      <c r="AH22" s="29"/>
      <c r="AI22" s="29"/>
      <c r="EF22" s="27">
        <v>10.02</v>
      </c>
    </row>
    <row r="23" spans="1:136" s="27" customFormat="1" ht="23.1" customHeight="1">
      <c r="A23" s="422"/>
      <c r="B23" s="136"/>
      <c r="C23" s="138"/>
      <c r="D23" s="594">
        <v>40</v>
      </c>
      <c r="E23" s="594"/>
      <c r="F23" s="139">
        <f t="shared" si="13"/>
        <v>18.91</v>
      </c>
      <c r="G23" s="595">
        <f t="shared" si="14"/>
        <v>11.71</v>
      </c>
      <c r="H23" s="595"/>
      <c r="I23" s="421"/>
      <c r="J23" s="366">
        <f t="shared" si="15"/>
        <v>0.39000000000000057</v>
      </c>
      <c r="K23" s="354">
        <f t="shared" si="18"/>
        <v>15</v>
      </c>
      <c r="L23" s="371">
        <f t="shared" si="20"/>
        <v>6.5199999999999994E-2</v>
      </c>
      <c r="M23" s="143">
        <f t="shared" si="17"/>
        <v>0.97799999999999987</v>
      </c>
      <c r="N23" s="143">
        <f t="shared" si="19"/>
        <v>4.9079999999999999E-2</v>
      </c>
      <c r="O23" s="371">
        <f t="shared" si="21"/>
        <v>19.920000000000002</v>
      </c>
      <c r="P23" s="355">
        <f t="shared" ref="P23:P32" si="22">INT((G18-O23)*100)/100</f>
        <v>-11.06</v>
      </c>
      <c r="R23" s="140"/>
      <c r="S23" s="140">
        <f t="shared" si="3"/>
        <v>94</v>
      </c>
      <c r="T23" s="140">
        <f t="shared" si="10"/>
        <v>2.5736493273561547</v>
      </c>
      <c r="U23" s="353">
        <f t="shared" si="11"/>
        <v>0.125</v>
      </c>
      <c r="V23" s="140">
        <f t="shared" si="12"/>
        <v>5.0000000000000001E-4</v>
      </c>
      <c r="W23" s="140">
        <f t="shared" si="0"/>
        <v>8.3333333333333329E-2</v>
      </c>
      <c r="X23" s="321">
        <f t="shared" si="4"/>
        <v>120</v>
      </c>
      <c r="Y23" s="150">
        <f t="shared" si="1"/>
        <v>32.025869099809391</v>
      </c>
      <c r="Z23" s="150">
        <f>Input!B20</f>
        <v>14.9</v>
      </c>
      <c r="AA23" s="150">
        <f t="shared" si="5"/>
        <v>17.125869099809393</v>
      </c>
      <c r="AB23" s="150">
        <f t="shared" si="6"/>
        <v>120</v>
      </c>
      <c r="AC23" s="150">
        <f t="shared" si="7"/>
        <v>14.899999999999999</v>
      </c>
      <c r="AD23" s="351">
        <f>INT((AC$3+AE23)*100)/100</f>
        <v>14.9</v>
      </c>
      <c r="AE23" s="150">
        <f>AG$23*AF23</f>
        <v>14.899999999999999</v>
      </c>
      <c r="AF23" s="150">
        <v>1</v>
      </c>
      <c r="AG23" s="150">
        <f>AC23-AC3</f>
        <v>14.899999999999999</v>
      </c>
      <c r="AH23" s="29"/>
      <c r="AI23" s="29"/>
      <c r="EF23" s="27">
        <v>10.02</v>
      </c>
    </row>
    <row r="24" spans="1:136" s="27" customFormat="1" ht="23.1" customHeight="1">
      <c r="A24" s="422"/>
      <c r="B24" s="136"/>
      <c r="C24" s="138"/>
      <c r="D24" s="594">
        <v>45</v>
      </c>
      <c r="E24" s="594"/>
      <c r="F24" s="139">
        <f t="shared" si="13"/>
        <v>19.25</v>
      </c>
      <c r="G24" s="595">
        <f t="shared" si="14"/>
        <v>12.05</v>
      </c>
      <c r="H24" s="595"/>
      <c r="I24" s="421"/>
      <c r="J24" s="366">
        <f t="shared" si="15"/>
        <v>0.33999999999999986</v>
      </c>
      <c r="K24" s="354">
        <f t="shared" si="18"/>
        <v>20</v>
      </c>
      <c r="L24" s="371">
        <f t="shared" si="20"/>
        <v>6.5199999999999994E-2</v>
      </c>
      <c r="M24" s="143">
        <f t="shared" si="17"/>
        <v>1.3039999999999998</v>
      </c>
      <c r="N24" s="143">
        <f t="shared" si="19"/>
        <v>4.9079999999999999E-2</v>
      </c>
      <c r="O24" s="371">
        <f t="shared" si="21"/>
        <v>26.56</v>
      </c>
      <c r="P24" s="355">
        <f t="shared" si="22"/>
        <v>-16.87</v>
      </c>
      <c r="R24" s="320">
        <f>B32</f>
        <v>120</v>
      </c>
      <c r="S24" s="140">
        <f>$R$24</f>
        <v>120</v>
      </c>
      <c r="T24" s="140">
        <f t="shared" si="10"/>
        <v>2.5736493273561547</v>
      </c>
      <c r="U24" s="353">
        <f t="shared" si="11"/>
        <v>0.125</v>
      </c>
      <c r="V24" s="140">
        <f t="shared" si="12"/>
        <v>5.0000000000000001E-4</v>
      </c>
      <c r="W24" s="140">
        <f t="shared" si="0"/>
        <v>9.0277777777777776E-2</v>
      </c>
      <c r="X24" s="321">
        <f t="shared" si="4"/>
        <v>130</v>
      </c>
      <c r="Y24" s="150">
        <f t="shared" si="1"/>
        <v>41.18074611998469</v>
      </c>
      <c r="Z24" s="150">
        <f>Z27</f>
        <v>23.593061678373111</v>
      </c>
      <c r="AA24" s="150">
        <f>$Z$24</f>
        <v>23.593061678373111</v>
      </c>
      <c r="AB24" s="150">
        <f t="shared" si="6"/>
        <v>130</v>
      </c>
      <c r="AC24" s="150">
        <f t="shared" si="7"/>
        <v>17.587684441611579</v>
      </c>
      <c r="AD24" s="351">
        <f>INT((AC$23+AE24)*100)/100</f>
        <v>17.87</v>
      </c>
      <c r="AE24" s="150">
        <f>AF24*AG$28</f>
        <v>2.9760000000000004</v>
      </c>
      <c r="AF24" s="150">
        <v>0.6</v>
      </c>
      <c r="AG24" s="150"/>
      <c r="AH24" s="29"/>
      <c r="EF24" s="27">
        <v>10.02</v>
      </c>
    </row>
    <row r="25" spans="1:136" s="27" customFormat="1" ht="23.1" customHeight="1">
      <c r="A25" s="422"/>
      <c r="B25" s="136"/>
      <c r="C25" s="138"/>
      <c r="D25" s="594">
        <v>50</v>
      </c>
      <c r="E25" s="594"/>
      <c r="F25" s="139">
        <f t="shared" si="13"/>
        <v>19.55</v>
      </c>
      <c r="G25" s="595">
        <f t="shared" si="14"/>
        <v>12.35</v>
      </c>
      <c r="H25" s="595"/>
      <c r="I25" s="421"/>
      <c r="J25" s="366">
        <f t="shared" si="15"/>
        <v>0.29999999999999893</v>
      </c>
      <c r="K25" s="354">
        <f t="shared" si="18"/>
        <v>25</v>
      </c>
      <c r="L25" s="371">
        <f t="shared" si="20"/>
        <v>6.5199999999999994E-2</v>
      </c>
      <c r="M25" s="143">
        <f t="shared" si="17"/>
        <v>1.63</v>
      </c>
      <c r="N25" s="143">
        <f t="shared" si="19"/>
        <v>4.9079999999999999E-2</v>
      </c>
      <c r="O25" s="371">
        <f t="shared" si="21"/>
        <v>33.21</v>
      </c>
      <c r="P25" s="355">
        <f t="shared" si="22"/>
        <v>-22.87</v>
      </c>
      <c r="R25" s="140"/>
      <c r="S25" s="140">
        <f>$R$24</f>
        <v>120</v>
      </c>
      <c r="T25" s="140">
        <f t="shared" si="10"/>
        <v>2.5736493273561547</v>
      </c>
      <c r="U25" s="353">
        <f t="shared" si="11"/>
        <v>0.125</v>
      </c>
      <c r="V25" s="140">
        <f t="shared" si="12"/>
        <v>5.0000000000000001E-4</v>
      </c>
      <c r="W25" s="140">
        <f t="shared" si="0"/>
        <v>9.7222222222222224E-2</v>
      </c>
      <c r="X25" s="321">
        <f t="shared" si="4"/>
        <v>140</v>
      </c>
      <c r="Y25" s="150">
        <f t="shared" si="1"/>
        <v>41.455408441942204</v>
      </c>
      <c r="Z25" s="140"/>
      <c r="AA25" s="150">
        <f>$Z$24</f>
        <v>23.593061678373111</v>
      </c>
      <c r="AB25" s="150">
        <f t="shared" si="6"/>
        <v>140</v>
      </c>
      <c r="AC25" s="150">
        <f t="shared" si="7"/>
        <v>17.862346763569093</v>
      </c>
      <c r="AD25" s="351">
        <f>INT((AC$23+AE25)*100)/100</f>
        <v>18.37</v>
      </c>
      <c r="AE25" s="150">
        <f>AF25*AG$28</f>
        <v>3.4720000000000004</v>
      </c>
      <c r="AF25" s="150">
        <v>0.7</v>
      </c>
      <c r="AG25" s="150"/>
      <c r="AH25" s="29"/>
      <c r="EF25" s="27">
        <v>10.02</v>
      </c>
    </row>
    <row r="26" spans="1:136" s="27" customFormat="1" ht="23.1" customHeight="1">
      <c r="A26" s="422"/>
      <c r="B26" s="136"/>
      <c r="C26" s="138"/>
      <c r="D26" s="594">
        <v>55</v>
      </c>
      <c r="E26" s="594"/>
      <c r="F26" s="139">
        <f t="shared" si="13"/>
        <v>19.830000000000002</v>
      </c>
      <c r="G26" s="595">
        <f t="shared" si="14"/>
        <v>12.63</v>
      </c>
      <c r="H26" s="595"/>
      <c r="I26" s="421"/>
      <c r="J26" s="366">
        <f t="shared" si="15"/>
        <v>0.28000000000000114</v>
      </c>
      <c r="K26" s="354">
        <f t="shared" si="18"/>
        <v>30</v>
      </c>
      <c r="L26" s="371">
        <f t="shared" si="20"/>
        <v>6.5199999999999994E-2</v>
      </c>
      <c r="M26" s="143">
        <f t="shared" si="17"/>
        <v>1.9559999999999997</v>
      </c>
      <c r="N26" s="143">
        <f t="shared" si="19"/>
        <v>4.9079999999999999E-2</v>
      </c>
      <c r="O26" s="143">
        <f t="shared" si="21"/>
        <v>39.85</v>
      </c>
      <c r="P26" s="355">
        <f t="shared" si="22"/>
        <v>-28.98</v>
      </c>
      <c r="R26" s="140"/>
      <c r="S26" s="140">
        <f>$R$24</f>
        <v>120</v>
      </c>
      <c r="T26" s="140">
        <f t="shared" si="10"/>
        <v>2.5736493273561547</v>
      </c>
      <c r="U26" s="353">
        <f t="shared" si="11"/>
        <v>0.125</v>
      </c>
      <c r="V26" s="140">
        <f t="shared" si="12"/>
        <v>5.0000000000000001E-4</v>
      </c>
      <c r="W26" s="140">
        <f t="shared" si="0"/>
        <v>0.10416666666666667</v>
      </c>
      <c r="X26" s="321">
        <f t="shared" si="4"/>
        <v>150</v>
      </c>
      <c r="Y26" s="150">
        <f t="shared" si="1"/>
        <v>41.71111294620006</v>
      </c>
      <c r="Z26" s="140"/>
      <c r="AA26" s="150">
        <f>$Z$24</f>
        <v>23.593061678373111</v>
      </c>
      <c r="AB26" s="150">
        <f t="shared" si="6"/>
        <v>150</v>
      </c>
      <c r="AC26" s="150">
        <f t="shared" si="7"/>
        <v>18.118051267826949</v>
      </c>
      <c r="AD26" s="351">
        <f>INT((AC$23+AE26)*100)/100</f>
        <v>18.86</v>
      </c>
      <c r="AE26" s="150">
        <f>AF26*AG$28</f>
        <v>3.9680000000000009</v>
      </c>
      <c r="AF26" s="150">
        <v>0.8</v>
      </c>
      <c r="AG26" s="150"/>
      <c r="AH26" s="29"/>
      <c r="EF26" s="27">
        <v>10.06</v>
      </c>
    </row>
    <row r="27" spans="1:136" s="27" customFormat="1" ht="23.1" customHeight="1">
      <c r="A27" s="422"/>
      <c r="B27" s="136"/>
      <c r="C27" s="138">
        <f>$C$12+D27/1440</f>
        <v>45725.472222222219</v>
      </c>
      <c r="D27" s="594">
        <v>60</v>
      </c>
      <c r="E27" s="594"/>
      <c r="F27" s="139">
        <f t="shared" si="13"/>
        <v>20.080000000000002</v>
      </c>
      <c r="G27" s="595">
        <f t="shared" si="14"/>
        <v>12.88</v>
      </c>
      <c r="H27" s="595"/>
      <c r="I27" s="421"/>
      <c r="J27" s="366">
        <f t="shared" si="15"/>
        <v>0.25</v>
      </c>
      <c r="K27" s="354">
        <f t="shared" si="18"/>
        <v>35</v>
      </c>
      <c r="L27" s="371">
        <f t="shared" si="20"/>
        <v>6.5199999999999994E-2</v>
      </c>
      <c r="M27" s="143">
        <f t="shared" si="17"/>
        <v>2.2819999999999996</v>
      </c>
      <c r="N27" s="143">
        <f t="shared" si="19"/>
        <v>4.9079999999999999E-2</v>
      </c>
      <c r="O27" s="143">
        <f t="shared" si="21"/>
        <v>46.49</v>
      </c>
      <c r="P27" s="355">
        <f t="shared" si="22"/>
        <v>-35.17</v>
      </c>
      <c r="R27" s="140"/>
      <c r="S27" s="140">
        <f>$R$24</f>
        <v>120</v>
      </c>
      <c r="T27" s="140">
        <f t="shared" si="10"/>
        <v>2.5736493273561547</v>
      </c>
      <c r="U27" s="353">
        <f t="shared" si="11"/>
        <v>0.125</v>
      </c>
      <c r="V27" s="140">
        <f t="shared" si="12"/>
        <v>5.0000000000000001E-4</v>
      </c>
      <c r="W27" s="140">
        <f t="shared" si="0"/>
        <v>0.125</v>
      </c>
      <c r="X27" s="321">
        <f t="shared" si="4"/>
        <v>180</v>
      </c>
      <c r="Y27" s="150">
        <f t="shared" si="1"/>
        <v>42.386841355392825</v>
      </c>
      <c r="Z27" s="150">
        <f>Y28-Z28</f>
        <v>23.593061678373111</v>
      </c>
      <c r="AA27" s="150">
        <f>$Z$24</f>
        <v>23.593061678373111</v>
      </c>
      <c r="AB27" s="150">
        <f t="shared" si="6"/>
        <v>180</v>
      </c>
      <c r="AC27" s="150">
        <f t="shared" si="7"/>
        <v>18.793779677019714</v>
      </c>
      <c r="AD27" s="351">
        <f>INT((AC$23+AE27)*100)/100</f>
        <v>19.36</v>
      </c>
      <c r="AE27" s="150">
        <f>AF27*AG$28</f>
        <v>4.4640000000000013</v>
      </c>
      <c r="AF27" s="150">
        <v>0.9</v>
      </c>
      <c r="AG27" s="150"/>
      <c r="AH27" s="29"/>
      <c r="EF27" s="27">
        <v>10.06</v>
      </c>
    </row>
    <row r="28" spans="1:136" s="27" customFormat="1" ht="23.1" customHeight="1">
      <c r="A28" s="422"/>
      <c r="B28" s="136"/>
      <c r="C28" s="138"/>
      <c r="D28" s="594">
        <v>75</v>
      </c>
      <c r="E28" s="594"/>
      <c r="F28" s="139">
        <f t="shared" si="13"/>
        <v>20.73</v>
      </c>
      <c r="G28" s="595">
        <f t="shared" si="14"/>
        <v>13.53</v>
      </c>
      <c r="H28" s="595"/>
      <c r="I28" s="421"/>
      <c r="J28" s="366">
        <f t="shared" si="15"/>
        <v>0.64999999999999858</v>
      </c>
      <c r="K28" s="354">
        <f t="shared" si="18"/>
        <v>40</v>
      </c>
      <c r="L28" s="371">
        <f t="shared" si="20"/>
        <v>6.5199999999999994E-2</v>
      </c>
      <c r="M28" s="143">
        <f t="shared" si="17"/>
        <v>2.6079999999999997</v>
      </c>
      <c r="N28" s="143">
        <f t="shared" si="19"/>
        <v>4.9079999999999999E-2</v>
      </c>
      <c r="O28" s="143">
        <f t="shared" si="21"/>
        <v>53.13</v>
      </c>
      <c r="P28" s="355">
        <f t="shared" si="22"/>
        <v>-41.42</v>
      </c>
      <c r="R28" s="140"/>
      <c r="S28" s="140">
        <f>$R$24</f>
        <v>120</v>
      </c>
      <c r="T28" s="140">
        <f t="shared" si="10"/>
        <v>2.5736493273561547</v>
      </c>
      <c r="U28" s="353">
        <f t="shared" si="11"/>
        <v>0.125</v>
      </c>
      <c r="V28" s="140">
        <f t="shared" si="12"/>
        <v>5.0000000000000001E-4</v>
      </c>
      <c r="W28" s="140">
        <f t="shared" si="0"/>
        <v>0.16666666666666666</v>
      </c>
      <c r="X28" s="321">
        <f t="shared" si="4"/>
        <v>240</v>
      </c>
      <c r="Y28" s="150">
        <f t="shared" si="1"/>
        <v>43.453061678373111</v>
      </c>
      <c r="Z28" s="150">
        <f>Input!B21</f>
        <v>19.86</v>
      </c>
      <c r="AA28" s="150">
        <f>$Z$24</f>
        <v>23.593061678373111</v>
      </c>
      <c r="AB28" s="150">
        <f t="shared" si="6"/>
        <v>240</v>
      </c>
      <c r="AC28" s="150">
        <f t="shared" si="7"/>
        <v>19.86</v>
      </c>
      <c r="AD28" s="351">
        <f>INT((AC$23+AE28)*100)/100</f>
        <v>19.86</v>
      </c>
      <c r="AE28" s="150">
        <f>AF28*AG$28</f>
        <v>4.9600000000000009</v>
      </c>
      <c r="AF28" s="150">
        <v>1</v>
      </c>
      <c r="AG28" s="150">
        <f>AC28-AC23</f>
        <v>4.9600000000000009</v>
      </c>
      <c r="AH28" s="29"/>
      <c r="EF28" s="27">
        <v>10.15</v>
      </c>
    </row>
    <row r="29" spans="1:136" s="27" customFormat="1" ht="23.1" customHeight="1">
      <c r="A29" s="422"/>
      <c r="B29" s="136"/>
      <c r="C29" s="138"/>
      <c r="D29" s="594">
        <v>90</v>
      </c>
      <c r="E29" s="594"/>
      <c r="F29" s="139">
        <f t="shared" si="13"/>
        <v>21.26</v>
      </c>
      <c r="G29" s="595">
        <f t="shared" si="14"/>
        <v>14.06</v>
      </c>
      <c r="H29" s="595"/>
      <c r="I29" s="421"/>
      <c r="J29" s="366">
        <f t="shared" si="15"/>
        <v>0.53000000000000114</v>
      </c>
      <c r="K29" s="354">
        <f t="shared" si="18"/>
        <v>45</v>
      </c>
      <c r="L29" s="371">
        <f t="shared" si="20"/>
        <v>6.5199999999999994E-2</v>
      </c>
      <c r="M29" s="143">
        <f t="shared" si="17"/>
        <v>2.9339999999999997</v>
      </c>
      <c r="N29" s="143">
        <f t="shared" si="19"/>
        <v>4.9079999999999999E-2</v>
      </c>
      <c r="O29" s="143">
        <f t="shared" si="21"/>
        <v>59.77</v>
      </c>
      <c r="P29" s="355">
        <f t="shared" si="22"/>
        <v>-47.72</v>
      </c>
      <c r="R29" s="320">
        <f>B37</f>
        <v>146.19999999999999</v>
      </c>
      <c r="S29" s="140">
        <f>$R$29</f>
        <v>146.19999999999999</v>
      </c>
      <c r="T29" s="140">
        <f t="shared" si="10"/>
        <v>2.5736493273561547</v>
      </c>
      <c r="U29" s="353">
        <f t="shared" si="11"/>
        <v>0.125</v>
      </c>
      <c r="V29" s="140">
        <f t="shared" si="12"/>
        <v>5.0000000000000001E-4</v>
      </c>
      <c r="W29" s="140">
        <f t="shared" si="0"/>
        <v>0.1736111111111111</v>
      </c>
      <c r="X29" s="321">
        <f t="shared" si="4"/>
        <v>250</v>
      </c>
      <c r="Y29" s="150">
        <f t="shared" si="1"/>
        <v>53.124642833481715</v>
      </c>
      <c r="Z29" s="150">
        <f>Z32</f>
        <v>29.321167723881413</v>
      </c>
      <c r="AA29" s="150">
        <f>$Z$29</f>
        <v>29.321167723881413</v>
      </c>
      <c r="AB29" s="150">
        <f t="shared" si="6"/>
        <v>250</v>
      </c>
      <c r="AC29" s="150">
        <f t="shared" si="7"/>
        <v>23.803475109600303</v>
      </c>
      <c r="AD29" s="351">
        <f>INT((AC$28+AE29)*100)/100</f>
        <v>23.21</v>
      </c>
      <c r="AE29" s="150">
        <f>AF29*AG$33</f>
        <v>3.3539999999999996</v>
      </c>
      <c r="AF29" s="150">
        <v>0.6</v>
      </c>
      <c r="AG29" s="150"/>
      <c r="AH29" s="29"/>
      <c r="EF29" s="27">
        <v>10.15</v>
      </c>
    </row>
    <row r="30" spans="1:136" s="27" customFormat="1" ht="23.1" customHeight="1">
      <c r="A30" s="422"/>
      <c r="B30" s="136"/>
      <c r="C30" s="138"/>
      <c r="D30" s="594">
        <v>105</v>
      </c>
      <c r="E30" s="594"/>
      <c r="F30" s="139">
        <f t="shared" si="13"/>
        <v>21.71</v>
      </c>
      <c r="G30" s="595">
        <f t="shared" si="14"/>
        <v>14.51</v>
      </c>
      <c r="H30" s="595"/>
      <c r="I30" s="421"/>
      <c r="J30" s="366">
        <f t="shared" si="15"/>
        <v>0.44999999999999929</v>
      </c>
      <c r="K30" s="354">
        <f t="shared" si="18"/>
        <v>50</v>
      </c>
      <c r="L30" s="371">
        <f t="shared" si="20"/>
        <v>6.5199999999999994E-2</v>
      </c>
      <c r="M30" s="143">
        <f t="shared" si="17"/>
        <v>3.26</v>
      </c>
      <c r="N30" s="143">
        <f t="shared" si="19"/>
        <v>4.9079999999999999E-2</v>
      </c>
      <c r="O30" s="143">
        <f t="shared" si="21"/>
        <v>66.42</v>
      </c>
      <c r="P30" s="355">
        <f t="shared" si="22"/>
        <v>-54.07</v>
      </c>
      <c r="R30" s="140" t="s">
        <v>21</v>
      </c>
      <c r="S30" s="140">
        <f>$R$29</f>
        <v>146.19999999999999</v>
      </c>
      <c r="T30" s="140">
        <f t="shared" si="10"/>
        <v>2.5736493273561547</v>
      </c>
      <c r="U30" s="353">
        <f t="shared" si="11"/>
        <v>0.125</v>
      </c>
      <c r="V30" s="140">
        <f t="shared" si="12"/>
        <v>5.0000000000000001E-4</v>
      </c>
      <c r="W30" s="140">
        <f t="shared" si="0"/>
        <v>0.18055555555555555</v>
      </c>
      <c r="X30" s="321">
        <f t="shared" si="4"/>
        <v>260</v>
      </c>
      <c r="Y30" s="150">
        <f t="shared" si="1"/>
        <v>53.301741695409177</v>
      </c>
      <c r="Z30" s="140"/>
      <c r="AA30" s="150">
        <f>$Z$29</f>
        <v>29.321167723881413</v>
      </c>
      <c r="AB30" s="150">
        <f t="shared" si="6"/>
        <v>260</v>
      </c>
      <c r="AC30" s="150">
        <f t="shared" si="7"/>
        <v>23.980573971527765</v>
      </c>
      <c r="AD30" s="351">
        <f>INT((AC$28+AE30)*100)/100</f>
        <v>23.77</v>
      </c>
      <c r="AE30" s="150">
        <f>AF30*AG$33</f>
        <v>3.9129999999999998</v>
      </c>
      <c r="AF30" s="150">
        <v>0.7</v>
      </c>
      <c r="AG30" s="150"/>
      <c r="AH30" s="29"/>
      <c r="EF30" s="27">
        <v>10.15</v>
      </c>
    </row>
    <row r="31" spans="1:136" s="27" customFormat="1" ht="23.1" customHeight="1">
      <c r="A31" s="422"/>
      <c r="B31" s="136"/>
      <c r="C31" s="138"/>
      <c r="D31" s="594">
        <v>120</v>
      </c>
      <c r="E31" s="594"/>
      <c r="F31" s="139">
        <f t="shared" si="13"/>
        <v>22.1</v>
      </c>
      <c r="G31" s="595">
        <f t="shared" si="14"/>
        <v>14.9</v>
      </c>
      <c r="H31" s="595"/>
      <c r="I31" s="421"/>
      <c r="J31" s="366">
        <f t="shared" si="15"/>
        <v>0.39000000000000057</v>
      </c>
      <c r="K31" s="354">
        <f t="shared" si="18"/>
        <v>55</v>
      </c>
      <c r="L31" s="371">
        <f t="shared" si="20"/>
        <v>6.5199999999999994E-2</v>
      </c>
      <c r="M31" s="143">
        <f t="shared" si="17"/>
        <v>3.5859999999999999</v>
      </c>
      <c r="N31" s="143">
        <f t="shared" si="19"/>
        <v>4.9079999999999999E-2</v>
      </c>
      <c r="O31" s="143">
        <f>INT(M31/N31*100)/100</f>
        <v>73.06</v>
      </c>
      <c r="P31" s="355">
        <f t="shared" si="22"/>
        <v>-60.43</v>
      </c>
      <c r="R31" s="140"/>
      <c r="S31" s="140">
        <f>$R$29</f>
        <v>146.19999999999999</v>
      </c>
      <c r="T31" s="140">
        <f t="shared" si="10"/>
        <v>2.5736493273561547</v>
      </c>
      <c r="U31" s="353">
        <f t="shared" si="11"/>
        <v>0.125</v>
      </c>
      <c r="V31" s="140">
        <f t="shared" si="12"/>
        <v>5.0000000000000001E-4</v>
      </c>
      <c r="W31" s="140">
        <f t="shared" si="0"/>
        <v>0.1875</v>
      </c>
      <c r="X31" s="321">
        <f t="shared" si="4"/>
        <v>270</v>
      </c>
      <c r="Y31" s="150">
        <f t="shared" si="1"/>
        <v>53.472155963717107</v>
      </c>
      <c r="Z31" s="140"/>
      <c r="AA31" s="150">
        <f>$Z$29</f>
        <v>29.321167723881413</v>
      </c>
      <c r="AB31" s="150">
        <f t="shared" si="6"/>
        <v>270</v>
      </c>
      <c r="AC31" s="150">
        <f t="shared" si="7"/>
        <v>24.150988239835694</v>
      </c>
      <c r="AD31" s="351">
        <f>INT((AC$28+AE31)*100)/100</f>
        <v>24.33</v>
      </c>
      <c r="AE31" s="150">
        <f>AF31*AG$33</f>
        <v>4.4720000000000004</v>
      </c>
      <c r="AF31" s="150">
        <v>0.8</v>
      </c>
      <c r="AG31" s="150"/>
      <c r="AH31" s="29"/>
      <c r="EF31" s="27">
        <v>10.77</v>
      </c>
    </row>
    <row r="32" spans="1:136" s="27" customFormat="1" ht="23.1" customHeight="1" thickBot="1">
      <c r="A32" s="422">
        <v>2</v>
      </c>
      <c r="B32" s="137">
        <f>Input!D21</f>
        <v>120</v>
      </c>
      <c r="C32" s="138">
        <f>$C$12+D32/1440</f>
        <v>45725.520833333336</v>
      </c>
      <c r="D32" s="594">
        <v>130</v>
      </c>
      <c r="E32" s="594"/>
      <c r="F32" s="139">
        <f t="shared" si="13"/>
        <v>25.07</v>
      </c>
      <c r="G32" s="595">
        <f t="shared" si="14"/>
        <v>17.87</v>
      </c>
      <c r="H32" s="595"/>
      <c r="I32" s="421"/>
      <c r="J32" s="366">
        <f t="shared" si="15"/>
        <v>2.9700000000000006</v>
      </c>
      <c r="K32" s="356">
        <f t="shared" si="18"/>
        <v>60</v>
      </c>
      <c r="L32" s="372">
        <f t="shared" si="20"/>
        <v>6.5199999999999994E-2</v>
      </c>
      <c r="M32" s="357">
        <f t="shared" si="17"/>
        <v>3.9119999999999995</v>
      </c>
      <c r="N32" s="357">
        <f t="shared" si="19"/>
        <v>4.9079999999999999E-2</v>
      </c>
      <c r="O32" s="357">
        <f>INT(M32/N32*100)/100</f>
        <v>79.7</v>
      </c>
      <c r="P32" s="358">
        <f t="shared" si="22"/>
        <v>-66.819999999999993</v>
      </c>
      <c r="R32" s="140"/>
      <c r="S32" s="140">
        <f>$R$29</f>
        <v>146.19999999999999</v>
      </c>
      <c r="T32" s="140">
        <f t="shared" si="10"/>
        <v>2.5736493273561547</v>
      </c>
      <c r="U32" s="353">
        <f t="shared" si="11"/>
        <v>0.125</v>
      </c>
      <c r="V32" s="140">
        <f t="shared" si="12"/>
        <v>5.0000000000000001E-4</v>
      </c>
      <c r="W32" s="140">
        <f t="shared" si="0"/>
        <v>0.20833333333333334</v>
      </c>
      <c r="X32" s="321">
        <f t="shared" si="4"/>
        <v>300</v>
      </c>
      <c r="Y32" s="150">
        <f t="shared" si="1"/>
        <v>53.947905278681567</v>
      </c>
      <c r="Z32" s="150">
        <f>Y33-Z33</f>
        <v>29.321167723881413</v>
      </c>
      <c r="AA32" s="150">
        <f>$Z$29</f>
        <v>29.321167723881413</v>
      </c>
      <c r="AB32" s="150">
        <f t="shared" si="6"/>
        <v>300</v>
      </c>
      <c r="AC32" s="150">
        <f t="shared" si="7"/>
        <v>24.626737554800155</v>
      </c>
      <c r="AD32" s="351">
        <f>INT((AC$28+AE32)*100)/100</f>
        <v>24.89</v>
      </c>
      <c r="AE32" s="150">
        <f>AF32*AG$33</f>
        <v>5.0309999999999997</v>
      </c>
      <c r="AF32" s="150">
        <v>0.9</v>
      </c>
      <c r="AG32" s="150"/>
      <c r="AH32" s="29"/>
      <c r="EF32" s="27">
        <v>14.26</v>
      </c>
    </row>
    <row r="33" spans="1:136" s="27" customFormat="1" ht="23.1" customHeight="1">
      <c r="A33" s="422"/>
      <c r="B33" s="136"/>
      <c r="C33" s="138"/>
      <c r="D33" s="594">
        <v>140</v>
      </c>
      <c r="E33" s="594"/>
      <c r="F33" s="139">
        <f t="shared" si="13"/>
        <v>25.57</v>
      </c>
      <c r="G33" s="595">
        <f t="shared" si="14"/>
        <v>18.37</v>
      </c>
      <c r="H33" s="595"/>
      <c r="I33" s="421"/>
      <c r="J33" s="366">
        <f t="shared" si="15"/>
        <v>0.5</v>
      </c>
      <c r="L33" s="34" t="s">
        <v>21</v>
      </c>
      <c r="P33" s="30"/>
      <c r="R33" s="140"/>
      <c r="S33" s="140">
        <f>$R$29</f>
        <v>146.19999999999999</v>
      </c>
      <c r="T33" s="140">
        <f t="shared" si="10"/>
        <v>2.5736493273561547</v>
      </c>
      <c r="U33" s="353">
        <f t="shared" si="11"/>
        <v>0.125</v>
      </c>
      <c r="V33" s="140">
        <f t="shared" si="12"/>
        <v>5.0000000000000001E-4</v>
      </c>
      <c r="W33" s="140">
        <f t="shared" si="0"/>
        <v>0.25</v>
      </c>
      <c r="X33" s="321">
        <f t="shared" si="4"/>
        <v>360</v>
      </c>
      <c r="Y33" s="150">
        <f t="shared" si="1"/>
        <v>54.771167723881412</v>
      </c>
      <c r="Z33" s="150">
        <f>Input!B22</f>
        <v>25.45</v>
      </c>
      <c r="AA33" s="150">
        <f>$Z$29</f>
        <v>29.321167723881413</v>
      </c>
      <c r="AB33" s="150">
        <f t="shared" si="6"/>
        <v>360</v>
      </c>
      <c r="AC33" s="150">
        <f t="shared" si="7"/>
        <v>25.45</v>
      </c>
      <c r="AD33" s="351">
        <f>INT((AC$28+AE33)*100)/100</f>
        <v>25.45</v>
      </c>
      <c r="AE33" s="150">
        <f>AF33*AG$33</f>
        <v>5.59</v>
      </c>
      <c r="AF33" s="150">
        <v>1</v>
      </c>
      <c r="AG33" s="150">
        <f>AC33-AC28</f>
        <v>5.59</v>
      </c>
      <c r="AH33" s="29"/>
      <c r="EF33" s="27">
        <v>15.41</v>
      </c>
    </row>
    <row r="34" spans="1:136" s="27" customFormat="1" ht="23.1" customHeight="1">
      <c r="A34" s="422"/>
      <c r="B34" s="136"/>
      <c r="C34" s="138"/>
      <c r="D34" s="594">
        <v>150</v>
      </c>
      <c r="E34" s="594"/>
      <c r="F34" s="139">
        <f t="shared" si="13"/>
        <v>26.06</v>
      </c>
      <c r="G34" s="595">
        <f t="shared" si="14"/>
        <v>18.86</v>
      </c>
      <c r="H34" s="595"/>
      <c r="I34" s="421"/>
      <c r="J34" s="366">
        <f t="shared" si="15"/>
        <v>0.48999999999999844</v>
      </c>
      <c r="L34" s="34" t="s">
        <v>21</v>
      </c>
      <c r="R34" s="140">
        <f>B42</f>
        <v>172</v>
      </c>
      <c r="S34" s="140">
        <f>$R$34</f>
        <v>172</v>
      </c>
      <c r="T34" s="140">
        <f t="shared" si="10"/>
        <v>2.5736493273561547</v>
      </c>
      <c r="U34" s="353">
        <f t="shared" si="11"/>
        <v>0.125</v>
      </c>
      <c r="V34" s="140">
        <f t="shared" si="12"/>
        <v>5.0000000000000001E-4</v>
      </c>
      <c r="W34" s="140">
        <f t="shared" si="0"/>
        <v>0.25694444444444442</v>
      </c>
      <c r="X34" s="321">
        <f t="shared" si="4"/>
        <v>370</v>
      </c>
      <c r="Y34" s="150">
        <f t="shared" si="1"/>
        <v>64.582219067315052</v>
      </c>
      <c r="Z34" s="150">
        <f>Z37</f>
        <v>34.28491704005382</v>
      </c>
      <c r="AA34" s="150">
        <f>$Z$34</f>
        <v>34.28491704005382</v>
      </c>
      <c r="AB34" s="150">
        <f t="shared" si="6"/>
        <v>370</v>
      </c>
      <c r="AC34" s="150">
        <f t="shared" si="7"/>
        <v>30.297302027261232</v>
      </c>
      <c r="AD34" s="351">
        <f>INT((AC$33+AE34)*100)/100</f>
        <v>29.18</v>
      </c>
      <c r="AE34" s="150">
        <f>AG$38*AF34</f>
        <v>3.738</v>
      </c>
      <c r="AF34" s="150">
        <v>0.6</v>
      </c>
      <c r="AG34" s="150"/>
      <c r="AH34" s="29"/>
      <c r="EF34" s="27">
        <v>15.6</v>
      </c>
    </row>
    <row r="35" spans="1:136" s="27" customFormat="1" ht="23.1" customHeight="1">
      <c r="A35" s="422"/>
      <c r="B35" s="136"/>
      <c r="C35" s="138"/>
      <c r="D35" s="594">
        <v>180</v>
      </c>
      <c r="E35" s="594"/>
      <c r="F35" s="139">
        <f t="shared" si="13"/>
        <v>26.56</v>
      </c>
      <c r="G35" s="595">
        <f t="shared" si="14"/>
        <v>19.36</v>
      </c>
      <c r="H35" s="595"/>
      <c r="I35" s="421"/>
      <c r="J35" s="366">
        <f t="shared" si="15"/>
        <v>0.5</v>
      </c>
      <c r="L35" s="34" t="s">
        <v>21</v>
      </c>
      <c r="R35" s="140"/>
      <c r="S35" s="140">
        <f>$R$34</f>
        <v>172</v>
      </c>
      <c r="T35" s="140">
        <f t="shared" si="10"/>
        <v>2.5736493273561547</v>
      </c>
      <c r="U35" s="353">
        <f t="shared" si="11"/>
        <v>0.125</v>
      </c>
      <c r="V35" s="140">
        <f t="shared" si="12"/>
        <v>5.0000000000000001E-4</v>
      </c>
      <c r="W35" s="140">
        <f t="shared" si="0"/>
        <v>0.2638888888888889</v>
      </c>
      <c r="X35" s="321">
        <f t="shared" si="4"/>
        <v>380</v>
      </c>
      <c r="Y35" s="150">
        <f t="shared" si="1"/>
        <v>64.723888393610096</v>
      </c>
      <c r="Z35" s="140"/>
      <c r="AA35" s="150">
        <f>$Z$34</f>
        <v>34.28491704005382</v>
      </c>
      <c r="AB35" s="150">
        <f t="shared" si="6"/>
        <v>380</v>
      </c>
      <c r="AC35" s="150">
        <f t="shared" si="7"/>
        <v>30.438971353556276</v>
      </c>
      <c r="AD35" s="351">
        <f>INT((AC$33+AE35)*100)/100</f>
        <v>29.81</v>
      </c>
      <c r="AE35" s="150">
        <f>AG$38*AF35</f>
        <v>4.3609999999999998</v>
      </c>
      <c r="AF35" s="150">
        <v>0.7</v>
      </c>
      <c r="AG35" s="150"/>
      <c r="AH35" s="29"/>
      <c r="EF35" s="27">
        <v>15.64</v>
      </c>
    </row>
    <row r="36" spans="1:136" s="27" customFormat="1" ht="23.1" customHeight="1">
      <c r="A36" s="422"/>
      <c r="B36" s="136"/>
      <c r="C36" s="138"/>
      <c r="D36" s="594">
        <v>240</v>
      </c>
      <c r="E36" s="594"/>
      <c r="F36" s="139">
        <f t="shared" si="13"/>
        <v>27.06</v>
      </c>
      <c r="G36" s="595">
        <f t="shared" si="14"/>
        <v>19.86</v>
      </c>
      <c r="H36" s="595"/>
      <c r="I36" s="421"/>
      <c r="J36" s="366">
        <f t="shared" si="15"/>
        <v>0.5</v>
      </c>
      <c r="L36" s="34" t="s">
        <v>21</v>
      </c>
      <c r="R36" s="140"/>
      <c r="S36" s="140">
        <f>$R$34</f>
        <v>172</v>
      </c>
      <c r="T36" s="140">
        <f t="shared" si="10"/>
        <v>2.5736493273561547</v>
      </c>
      <c r="U36" s="353">
        <f t="shared" si="11"/>
        <v>0.125</v>
      </c>
      <c r="V36" s="140">
        <f t="shared" si="12"/>
        <v>5.0000000000000001E-4</v>
      </c>
      <c r="W36" s="140">
        <f t="shared" si="0"/>
        <v>0.27083333333333331</v>
      </c>
      <c r="X36" s="321">
        <f t="shared" si="4"/>
        <v>390</v>
      </c>
      <c r="Y36" s="150">
        <f t="shared" si="1"/>
        <v>64.861877577811029</v>
      </c>
      <c r="Z36" s="140"/>
      <c r="AA36" s="150">
        <f>$Z$34</f>
        <v>34.28491704005382</v>
      </c>
      <c r="AB36" s="150">
        <f t="shared" si="6"/>
        <v>390</v>
      </c>
      <c r="AC36" s="150">
        <f t="shared" si="7"/>
        <v>30.576960537757209</v>
      </c>
      <c r="AD36" s="351">
        <f>INT((AC$33+AE36)*100)/100</f>
        <v>30.43</v>
      </c>
      <c r="AE36" s="150">
        <f>AG$38*AF36</f>
        <v>4.9840000000000009</v>
      </c>
      <c r="AF36" s="150">
        <v>0.8</v>
      </c>
      <c r="AG36" s="150"/>
      <c r="AH36" s="29"/>
      <c r="EF36" s="27">
        <v>15.67</v>
      </c>
    </row>
    <row r="37" spans="1:136" s="27" customFormat="1" ht="23.1" customHeight="1">
      <c r="A37" s="422">
        <v>3</v>
      </c>
      <c r="B37" s="137">
        <f>Input!D22</f>
        <v>146.19999999999999</v>
      </c>
      <c r="C37" s="138">
        <f>$C$12+D37/1440</f>
        <v>45725.604166666664</v>
      </c>
      <c r="D37" s="594">
        <v>250</v>
      </c>
      <c r="E37" s="594"/>
      <c r="F37" s="139">
        <f t="shared" si="13"/>
        <v>30.41</v>
      </c>
      <c r="G37" s="595">
        <f t="shared" si="14"/>
        <v>23.21</v>
      </c>
      <c r="H37" s="595"/>
      <c r="I37" s="421"/>
      <c r="J37" s="366">
        <f t="shared" si="15"/>
        <v>3.3500000000000014</v>
      </c>
      <c r="L37" s="34" t="s">
        <v>21</v>
      </c>
      <c r="R37" s="140"/>
      <c r="S37" s="140">
        <f>$R$34</f>
        <v>172</v>
      </c>
      <c r="T37" s="140">
        <f t="shared" si="10"/>
        <v>2.5736493273561547</v>
      </c>
      <c r="U37" s="353">
        <f t="shared" si="11"/>
        <v>0.125</v>
      </c>
      <c r="V37" s="140">
        <f t="shared" si="12"/>
        <v>5.0000000000000001E-4</v>
      </c>
      <c r="W37" s="140">
        <f t="shared" si="0"/>
        <v>0.29166666666666669</v>
      </c>
      <c r="X37" s="321">
        <f t="shared" si="4"/>
        <v>420</v>
      </c>
      <c r="Y37" s="150">
        <f t="shared" si="1"/>
        <v>65.255560239283454</v>
      </c>
      <c r="Z37" s="150">
        <f>Y38-Z38</f>
        <v>34.28491704005382</v>
      </c>
      <c r="AA37" s="150">
        <f>$Z$34</f>
        <v>34.28491704005382</v>
      </c>
      <c r="AB37" s="150">
        <f t="shared" si="6"/>
        <v>420</v>
      </c>
      <c r="AC37" s="150">
        <f t="shared" si="7"/>
        <v>30.970643199229634</v>
      </c>
      <c r="AD37" s="351">
        <f>INT((AC$33+AE37)*100)/100</f>
        <v>31.05</v>
      </c>
      <c r="AE37" s="150">
        <f>AG$38*AF37</f>
        <v>5.6070000000000002</v>
      </c>
      <c r="AF37" s="150">
        <v>0.9</v>
      </c>
      <c r="AG37" s="150"/>
      <c r="AH37" s="29"/>
      <c r="EF37" s="27">
        <v>19.260000000000002</v>
      </c>
    </row>
    <row r="38" spans="1:136" s="27" customFormat="1" ht="23.1" customHeight="1">
      <c r="A38" s="422"/>
      <c r="B38" s="136"/>
      <c r="C38" s="138"/>
      <c r="D38" s="594">
        <v>260</v>
      </c>
      <c r="E38" s="594"/>
      <c r="F38" s="139">
        <f t="shared" si="13"/>
        <v>30.97</v>
      </c>
      <c r="G38" s="595">
        <f t="shared" si="14"/>
        <v>23.77</v>
      </c>
      <c r="H38" s="595"/>
      <c r="I38" s="421"/>
      <c r="J38" s="366">
        <f t="shared" si="15"/>
        <v>0.55999999999999872</v>
      </c>
      <c r="L38" s="34" t="s">
        <v>21</v>
      </c>
      <c r="R38" s="140"/>
      <c r="S38" s="140">
        <f>$R$34</f>
        <v>172</v>
      </c>
      <c r="T38" s="140">
        <f t="shared" si="10"/>
        <v>2.5736493273561547</v>
      </c>
      <c r="U38" s="353">
        <f t="shared" si="11"/>
        <v>0.125</v>
      </c>
      <c r="V38" s="140">
        <f t="shared" si="12"/>
        <v>5.0000000000000001E-4</v>
      </c>
      <c r="W38" s="140">
        <f t="shared" si="0"/>
        <v>0.33333333333333331</v>
      </c>
      <c r="X38" s="321">
        <f t="shared" si="4"/>
        <v>480</v>
      </c>
      <c r="Y38" s="150">
        <f t="shared" si="1"/>
        <v>65.96491704005382</v>
      </c>
      <c r="Z38" s="150">
        <f>Input!B23</f>
        <v>31.68</v>
      </c>
      <c r="AA38" s="150">
        <f>$Z$34</f>
        <v>34.28491704005382</v>
      </c>
      <c r="AB38" s="150">
        <f t="shared" si="6"/>
        <v>480</v>
      </c>
      <c r="AC38" s="150">
        <f t="shared" si="7"/>
        <v>31.68</v>
      </c>
      <c r="AD38" s="351">
        <f>INT((AC$33+AE38)*100)/100</f>
        <v>31.68</v>
      </c>
      <c r="AE38" s="150">
        <f>AG$38*AF38</f>
        <v>6.23</v>
      </c>
      <c r="AF38" s="150">
        <v>1</v>
      </c>
      <c r="AG38" s="150">
        <f>AC38-AC33</f>
        <v>6.23</v>
      </c>
      <c r="AH38" s="29"/>
      <c r="EF38" s="27">
        <v>20.059999999999999</v>
      </c>
    </row>
    <row r="39" spans="1:136" s="27" customFormat="1" ht="23.1" customHeight="1">
      <c r="A39" s="422"/>
      <c r="B39" s="136"/>
      <c r="C39" s="138"/>
      <c r="D39" s="594">
        <v>270</v>
      </c>
      <c r="E39" s="594"/>
      <c r="F39" s="139">
        <f t="shared" si="13"/>
        <v>31.529999999999998</v>
      </c>
      <c r="G39" s="595">
        <f t="shared" si="14"/>
        <v>24.33</v>
      </c>
      <c r="H39" s="595"/>
      <c r="I39" s="421"/>
      <c r="J39" s="366">
        <f t="shared" si="15"/>
        <v>0.55999999999999872</v>
      </c>
      <c r="K39" s="31" t="s">
        <v>21</v>
      </c>
      <c r="L39" s="34" t="s">
        <v>21</v>
      </c>
      <c r="R39" s="320">
        <f>B47</f>
        <v>197.79999999999998</v>
      </c>
      <c r="S39" s="140">
        <f>$R$39</f>
        <v>197.79999999999998</v>
      </c>
      <c r="T39" s="140">
        <f t="shared" si="10"/>
        <v>2.5736493273561547</v>
      </c>
      <c r="U39" s="353">
        <f t="shared" si="11"/>
        <v>0.125</v>
      </c>
      <c r="V39" s="140">
        <f t="shared" si="12"/>
        <v>5.0000000000000001E-4</v>
      </c>
      <c r="W39" s="140">
        <f t="shared" si="0"/>
        <v>0.34027777777777779</v>
      </c>
      <c r="X39" s="321">
        <f t="shared" si="4"/>
        <v>490</v>
      </c>
      <c r="Y39" s="150">
        <f t="shared" si="1"/>
        <v>75.985620453335912</v>
      </c>
      <c r="Z39" s="150">
        <f>Z42</f>
        <v>36.042867032073524</v>
      </c>
      <c r="AA39" s="150">
        <f>$Z$39</f>
        <v>36.042867032073524</v>
      </c>
      <c r="AB39" s="150">
        <f t="shared" si="6"/>
        <v>490</v>
      </c>
      <c r="AC39" s="150">
        <f t="shared" si="7"/>
        <v>39.942753421262388</v>
      </c>
      <c r="AD39" s="351">
        <f>INT((AC$38+AE39)*100)/100</f>
        <v>35.479999999999997</v>
      </c>
      <c r="AE39" s="150">
        <f>AG$43*AF39</f>
        <v>3.8000000000000003</v>
      </c>
      <c r="AF39" s="150">
        <v>0.4</v>
      </c>
      <c r="AG39" s="150"/>
      <c r="AH39" s="29"/>
      <c r="EF39" s="27">
        <v>20.46</v>
      </c>
    </row>
    <row r="40" spans="1:136" s="27" customFormat="1" ht="23.1" customHeight="1">
      <c r="A40" s="422"/>
      <c r="B40" s="136"/>
      <c r="C40" s="138"/>
      <c r="D40" s="594">
        <v>300</v>
      </c>
      <c r="E40" s="594"/>
      <c r="F40" s="139">
        <f t="shared" si="13"/>
        <v>32.090000000000003</v>
      </c>
      <c r="G40" s="595">
        <f t="shared" si="14"/>
        <v>24.89</v>
      </c>
      <c r="H40" s="595"/>
      <c r="I40" s="421"/>
      <c r="J40" s="366">
        <f t="shared" si="15"/>
        <v>0.56000000000000227</v>
      </c>
      <c r="K40" s="31" t="s">
        <v>21</v>
      </c>
      <c r="L40" s="34" t="s">
        <v>21</v>
      </c>
      <c r="R40" s="140"/>
      <c r="S40" s="140">
        <f>$R$39</f>
        <v>197.79999999999998</v>
      </c>
      <c r="T40" s="140">
        <f t="shared" si="10"/>
        <v>2.5736493273561547</v>
      </c>
      <c r="U40" s="353">
        <f t="shared" si="11"/>
        <v>0.125</v>
      </c>
      <c r="V40" s="140">
        <f t="shared" si="12"/>
        <v>5.0000000000000001E-4</v>
      </c>
      <c r="W40" s="140">
        <f t="shared" si="0"/>
        <v>0.34722222222222221</v>
      </c>
      <c r="X40" s="321">
        <f t="shared" si="4"/>
        <v>500</v>
      </c>
      <c r="Y40" s="150">
        <f t="shared" si="1"/>
        <v>76.109041370920778</v>
      </c>
      <c r="Z40" s="140"/>
      <c r="AA40" s="150">
        <f>$Z$39</f>
        <v>36.042867032073524</v>
      </c>
      <c r="AB40" s="150">
        <f t="shared" si="6"/>
        <v>500</v>
      </c>
      <c r="AC40" s="150">
        <f t="shared" si="7"/>
        <v>40.066174338847254</v>
      </c>
      <c r="AD40" s="351">
        <f>INT((AC$38+AE40)*100)/100</f>
        <v>36.9</v>
      </c>
      <c r="AE40" s="150">
        <f>AG$43*AF40</f>
        <v>5.2250000000000005</v>
      </c>
      <c r="AF40" s="150">
        <v>0.55000000000000004</v>
      </c>
      <c r="AG40" s="150"/>
      <c r="AH40" s="29"/>
      <c r="EF40" s="27">
        <v>20.66</v>
      </c>
    </row>
    <row r="41" spans="1:136" s="27" customFormat="1" ht="23.1" customHeight="1">
      <c r="A41" s="422"/>
      <c r="B41" s="136"/>
      <c r="C41" s="138"/>
      <c r="D41" s="594">
        <v>360</v>
      </c>
      <c r="E41" s="594"/>
      <c r="F41" s="139">
        <f t="shared" si="13"/>
        <v>32.65</v>
      </c>
      <c r="G41" s="595">
        <f t="shared" si="14"/>
        <v>25.45</v>
      </c>
      <c r="H41" s="595"/>
      <c r="I41" s="421"/>
      <c r="J41" s="366">
        <f t="shared" si="15"/>
        <v>0.55999999999999872</v>
      </c>
      <c r="K41" s="31" t="s">
        <v>21</v>
      </c>
      <c r="L41" s="34" t="s">
        <v>21</v>
      </c>
      <c r="R41" s="140"/>
      <c r="S41" s="140">
        <f>$R$39</f>
        <v>197.79999999999998</v>
      </c>
      <c r="T41" s="140">
        <f t="shared" si="10"/>
        <v>2.5736493273561547</v>
      </c>
      <c r="U41" s="353">
        <f t="shared" si="11"/>
        <v>0.125</v>
      </c>
      <c r="V41" s="140">
        <f t="shared" si="12"/>
        <v>5.0000000000000001E-4</v>
      </c>
      <c r="W41" s="140">
        <f t="shared" si="0"/>
        <v>0.35416666666666669</v>
      </c>
      <c r="X41" s="321">
        <f t="shared" si="4"/>
        <v>510</v>
      </c>
      <c r="Y41" s="150">
        <f t="shared" si="1"/>
        <v>76.230018148590887</v>
      </c>
      <c r="Z41" s="140"/>
      <c r="AA41" s="150">
        <f>$Z$39</f>
        <v>36.042867032073524</v>
      </c>
      <c r="AB41" s="150">
        <f t="shared" si="6"/>
        <v>510</v>
      </c>
      <c r="AC41" s="150">
        <f t="shared" si="7"/>
        <v>40.187151116517363</v>
      </c>
      <c r="AD41" s="351">
        <f>INT((AC$38+AE41)*100)/100</f>
        <v>38.33</v>
      </c>
      <c r="AE41" s="150">
        <f>AG$43*AF41</f>
        <v>6.6499999999999995</v>
      </c>
      <c r="AF41" s="150">
        <v>0.7</v>
      </c>
      <c r="AG41" s="150"/>
      <c r="AH41" s="29"/>
      <c r="EF41" s="27">
        <v>20.75</v>
      </c>
    </row>
    <row r="42" spans="1:136" s="27" customFormat="1" ht="23.1" customHeight="1">
      <c r="A42" s="422">
        <v>4</v>
      </c>
      <c r="B42" s="137">
        <f>Input!D23</f>
        <v>172</v>
      </c>
      <c r="C42" s="138">
        <f>$C$12+D42/1440</f>
        <v>45725.6875</v>
      </c>
      <c r="D42" s="594">
        <v>370</v>
      </c>
      <c r="E42" s="594"/>
      <c r="F42" s="139">
        <f t="shared" si="13"/>
        <v>36.380000000000003</v>
      </c>
      <c r="G42" s="595">
        <f t="shared" si="14"/>
        <v>29.18</v>
      </c>
      <c r="H42" s="595"/>
      <c r="I42" s="421"/>
      <c r="J42" s="366">
        <f t="shared" si="15"/>
        <v>3.7300000000000004</v>
      </c>
      <c r="K42" s="31" t="s">
        <v>21</v>
      </c>
      <c r="L42" s="34" t="s">
        <v>21</v>
      </c>
      <c r="R42" s="140"/>
      <c r="S42" s="140">
        <f>$R$39</f>
        <v>197.79999999999998</v>
      </c>
      <c r="T42" s="140">
        <f t="shared" si="10"/>
        <v>2.5736493273561547</v>
      </c>
      <c r="U42" s="353">
        <f t="shared" si="11"/>
        <v>0.125</v>
      </c>
      <c r="V42" s="140">
        <f t="shared" si="12"/>
        <v>5.0000000000000001E-4</v>
      </c>
      <c r="W42" s="140">
        <f t="shared" si="0"/>
        <v>0.375</v>
      </c>
      <c r="X42" s="321">
        <f t="shared" si="4"/>
        <v>540</v>
      </c>
      <c r="Y42" s="150">
        <f t="shared" si="1"/>
        <v>76.579206194180415</v>
      </c>
      <c r="Z42" s="150">
        <f>Y43-Z43</f>
        <v>36.042867032073524</v>
      </c>
      <c r="AA42" s="150">
        <f>$Z$39</f>
        <v>36.042867032073524</v>
      </c>
      <c r="AB42" s="150">
        <f t="shared" si="6"/>
        <v>540</v>
      </c>
      <c r="AC42" s="150">
        <f t="shared" si="7"/>
        <v>40.536339162106891</v>
      </c>
      <c r="AD42" s="351">
        <f>INT((AC$38+AE42)*100)/100</f>
        <v>39.75</v>
      </c>
      <c r="AE42" s="150">
        <f>AG$43*AF42</f>
        <v>8.0749999999999993</v>
      </c>
      <c r="AF42" s="150">
        <v>0.85</v>
      </c>
      <c r="AG42" s="150"/>
      <c r="AH42" s="29"/>
      <c r="EF42" s="27">
        <v>29.31</v>
      </c>
    </row>
    <row r="43" spans="1:136" s="27" customFormat="1" ht="23.1" customHeight="1">
      <c r="A43" s="422"/>
      <c r="B43" s="136"/>
      <c r="C43" s="138"/>
      <c r="D43" s="594">
        <v>380</v>
      </c>
      <c r="E43" s="594"/>
      <c r="F43" s="139">
        <f t="shared" si="13"/>
        <v>37.01</v>
      </c>
      <c r="G43" s="595">
        <f t="shared" si="14"/>
        <v>29.81</v>
      </c>
      <c r="H43" s="595"/>
      <c r="I43" s="421"/>
      <c r="J43" s="366">
        <f t="shared" si="15"/>
        <v>0.62999999999999901</v>
      </c>
      <c r="K43" s="31" t="s">
        <v>21</v>
      </c>
      <c r="L43" s="34" t="s">
        <v>21</v>
      </c>
      <c r="R43" s="140"/>
      <c r="S43" s="140">
        <f>$R$39</f>
        <v>197.79999999999998</v>
      </c>
      <c r="T43" s="140">
        <f t="shared" si="10"/>
        <v>2.5736493273561547</v>
      </c>
      <c r="U43" s="353">
        <f t="shared" si="11"/>
        <v>0.125</v>
      </c>
      <c r="V43" s="140">
        <f t="shared" si="12"/>
        <v>5.0000000000000001E-4</v>
      </c>
      <c r="W43" s="140">
        <f t="shared" si="0"/>
        <v>0.41666666666666669</v>
      </c>
      <c r="X43" s="321">
        <f t="shared" si="4"/>
        <v>600</v>
      </c>
      <c r="Y43" s="150">
        <f t="shared" si="1"/>
        <v>77.222867032073523</v>
      </c>
      <c r="Z43" s="150">
        <f>Input!B24</f>
        <v>41.18</v>
      </c>
      <c r="AA43" s="150">
        <f>$Z$39</f>
        <v>36.042867032073524</v>
      </c>
      <c r="AB43" s="150">
        <f t="shared" si="6"/>
        <v>600</v>
      </c>
      <c r="AC43" s="150">
        <f t="shared" si="7"/>
        <v>41.18</v>
      </c>
      <c r="AD43" s="351">
        <f>INT((AC$38+AE43)*100)/100</f>
        <v>41.18</v>
      </c>
      <c r="AE43" s="150">
        <f>AG$43*AF43</f>
        <v>9.5</v>
      </c>
      <c r="AF43" s="150">
        <v>1</v>
      </c>
      <c r="AG43" s="150">
        <f>AC43-AC38</f>
        <v>9.5</v>
      </c>
      <c r="AH43" s="29"/>
      <c r="EF43" s="27">
        <v>31.81</v>
      </c>
    </row>
    <row r="44" spans="1:136" s="27" customFormat="1" ht="23.1" customHeight="1">
      <c r="A44" s="422"/>
      <c r="B44" s="136"/>
      <c r="C44" s="138"/>
      <c r="D44" s="594">
        <v>390</v>
      </c>
      <c r="E44" s="594"/>
      <c r="F44" s="139">
        <f t="shared" si="13"/>
        <v>37.630000000000003</v>
      </c>
      <c r="G44" s="595">
        <f t="shared" si="14"/>
        <v>30.43</v>
      </c>
      <c r="H44" s="595"/>
      <c r="I44" s="421"/>
      <c r="J44" s="366">
        <f t="shared" si="15"/>
        <v>0.62000000000000099</v>
      </c>
      <c r="K44" s="31" t="s">
        <v>21</v>
      </c>
      <c r="L44" s="34" t="s">
        <v>21</v>
      </c>
      <c r="R44" s="140"/>
      <c r="S44" s="140" t="s">
        <v>21</v>
      </c>
      <c r="T44" s="140" t="s">
        <v>21</v>
      </c>
      <c r="U44" s="353" t="s">
        <v>21</v>
      </c>
      <c r="V44" s="140" t="s">
        <v>21</v>
      </c>
      <c r="W44" s="140" t="s">
        <v>21</v>
      </c>
      <c r="X44" s="321" t="s">
        <v>21</v>
      </c>
      <c r="Y44" s="150" t="s">
        <v>21</v>
      </c>
      <c r="Z44" s="140"/>
      <c r="AA44" s="140"/>
      <c r="AB44" s="140"/>
      <c r="AC44" s="140"/>
      <c r="AD44" s="140"/>
      <c r="AE44" s="150"/>
      <c r="AF44" s="150"/>
      <c r="AG44" s="140"/>
      <c r="EF44" s="27">
        <v>35.83</v>
      </c>
    </row>
    <row r="45" spans="1:136" s="27" customFormat="1" ht="23.1" customHeight="1">
      <c r="A45" s="422"/>
      <c r="B45" s="136"/>
      <c r="C45" s="138"/>
      <c r="D45" s="594">
        <v>420</v>
      </c>
      <c r="E45" s="594"/>
      <c r="F45" s="139">
        <f t="shared" si="13"/>
        <v>38.25</v>
      </c>
      <c r="G45" s="595">
        <f t="shared" si="14"/>
        <v>31.05</v>
      </c>
      <c r="H45" s="595"/>
      <c r="I45" s="421"/>
      <c r="J45" s="366">
        <f t="shared" si="15"/>
        <v>0.62000000000000099</v>
      </c>
      <c r="K45" s="31" t="s">
        <v>21</v>
      </c>
      <c r="L45" s="34" t="s">
        <v>21</v>
      </c>
      <c r="R45" s="140"/>
      <c r="S45" s="140" t="str">
        <f t="shared" ref="S45:S51" si="23">$S44</f>
        <v xml:space="preserve"> </v>
      </c>
      <c r="T45" s="140" t="str">
        <f t="shared" si="10"/>
        <v xml:space="preserve"> </v>
      </c>
      <c r="U45" s="353" t="str">
        <f t="shared" si="11"/>
        <v xml:space="preserve"> </v>
      </c>
      <c r="V45" s="140" t="str">
        <f t="shared" si="12"/>
        <v xml:space="preserve"> </v>
      </c>
      <c r="W45" s="140" t="s">
        <v>21</v>
      </c>
      <c r="X45" s="321" t="s">
        <v>21</v>
      </c>
      <c r="Y45" s="150" t="s">
        <v>21</v>
      </c>
      <c r="Z45" s="140"/>
      <c r="AA45" s="140"/>
      <c r="AB45" s="140"/>
      <c r="AC45" s="140"/>
      <c r="AD45" s="140"/>
      <c r="AE45" s="150"/>
      <c r="AF45" s="150"/>
      <c r="AG45" s="140"/>
      <c r="EF45" s="27">
        <v>35.96</v>
      </c>
    </row>
    <row r="46" spans="1:136" s="27" customFormat="1" ht="23.1" customHeight="1">
      <c r="A46" s="422"/>
      <c r="B46" s="136"/>
      <c r="C46" s="138"/>
      <c r="D46" s="594">
        <v>480</v>
      </c>
      <c r="E46" s="594"/>
      <c r="F46" s="139">
        <f t="shared" si="13"/>
        <v>38.880000000000003</v>
      </c>
      <c r="G46" s="595">
        <f t="shared" si="14"/>
        <v>31.68</v>
      </c>
      <c r="H46" s="595"/>
      <c r="I46" s="421"/>
      <c r="J46" s="366">
        <f t="shared" si="15"/>
        <v>0.62999999999999901</v>
      </c>
      <c r="K46" s="31" t="s">
        <v>21</v>
      </c>
      <c r="L46" s="34" t="s">
        <v>21</v>
      </c>
      <c r="R46" s="140"/>
      <c r="S46" s="140" t="str">
        <f t="shared" si="23"/>
        <v xml:space="preserve"> </v>
      </c>
      <c r="T46" s="140" t="str">
        <f t="shared" si="10"/>
        <v xml:space="preserve"> </v>
      </c>
      <c r="U46" s="353" t="str">
        <f t="shared" si="11"/>
        <v xml:space="preserve"> </v>
      </c>
      <c r="V46" s="140" t="str">
        <f t="shared" si="12"/>
        <v xml:space="preserve"> </v>
      </c>
      <c r="W46" s="140" t="s">
        <v>21</v>
      </c>
      <c r="X46" s="321" t="s">
        <v>21</v>
      </c>
      <c r="Y46" s="150" t="s">
        <v>21</v>
      </c>
      <c r="Z46" s="140"/>
      <c r="AA46" s="140"/>
      <c r="AB46" s="140"/>
      <c r="AC46" s="140"/>
      <c r="AD46" s="140"/>
      <c r="AE46" s="150"/>
      <c r="AF46" s="150"/>
      <c r="AG46" s="140"/>
      <c r="EF46" s="27">
        <v>36.01</v>
      </c>
    </row>
    <row r="47" spans="1:136" s="27" customFormat="1" ht="23.1" customHeight="1">
      <c r="A47" s="422">
        <v>5</v>
      </c>
      <c r="B47" s="137">
        <f>Input!D24</f>
        <v>197.79999999999998</v>
      </c>
      <c r="C47" s="138">
        <f>$C$12+D47/1440</f>
        <v>45725.770833333336</v>
      </c>
      <c r="D47" s="594">
        <v>490</v>
      </c>
      <c r="E47" s="594"/>
      <c r="F47" s="139">
        <f t="shared" si="13"/>
        <v>42.68</v>
      </c>
      <c r="G47" s="595">
        <f t="shared" si="14"/>
        <v>35.479999999999997</v>
      </c>
      <c r="H47" s="595"/>
      <c r="I47" s="421"/>
      <c r="J47" s="366">
        <f t="shared" si="15"/>
        <v>3.7999999999999972</v>
      </c>
      <c r="K47" s="31" t="s">
        <v>21</v>
      </c>
      <c r="R47" s="140"/>
      <c r="S47" s="140" t="str">
        <f t="shared" si="23"/>
        <v xml:space="preserve"> </v>
      </c>
      <c r="T47" s="140" t="str">
        <f t="shared" si="10"/>
        <v xml:space="preserve"> </v>
      </c>
      <c r="U47" s="353" t="str">
        <f t="shared" si="11"/>
        <v xml:space="preserve"> </v>
      </c>
      <c r="V47" s="140" t="str">
        <f t="shared" si="12"/>
        <v xml:space="preserve"> </v>
      </c>
      <c r="W47" s="140" t="s">
        <v>21</v>
      </c>
      <c r="X47" s="321" t="s">
        <v>21</v>
      </c>
      <c r="Y47" s="150" t="s">
        <v>21</v>
      </c>
      <c r="Z47" s="140"/>
      <c r="AA47" s="140"/>
      <c r="AB47" s="140"/>
      <c r="AC47" s="140"/>
      <c r="AD47" s="140"/>
      <c r="AE47" s="150"/>
      <c r="AF47" s="150"/>
      <c r="AG47" s="140"/>
      <c r="EF47" s="27">
        <v>30.66</v>
      </c>
    </row>
    <row r="48" spans="1:136" s="27" customFormat="1" ht="23.1" customHeight="1">
      <c r="A48" s="422"/>
      <c r="B48" s="136"/>
      <c r="C48" s="138"/>
      <c r="D48" s="594">
        <v>500</v>
      </c>
      <c r="E48" s="594"/>
      <c r="F48" s="139">
        <f t="shared" si="13"/>
        <v>44.1</v>
      </c>
      <c r="G48" s="595">
        <f t="shared" si="14"/>
        <v>36.9</v>
      </c>
      <c r="H48" s="595"/>
      <c r="I48" s="421"/>
      <c r="J48" s="366">
        <f t="shared" si="15"/>
        <v>1.4200000000000017</v>
      </c>
      <c r="K48" s="31" t="s">
        <v>21</v>
      </c>
      <c r="R48" s="140"/>
      <c r="S48" s="140" t="str">
        <f t="shared" si="23"/>
        <v xml:space="preserve"> </v>
      </c>
      <c r="T48" s="140" t="str">
        <f t="shared" si="10"/>
        <v xml:space="preserve"> </v>
      </c>
      <c r="U48" s="353" t="str">
        <f t="shared" si="11"/>
        <v xml:space="preserve"> </v>
      </c>
      <c r="V48" s="140" t="str">
        <f t="shared" si="12"/>
        <v xml:space="preserve"> </v>
      </c>
      <c r="W48" s="140" t="s">
        <v>21</v>
      </c>
      <c r="X48" s="321" t="s">
        <v>21</v>
      </c>
      <c r="Y48" s="150" t="s">
        <v>21</v>
      </c>
      <c r="Z48" s="140"/>
      <c r="AA48" s="140"/>
      <c r="AB48" s="140"/>
      <c r="AC48" s="140"/>
      <c r="AD48" s="140"/>
      <c r="AE48" s="150"/>
      <c r="AF48" s="150"/>
      <c r="AG48" s="140"/>
      <c r="EF48" s="27">
        <v>30.83</v>
      </c>
    </row>
    <row r="49" spans="1:136" s="27" customFormat="1" ht="23.1" customHeight="1">
      <c r="A49" s="422"/>
      <c r="B49" s="136"/>
      <c r="C49" s="138"/>
      <c r="D49" s="594">
        <v>510</v>
      </c>
      <c r="E49" s="594"/>
      <c r="F49" s="139">
        <f t="shared" si="13"/>
        <v>45.53</v>
      </c>
      <c r="G49" s="595">
        <f t="shared" si="14"/>
        <v>38.33</v>
      </c>
      <c r="H49" s="595"/>
      <c r="I49" s="421"/>
      <c r="J49" s="366">
        <f t="shared" si="15"/>
        <v>1.4299999999999997</v>
      </c>
      <c r="K49" s="31" t="s">
        <v>21</v>
      </c>
      <c r="R49" s="140"/>
      <c r="S49" s="140" t="str">
        <f t="shared" si="23"/>
        <v xml:space="preserve"> </v>
      </c>
      <c r="T49" s="140" t="str">
        <f t="shared" si="10"/>
        <v xml:space="preserve"> </v>
      </c>
      <c r="U49" s="353" t="str">
        <f t="shared" si="11"/>
        <v xml:space="preserve"> </v>
      </c>
      <c r="V49" s="140" t="str">
        <f t="shared" si="12"/>
        <v xml:space="preserve"> </v>
      </c>
      <c r="W49" s="140" t="s">
        <v>21</v>
      </c>
      <c r="X49" s="321" t="s">
        <v>21</v>
      </c>
      <c r="Y49" s="150" t="s">
        <v>21</v>
      </c>
      <c r="Z49" s="140"/>
      <c r="AA49" s="140"/>
      <c r="AB49" s="140"/>
      <c r="AC49" s="140"/>
      <c r="AD49" s="140"/>
      <c r="AE49" s="150"/>
      <c r="AF49" s="150"/>
      <c r="AG49" s="140"/>
      <c r="EF49" s="27">
        <v>30.83</v>
      </c>
    </row>
    <row r="50" spans="1:136" s="27" customFormat="1" ht="23.1" customHeight="1">
      <c r="A50" s="422"/>
      <c r="B50" s="136"/>
      <c r="C50" s="138"/>
      <c r="D50" s="594">
        <v>540</v>
      </c>
      <c r="E50" s="594"/>
      <c r="F50" s="139">
        <f t="shared" si="13"/>
        <v>46.95</v>
      </c>
      <c r="G50" s="595">
        <f t="shared" si="14"/>
        <v>39.75</v>
      </c>
      <c r="H50" s="595"/>
      <c r="I50" s="421"/>
      <c r="J50" s="366">
        <f t="shared" si="15"/>
        <v>1.4200000000000017</v>
      </c>
      <c r="K50" s="31" t="s">
        <v>21</v>
      </c>
      <c r="R50" s="140"/>
      <c r="S50" s="140" t="str">
        <f t="shared" si="23"/>
        <v xml:space="preserve"> </v>
      </c>
      <c r="T50" s="140" t="str">
        <f t="shared" si="10"/>
        <v xml:space="preserve"> </v>
      </c>
      <c r="U50" s="353" t="str">
        <f t="shared" si="11"/>
        <v xml:space="preserve"> </v>
      </c>
      <c r="V50" s="140" t="str">
        <f t="shared" si="12"/>
        <v xml:space="preserve"> </v>
      </c>
      <c r="W50" s="140" t="s">
        <v>21</v>
      </c>
      <c r="X50" s="321" t="s">
        <v>21</v>
      </c>
      <c r="Y50" s="150" t="s">
        <v>21</v>
      </c>
      <c r="Z50" s="140"/>
      <c r="AA50" s="140"/>
      <c r="AB50" s="140"/>
      <c r="AC50" s="140"/>
      <c r="AD50" s="140"/>
      <c r="AE50" s="150"/>
      <c r="AF50" s="150"/>
      <c r="AG50" s="140"/>
      <c r="EF50" s="27">
        <v>30.83</v>
      </c>
    </row>
    <row r="51" spans="1:136" s="27" customFormat="1" ht="23.1" customHeight="1" thickBot="1">
      <c r="A51" s="424"/>
      <c r="B51" s="425"/>
      <c r="C51" s="426">
        <f>$C$12+D51/1440</f>
        <v>45725.847222222219</v>
      </c>
      <c r="D51" s="610">
        <v>600</v>
      </c>
      <c r="E51" s="610"/>
      <c r="F51" s="427">
        <f t="shared" si="13"/>
        <v>48.38</v>
      </c>
      <c r="G51" s="611">
        <f t="shared" si="14"/>
        <v>41.18</v>
      </c>
      <c r="H51" s="611"/>
      <c r="I51" s="428" t="s">
        <v>180</v>
      </c>
      <c r="J51" s="366">
        <f t="shared" si="15"/>
        <v>1.4299999999999997</v>
      </c>
      <c r="K51" s="31" t="s">
        <v>21</v>
      </c>
      <c r="R51" s="140"/>
      <c r="S51" s="140" t="str">
        <f t="shared" si="23"/>
        <v xml:space="preserve"> </v>
      </c>
      <c r="T51" s="140" t="str">
        <f t="shared" si="10"/>
        <v xml:space="preserve"> </v>
      </c>
      <c r="U51" s="353" t="str">
        <f t="shared" si="11"/>
        <v xml:space="preserve"> </v>
      </c>
      <c r="V51" s="140" t="str">
        <f t="shared" si="12"/>
        <v xml:space="preserve"> </v>
      </c>
      <c r="W51" s="140" t="s">
        <v>21</v>
      </c>
      <c r="X51" s="321" t="s">
        <v>21</v>
      </c>
      <c r="Y51" s="150" t="s">
        <v>21</v>
      </c>
      <c r="Z51" s="140"/>
      <c r="AA51" s="140"/>
      <c r="AB51" s="140"/>
      <c r="AC51" s="140"/>
      <c r="AD51" s="140"/>
      <c r="AE51" s="150"/>
      <c r="AF51" s="150"/>
      <c r="AG51" s="140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0"/>
      <c r="S52" s="140"/>
      <c r="T52" s="140"/>
      <c r="U52" s="353"/>
      <c r="V52" s="140"/>
      <c r="W52" s="140" t="s">
        <v>21</v>
      </c>
      <c r="X52" s="321" t="s">
        <v>21</v>
      </c>
      <c r="Y52" s="150" t="s">
        <v>21</v>
      </c>
      <c r="Z52" s="140"/>
      <c r="AA52" s="140"/>
      <c r="AB52" s="140"/>
      <c r="AC52" s="140"/>
      <c r="AD52" s="140"/>
      <c r="AE52" s="150"/>
      <c r="AF52" s="150"/>
      <c r="AG52" s="140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0"/>
      <c r="S53" s="140"/>
      <c r="T53" s="140"/>
      <c r="U53" s="353"/>
      <c r="V53" s="140"/>
      <c r="W53" s="140" t="s">
        <v>21</v>
      </c>
      <c r="X53" s="321" t="s">
        <v>21</v>
      </c>
      <c r="Y53" s="150" t="s">
        <v>21</v>
      </c>
      <c r="Z53" s="140"/>
      <c r="AA53" s="140"/>
      <c r="AB53" s="140"/>
      <c r="AC53" s="140"/>
      <c r="AD53" s="140"/>
      <c r="AE53" s="150"/>
      <c r="AF53" s="150"/>
      <c r="AG53" s="140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0"/>
      <c r="S54" s="140"/>
      <c r="T54" s="140"/>
      <c r="U54" s="353"/>
      <c r="V54" s="140"/>
      <c r="W54" s="140" t="s">
        <v>21</v>
      </c>
      <c r="X54" s="321" t="s">
        <v>21</v>
      </c>
      <c r="Y54" s="150" t="s">
        <v>21</v>
      </c>
      <c r="Z54" s="140"/>
      <c r="AA54" s="140"/>
      <c r="AB54" s="140"/>
      <c r="AC54" s="140"/>
      <c r="AD54" s="140"/>
      <c r="AE54" s="150"/>
      <c r="AF54" s="150"/>
      <c r="AG54" s="140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0"/>
      <c r="S55" s="140"/>
      <c r="T55" s="140"/>
      <c r="U55" s="353"/>
      <c r="V55" s="140"/>
      <c r="W55" s="140" t="s">
        <v>21</v>
      </c>
      <c r="X55" s="321" t="s">
        <v>21</v>
      </c>
      <c r="Y55" s="150" t="s">
        <v>21</v>
      </c>
      <c r="Z55" s="140"/>
      <c r="AA55" s="140"/>
      <c r="AB55" s="140"/>
      <c r="AC55" s="140"/>
      <c r="AD55" s="140"/>
      <c r="AE55" s="150"/>
      <c r="AF55" s="150"/>
      <c r="AG55" s="140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0"/>
      <c r="S56" s="140"/>
      <c r="T56" s="140"/>
      <c r="U56" s="353"/>
      <c r="V56" s="140"/>
      <c r="W56" s="140" t="s">
        <v>21</v>
      </c>
      <c r="X56" s="321" t="s">
        <v>21</v>
      </c>
      <c r="Y56" s="150" t="s">
        <v>21</v>
      </c>
      <c r="Z56" s="140"/>
      <c r="AA56" s="140"/>
      <c r="AB56" s="140"/>
      <c r="AC56" s="140"/>
      <c r="AD56" s="140"/>
      <c r="AE56" s="150"/>
      <c r="AF56" s="150"/>
      <c r="AG56" s="140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0"/>
      <c r="S57" s="140"/>
      <c r="T57" s="140"/>
      <c r="U57" s="353"/>
      <c r="V57" s="140"/>
      <c r="W57" s="140" t="s">
        <v>21</v>
      </c>
      <c r="X57" s="321" t="s">
        <v>21</v>
      </c>
      <c r="Y57" s="150" t="s">
        <v>21</v>
      </c>
      <c r="Z57" s="140"/>
      <c r="AA57" s="140"/>
      <c r="AB57" s="140"/>
      <c r="AC57" s="140"/>
      <c r="AD57" s="140"/>
      <c r="AE57" s="150"/>
      <c r="AF57" s="150"/>
      <c r="AG57" s="140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0"/>
      <c r="S58" s="140"/>
      <c r="T58" s="140"/>
      <c r="U58" s="353"/>
      <c r="V58" s="140"/>
      <c r="W58" s="140" t="s">
        <v>21</v>
      </c>
      <c r="X58" s="321" t="s">
        <v>21</v>
      </c>
      <c r="Y58" s="150" t="s">
        <v>21</v>
      </c>
      <c r="Z58" s="140"/>
      <c r="AA58" s="140"/>
      <c r="AB58" s="140"/>
      <c r="AC58" s="140"/>
      <c r="AD58" s="140"/>
      <c r="AE58" s="150"/>
      <c r="AF58" s="150"/>
      <c r="AG58" s="140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0"/>
      <c r="S59" s="140"/>
      <c r="T59" s="140"/>
      <c r="U59" s="353"/>
      <c r="V59" s="140"/>
      <c r="W59" s="140" t="s">
        <v>21</v>
      </c>
      <c r="X59" s="321" t="s">
        <v>21</v>
      </c>
      <c r="Y59" s="150" t="s">
        <v>21</v>
      </c>
      <c r="Z59" s="140"/>
      <c r="AA59" s="140"/>
      <c r="AB59" s="140"/>
      <c r="AC59" s="140"/>
      <c r="AD59" s="140"/>
      <c r="AE59" s="150"/>
      <c r="AF59" s="150"/>
      <c r="AG59" s="140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0"/>
      <c r="S60" s="140"/>
      <c r="T60" s="140"/>
      <c r="U60" s="353"/>
      <c r="V60" s="140"/>
      <c r="W60" s="140" t="s">
        <v>21</v>
      </c>
      <c r="X60" s="321" t="s">
        <v>21</v>
      </c>
      <c r="Y60" s="150" t="s">
        <v>21</v>
      </c>
      <c r="Z60" s="140"/>
      <c r="AA60" s="140"/>
      <c r="AB60" s="140"/>
      <c r="AC60" s="140"/>
      <c r="AD60" s="140"/>
      <c r="AE60" s="150"/>
      <c r="AF60" s="150"/>
      <c r="AG60" s="140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0"/>
      <c r="S61" s="140"/>
      <c r="T61" s="140"/>
      <c r="U61" s="353"/>
      <c r="V61" s="140"/>
      <c r="W61" s="140" t="s">
        <v>21</v>
      </c>
      <c r="X61" s="321" t="s">
        <v>21</v>
      </c>
      <c r="Y61" s="150" t="s">
        <v>21</v>
      </c>
      <c r="Z61" s="140"/>
      <c r="AA61" s="140"/>
      <c r="AB61" s="140"/>
      <c r="AC61" s="140"/>
      <c r="AD61" s="140"/>
      <c r="AE61" s="150"/>
      <c r="AF61" s="150"/>
      <c r="AG61" s="140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0"/>
      <c r="S62" s="140"/>
      <c r="T62" s="140"/>
      <c r="U62" s="353"/>
      <c r="V62" s="140"/>
      <c r="W62" s="140" t="s">
        <v>21</v>
      </c>
      <c r="X62" s="321" t="s">
        <v>21</v>
      </c>
      <c r="Y62" s="150" t="s">
        <v>21</v>
      </c>
      <c r="Z62" s="140"/>
      <c r="AA62" s="140"/>
      <c r="AB62" s="140"/>
      <c r="AC62" s="140"/>
      <c r="AD62" s="140"/>
      <c r="AE62" s="150"/>
      <c r="AF62" s="150"/>
      <c r="AG62" s="140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0"/>
      <c r="S63" s="140"/>
      <c r="T63" s="140"/>
      <c r="U63" s="353"/>
      <c r="V63" s="140"/>
      <c r="W63" s="140" t="s">
        <v>21</v>
      </c>
      <c r="X63" s="321" t="s">
        <v>21</v>
      </c>
      <c r="Y63" s="150" t="s">
        <v>21</v>
      </c>
      <c r="Z63" s="140"/>
      <c r="AA63" s="140"/>
      <c r="AB63" s="140"/>
      <c r="AC63" s="140"/>
      <c r="AD63" s="140"/>
      <c r="AE63" s="150"/>
      <c r="AF63" s="150"/>
      <c r="AG63" s="140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0"/>
      <c r="S64" s="140"/>
      <c r="T64" s="140"/>
      <c r="U64" s="353"/>
      <c r="V64" s="140"/>
      <c r="W64" s="140" t="s">
        <v>21</v>
      </c>
      <c r="X64" s="321" t="s">
        <v>21</v>
      </c>
      <c r="Y64" s="150" t="s">
        <v>21</v>
      </c>
      <c r="Z64" s="140"/>
      <c r="AA64" s="140"/>
      <c r="AB64" s="140"/>
      <c r="AC64" s="140"/>
      <c r="AD64" s="140"/>
      <c r="AE64" s="150"/>
      <c r="AF64" s="150"/>
      <c r="AG64" s="140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0"/>
      <c r="S65" s="140"/>
      <c r="T65" s="140"/>
      <c r="U65" s="353"/>
      <c r="V65" s="140"/>
      <c r="W65" s="140" t="s">
        <v>21</v>
      </c>
      <c r="X65" s="321" t="s">
        <v>21</v>
      </c>
      <c r="Y65" s="150" t="s">
        <v>21</v>
      </c>
      <c r="Z65" s="140"/>
      <c r="AA65" s="140"/>
      <c r="AB65" s="140"/>
      <c r="AC65" s="140"/>
      <c r="AD65" s="140"/>
      <c r="AE65" s="150"/>
      <c r="AF65" s="150"/>
      <c r="AG65" s="140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0"/>
      <c r="S66" s="140"/>
      <c r="T66" s="140"/>
      <c r="U66" s="353"/>
      <c r="V66" s="140"/>
      <c r="W66" s="140" t="s">
        <v>21</v>
      </c>
      <c r="X66" s="321" t="s">
        <v>21</v>
      </c>
      <c r="Y66" s="150" t="s">
        <v>21</v>
      </c>
      <c r="Z66" s="140"/>
      <c r="AA66" s="140"/>
      <c r="AB66" s="140"/>
      <c r="AC66" s="140"/>
      <c r="AD66" s="140"/>
      <c r="AE66" s="150"/>
      <c r="AF66" s="150"/>
      <c r="AG66" s="140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0"/>
      <c r="S67" s="140"/>
      <c r="T67" s="140"/>
      <c r="U67" s="353"/>
      <c r="V67" s="140"/>
      <c r="W67" s="321" t="s">
        <v>21</v>
      </c>
      <c r="X67" s="150" t="s">
        <v>21</v>
      </c>
      <c r="Y67" s="140"/>
      <c r="Z67" s="140"/>
      <c r="AA67" s="140"/>
      <c r="AB67" s="140"/>
      <c r="AC67" s="140"/>
      <c r="AD67" s="150"/>
      <c r="AE67" s="150"/>
      <c r="AF67" s="140"/>
      <c r="AG67" s="140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0"/>
      <c r="S68" s="140"/>
      <c r="T68" s="140"/>
      <c r="U68" s="353"/>
      <c r="V68" s="140"/>
      <c r="W68" s="140" t="s">
        <v>21</v>
      </c>
      <c r="X68" s="321" t="s">
        <v>21</v>
      </c>
      <c r="Y68" s="150" t="s">
        <v>21</v>
      </c>
      <c r="Z68" s="140"/>
      <c r="AA68" s="140"/>
      <c r="AB68" s="140"/>
      <c r="AC68" s="140"/>
      <c r="AD68" s="140"/>
      <c r="AE68" s="150"/>
      <c r="AF68" s="150"/>
      <c r="AG68" s="140"/>
    </row>
    <row r="69" spans="10:136" s="27" customFormat="1" ht="17.25" customHeight="1">
      <c r="J69" s="28" t="s">
        <v>21</v>
      </c>
      <c r="K69" s="31" t="s">
        <v>21</v>
      </c>
      <c r="R69" s="140"/>
      <c r="S69" s="140"/>
      <c r="T69" s="140"/>
      <c r="U69" s="353"/>
      <c r="V69" s="140"/>
      <c r="W69" s="140" t="s">
        <v>21</v>
      </c>
      <c r="X69" s="321" t="s">
        <v>21</v>
      </c>
      <c r="Y69" s="150" t="s">
        <v>21</v>
      </c>
      <c r="Z69" s="140"/>
      <c r="AA69" s="140"/>
      <c r="AB69" s="140"/>
      <c r="AC69" s="140"/>
      <c r="AD69" s="140"/>
      <c r="AE69" s="150"/>
      <c r="AF69" s="150"/>
      <c r="AG69" s="140"/>
    </row>
    <row r="70" spans="10:136" s="27" customFormat="1" ht="17.25" customHeight="1">
      <c r="J70" s="28" t="s">
        <v>21</v>
      </c>
      <c r="K70" s="31" t="s">
        <v>21</v>
      </c>
      <c r="R70" s="140"/>
      <c r="S70" s="140"/>
      <c r="T70" s="140"/>
      <c r="U70" s="353"/>
      <c r="V70" s="140"/>
      <c r="W70" s="140" t="s">
        <v>21</v>
      </c>
      <c r="X70" s="321" t="s">
        <v>21</v>
      </c>
      <c r="Y70" s="150" t="s">
        <v>21</v>
      </c>
      <c r="Z70" s="140"/>
      <c r="AA70" s="140"/>
      <c r="AB70" s="140"/>
      <c r="AC70" s="140"/>
      <c r="AD70" s="140"/>
      <c r="AE70" s="150"/>
      <c r="AF70" s="150"/>
      <c r="AG70" s="140"/>
    </row>
    <row r="71" spans="10:136" s="27" customFormat="1" ht="17.25" customHeight="1">
      <c r="J71" s="28" t="s">
        <v>21</v>
      </c>
      <c r="K71" s="31" t="s">
        <v>21</v>
      </c>
      <c r="R71" s="140"/>
      <c r="S71" s="140"/>
      <c r="T71" s="140"/>
      <c r="U71" s="353"/>
      <c r="V71" s="140"/>
      <c r="W71" s="140" t="s">
        <v>21</v>
      </c>
      <c r="X71" s="321" t="s">
        <v>21</v>
      </c>
      <c r="Y71" s="150" t="s">
        <v>21</v>
      </c>
      <c r="Z71" s="140"/>
      <c r="AA71" s="140"/>
      <c r="AB71" s="140"/>
      <c r="AC71" s="140"/>
      <c r="AD71" s="140"/>
      <c r="AE71" s="150"/>
      <c r="AF71" s="150"/>
      <c r="AG71" s="140"/>
    </row>
    <row r="72" spans="10:136" s="27" customFormat="1" ht="17.25" customHeight="1">
      <c r="J72" s="28" t="s">
        <v>21</v>
      </c>
      <c r="K72" s="31" t="s">
        <v>21</v>
      </c>
      <c r="R72" s="140"/>
      <c r="S72" s="140"/>
      <c r="T72" s="140"/>
      <c r="U72" s="353"/>
      <c r="V72" s="140"/>
      <c r="W72" s="140" t="s">
        <v>21</v>
      </c>
      <c r="X72" s="321" t="s">
        <v>21</v>
      </c>
      <c r="Y72" s="150" t="s">
        <v>21</v>
      </c>
      <c r="Z72" s="140"/>
      <c r="AA72" s="140"/>
      <c r="AB72" s="140"/>
      <c r="AC72" s="140"/>
      <c r="AD72" s="140"/>
      <c r="AE72" s="150"/>
      <c r="AF72" s="150"/>
      <c r="AG72" s="140"/>
    </row>
    <row r="73" spans="10:136" s="27" customFormat="1" ht="17.25" customHeight="1">
      <c r="J73" s="28" t="s">
        <v>21</v>
      </c>
      <c r="K73" s="31" t="s">
        <v>21</v>
      </c>
      <c r="R73" s="140"/>
      <c r="S73" s="140"/>
      <c r="T73" s="140"/>
      <c r="U73" s="353"/>
      <c r="V73" s="140"/>
      <c r="W73" s="140" t="s">
        <v>21</v>
      </c>
      <c r="X73" s="321" t="s">
        <v>21</v>
      </c>
      <c r="Y73" s="150" t="s">
        <v>21</v>
      </c>
      <c r="Z73" s="140"/>
      <c r="AA73" s="140"/>
      <c r="AB73" s="140"/>
      <c r="AC73" s="140"/>
      <c r="AD73" s="140"/>
      <c r="AE73" s="150"/>
      <c r="AF73" s="150"/>
      <c r="AG73" s="140"/>
    </row>
    <row r="74" spans="10:136" s="27" customFormat="1" ht="17.25" customHeight="1">
      <c r="J74" s="28" t="s">
        <v>21</v>
      </c>
      <c r="R74" s="140"/>
      <c r="S74" s="140"/>
      <c r="T74" s="140"/>
      <c r="U74" s="353"/>
      <c r="V74" s="140"/>
      <c r="W74" s="140" t="s">
        <v>21</v>
      </c>
      <c r="X74" s="321" t="s">
        <v>21</v>
      </c>
      <c r="Y74" s="150" t="s">
        <v>21</v>
      </c>
      <c r="Z74" s="140"/>
      <c r="AA74" s="140"/>
      <c r="AB74" s="140"/>
      <c r="AC74" s="140"/>
      <c r="AD74" s="140"/>
      <c r="AE74" s="150"/>
      <c r="AF74" s="150"/>
      <c r="AG74" s="140"/>
    </row>
    <row r="75" spans="10:136" s="27" customFormat="1" ht="17.25" customHeight="1">
      <c r="J75" s="28" t="s">
        <v>21</v>
      </c>
      <c r="R75" s="140"/>
      <c r="S75" s="140"/>
      <c r="T75" s="140"/>
      <c r="U75" s="353"/>
      <c r="V75" s="140"/>
      <c r="W75" s="140" t="s">
        <v>21</v>
      </c>
      <c r="X75" s="321" t="s">
        <v>21</v>
      </c>
      <c r="Y75" s="150" t="s">
        <v>21</v>
      </c>
      <c r="Z75" s="140"/>
      <c r="AA75" s="140"/>
      <c r="AB75" s="140"/>
      <c r="AC75" s="140"/>
      <c r="AD75" s="140"/>
      <c r="AE75" s="150"/>
      <c r="AF75" s="150"/>
      <c r="AG75" s="140"/>
    </row>
    <row r="76" spans="10:136" s="27" customFormat="1" ht="17.25" customHeight="1">
      <c r="J76" s="28" t="s">
        <v>21</v>
      </c>
      <c r="R76" s="140"/>
      <c r="S76" s="140"/>
      <c r="T76" s="140"/>
      <c r="U76" s="353"/>
      <c r="V76" s="140"/>
      <c r="W76" s="140" t="s">
        <v>21</v>
      </c>
      <c r="X76" s="321" t="s">
        <v>21</v>
      </c>
      <c r="Y76" s="150" t="s">
        <v>21</v>
      </c>
      <c r="Z76" s="140"/>
      <c r="AA76" s="140"/>
      <c r="AB76" s="140"/>
      <c r="AC76" s="140"/>
      <c r="AD76" s="140"/>
      <c r="AE76" s="150"/>
      <c r="AF76" s="150"/>
      <c r="AG76" s="140"/>
    </row>
    <row r="77" spans="10:136" s="27" customFormat="1" ht="17.25" customHeight="1">
      <c r="J77" s="28" t="s">
        <v>21</v>
      </c>
      <c r="R77" s="140"/>
      <c r="S77" s="140"/>
      <c r="T77" s="140"/>
      <c r="U77" s="353"/>
      <c r="V77" s="140"/>
      <c r="W77" s="140" t="s">
        <v>21</v>
      </c>
      <c r="X77" s="321" t="s">
        <v>21</v>
      </c>
      <c r="Y77" s="150" t="s">
        <v>21</v>
      </c>
      <c r="Z77" s="140"/>
      <c r="AA77" s="140"/>
      <c r="AB77" s="140"/>
      <c r="AC77" s="140"/>
      <c r="AD77" s="140"/>
      <c r="AE77" s="150"/>
      <c r="AF77" s="150"/>
      <c r="AG77" s="140"/>
    </row>
    <row r="78" spans="10:136" s="27" customFormat="1" ht="17.25" customHeight="1">
      <c r="J78" s="28" t="s">
        <v>21</v>
      </c>
      <c r="R78" s="140"/>
      <c r="S78" s="140"/>
      <c r="T78" s="140"/>
      <c r="U78" s="353"/>
      <c r="V78" s="140"/>
      <c r="W78" s="140" t="s">
        <v>21</v>
      </c>
      <c r="X78" s="321" t="s">
        <v>21</v>
      </c>
      <c r="Y78" s="150" t="s">
        <v>21</v>
      </c>
      <c r="Z78" s="140"/>
      <c r="AA78" s="140"/>
      <c r="AB78" s="140"/>
      <c r="AC78" s="140"/>
      <c r="AD78" s="140"/>
      <c r="AE78" s="150"/>
      <c r="AF78" s="150"/>
      <c r="AG78" s="140"/>
    </row>
    <row r="79" spans="10:136" s="27" customFormat="1" ht="17.25" customHeight="1">
      <c r="J79" s="28" t="s">
        <v>21</v>
      </c>
      <c r="R79" s="140"/>
      <c r="S79" s="140"/>
      <c r="T79" s="140"/>
      <c r="U79" s="353"/>
      <c r="V79" s="140"/>
      <c r="W79" s="140"/>
      <c r="X79" s="140"/>
      <c r="Y79" s="140"/>
      <c r="Z79" s="140"/>
      <c r="AA79" s="140"/>
      <c r="AB79" s="140"/>
      <c r="AC79" s="140"/>
      <c r="AD79" s="140"/>
      <c r="AE79" s="150"/>
      <c r="AF79" s="150"/>
      <c r="AG79" s="140"/>
    </row>
    <row r="80" spans="10:136" s="27" customFormat="1" ht="17.25" customHeight="1">
      <c r="J80" s="28" t="s">
        <v>21</v>
      </c>
      <c r="R80" s="140"/>
      <c r="S80" s="140"/>
      <c r="T80" s="140"/>
      <c r="U80" s="353"/>
      <c r="V80" s="140"/>
      <c r="W80" s="140"/>
      <c r="X80" s="140"/>
      <c r="Y80" s="140"/>
      <c r="Z80" s="140"/>
      <c r="AA80" s="140"/>
      <c r="AB80" s="140"/>
      <c r="AC80" s="140"/>
      <c r="AD80" s="140"/>
      <c r="AE80" s="150"/>
      <c r="AF80" s="150"/>
      <c r="AG80" s="140"/>
    </row>
    <row r="81" spans="10:33" s="27" customFormat="1" ht="17.25" customHeight="1">
      <c r="J81" s="28" t="s">
        <v>21</v>
      </c>
      <c r="R81" s="140"/>
      <c r="S81" s="140"/>
      <c r="T81" s="140"/>
      <c r="U81" s="353"/>
      <c r="V81" s="140"/>
      <c r="W81" s="140"/>
      <c r="X81" s="140"/>
      <c r="Y81" s="140"/>
      <c r="Z81" s="140"/>
      <c r="AA81" s="140"/>
      <c r="AB81" s="140"/>
      <c r="AC81" s="140"/>
      <c r="AD81" s="140"/>
      <c r="AE81" s="150"/>
      <c r="AF81" s="150"/>
      <c r="AG81" s="140"/>
    </row>
    <row r="82" spans="10:33" s="27" customFormat="1" ht="17.25" customHeight="1">
      <c r="J82" s="28" t="s">
        <v>21</v>
      </c>
      <c r="R82" s="140"/>
      <c r="S82" s="140"/>
      <c r="T82" s="140"/>
      <c r="U82" s="353"/>
      <c r="V82" s="140"/>
      <c r="W82" s="140"/>
      <c r="X82" s="140"/>
      <c r="Y82" s="140"/>
      <c r="Z82" s="140"/>
      <c r="AA82" s="140"/>
      <c r="AB82" s="140"/>
      <c r="AC82" s="140"/>
      <c r="AD82" s="140"/>
      <c r="AE82" s="150"/>
      <c r="AF82" s="150"/>
      <c r="AG82" s="140"/>
    </row>
    <row r="83" spans="10:33" s="27" customFormat="1" ht="17.25" customHeight="1">
      <c r="J83" s="28" t="s">
        <v>21</v>
      </c>
      <c r="R83" s="140"/>
      <c r="S83" s="140"/>
      <c r="T83" s="140"/>
      <c r="U83" s="353"/>
      <c r="V83" s="140"/>
      <c r="W83" s="140"/>
      <c r="X83" s="140"/>
      <c r="Y83" s="140"/>
      <c r="Z83" s="140"/>
      <c r="AA83" s="140"/>
      <c r="AB83" s="140"/>
      <c r="AC83" s="140"/>
      <c r="AD83" s="140"/>
      <c r="AE83" s="150"/>
      <c r="AF83" s="150"/>
      <c r="AG83" s="140"/>
    </row>
    <row r="84" spans="10:33" s="27" customFormat="1" ht="17.25" customHeight="1">
      <c r="J84" s="28" t="s">
        <v>21</v>
      </c>
      <c r="R84" s="140"/>
      <c r="S84" s="140"/>
      <c r="T84" s="140"/>
      <c r="U84" s="353"/>
      <c r="V84" s="140"/>
      <c r="W84" s="140"/>
      <c r="X84" s="140"/>
      <c r="Y84" s="140"/>
      <c r="Z84" s="140"/>
      <c r="AA84" s="140"/>
      <c r="AB84" s="140"/>
      <c r="AC84" s="140"/>
      <c r="AD84" s="140"/>
      <c r="AE84" s="150"/>
      <c r="AF84" s="150"/>
      <c r="AG84" s="140"/>
    </row>
    <row r="85" spans="10:33" s="27" customFormat="1" ht="17.25" customHeight="1">
      <c r="J85" s="28" t="s">
        <v>21</v>
      </c>
      <c r="R85" s="140"/>
      <c r="S85" s="140"/>
      <c r="T85" s="140"/>
      <c r="U85" s="353"/>
      <c r="V85" s="140"/>
      <c r="W85" s="140"/>
      <c r="X85" s="140"/>
      <c r="Y85" s="140"/>
      <c r="Z85" s="140"/>
      <c r="AA85" s="140"/>
      <c r="AB85" s="140"/>
      <c r="AC85" s="140"/>
      <c r="AD85" s="140"/>
      <c r="AE85" s="150"/>
      <c r="AF85" s="150"/>
      <c r="AG85" s="140"/>
    </row>
    <row r="86" spans="10:33" s="27" customFormat="1" ht="17.25" customHeight="1">
      <c r="J86" s="28" t="s">
        <v>21</v>
      </c>
      <c r="R86" s="140"/>
      <c r="S86" s="140"/>
      <c r="T86" s="140"/>
      <c r="U86" s="353"/>
      <c r="V86" s="140"/>
      <c r="W86" s="140"/>
      <c r="X86" s="140"/>
      <c r="Y86" s="140"/>
      <c r="Z86" s="140"/>
      <c r="AA86" s="140"/>
      <c r="AB86" s="140"/>
      <c r="AC86" s="140"/>
      <c r="AD86" s="140"/>
      <c r="AE86" s="150"/>
      <c r="AF86" s="150"/>
      <c r="AG86" s="140"/>
    </row>
    <row r="87" spans="10:33" s="27" customFormat="1" ht="17.25" customHeight="1">
      <c r="J87" s="28"/>
      <c r="R87" s="140"/>
      <c r="S87" s="140"/>
      <c r="T87" s="140"/>
      <c r="U87" s="353"/>
      <c r="V87" s="140"/>
      <c r="W87" s="140"/>
      <c r="X87" s="140"/>
      <c r="Y87" s="140"/>
      <c r="Z87" s="140"/>
      <c r="AA87" s="140"/>
      <c r="AB87" s="140"/>
      <c r="AC87" s="140"/>
      <c r="AD87" s="140"/>
      <c r="AE87" s="150"/>
      <c r="AF87" s="150"/>
      <c r="AG87" s="140"/>
    </row>
    <row r="88" spans="10:33" s="27" customFormat="1" ht="17.25" customHeight="1">
      <c r="J88" s="28"/>
      <c r="R88" s="140"/>
      <c r="S88" s="140"/>
      <c r="T88" s="140"/>
      <c r="U88" s="353"/>
      <c r="V88" s="140"/>
      <c r="W88" s="140"/>
      <c r="X88" s="140"/>
      <c r="Y88" s="140"/>
      <c r="Z88" s="140"/>
      <c r="AA88" s="140"/>
      <c r="AB88" s="140"/>
      <c r="AC88" s="140"/>
      <c r="AD88" s="140"/>
      <c r="AE88" s="150"/>
      <c r="AF88" s="150"/>
      <c r="AG88" s="140"/>
    </row>
    <row r="89" spans="10:33" s="27" customFormat="1" ht="17.25" customHeight="1">
      <c r="J89" s="28"/>
      <c r="R89" s="140"/>
      <c r="S89" s="140"/>
      <c r="T89" s="140"/>
      <c r="U89" s="353"/>
      <c r="V89" s="140"/>
      <c r="W89" s="140"/>
      <c r="X89" s="140"/>
      <c r="Y89" s="140"/>
      <c r="Z89" s="140"/>
      <c r="AA89" s="140"/>
      <c r="AB89" s="140"/>
      <c r="AC89" s="140"/>
      <c r="AD89" s="140"/>
      <c r="AE89" s="150"/>
      <c r="AF89" s="150"/>
      <c r="AG89" s="140"/>
    </row>
    <row r="90" spans="10:33" s="27" customFormat="1" ht="17.25" customHeight="1">
      <c r="J90" s="28"/>
      <c r="R90" s="140"/>
      <c r="S90" s="140"/>
      <c r="T90" s="140"/>
      <c r="U90" s="353"/>
      <c r="V90" s="140"/>
      <c r="W90" s="140"/>
      <c r="X90" s="140"/>
      <c r="Y90" s="140"/>
      <c r="Z90" s="140"/>
      <c r="AA90" s="140"/>
      <c r="AB90" s="140"/>
      <c r="AC90" s="140"/>
      <c r="AD90" s="140"/>
      <c r="AE90" s="150"/>
      <c r="AF90" s="150"/>
      <c r="AG90" s="140"/>
    </row>
    <row r="91" spans="10:33" s="27" customFormat="1" ht="17.25" customHeight="1">
      <c r="J91" s="28"/>
      <c r="R91" s="140"/>
      <c r="S91" s="140"/>
      <c r="T91" s="140"/>
      <c r="U91" s="353"/>
      <c r="V91" s="140"/>
      <c r="W91" s="140"/>
      <c r="X91" s="140"/>
      <c r="Y91" s="140"/>
      <c r="Z91" s="140"/>
      <c r="AA91" s="140"/>
      <c r="AB91" s="140"/>
      <c r="AC91" s="140"/>
      <c r="AD91" s="140"/>
      <c r="AE91" s="150"/>
      <c r="AF91" s="150"/>
      <c r="AG91" s="140"/>
    </row>
    <row r="92" spans="10:33" s="27" customFormat="1" ht="17.25" customHeight="1">
      <c r="J92" s="28"/>
      <c r="R92" s="140"/>
      <c r="S92" s="140"/>
      <c r="T92" s="140"/>
      <c r="U92" s="353"/>
      <c r="V92" s="140"/>
      <c r="W92" s="140"/>
      <c r="X92" s="140"/>
      <c r="Y92" s="140"/>
      <c r="Z92" s="140"/>
      <c r="AA92" s="140"/>
      <c r="AB92" s="140"/>
      <c r="AC92" s="140"/>
      <c r="AD92" s="140"/>
      <c r="AE92" s="150"/>
      <c r="AF92" s="150"/>
      <c r="AG92" s="140"/>
    </row>
    <row r="93" spans="10:33" s="27" customFormat="1" ht="17.25" customHeight="1">
      <c r="J93" s="28"/>
      <c r="R93" s="140"/>
      <c r="S93" s="140"/>
      <c r="T93" s="140"/>
      <c r="U93" s="353"/>
      <c r="V93" s="140"/>
      <c r="W93" s="140"/>
      <c r="X93" s="140"/>
      <c r="Y93" s="140"/>
      <c r="Z93" s="140"/>
      <c r="AA93" s="140"/>
      <c r="AB93" s="140"/>
      <c r="AC93" s="140"/>
      <c r="AD93" s="140"/>
      <c r="AE93" s="150"/>
      <c r="AF93" s="150"/>
      <c r="AG93" s="140"/>
    </row>
    <row r="94" spans="10:33" s="27" customFormat="1" ht="17.25" customHeight="1">
      <c r="J94" s="28"/>
      <c r="R94" s="140"/>
      <c r="S94" s="140"/>
      <c r="T94" s="140"/>
      <c r="U94" s="353"/>
      <c r="V94" s="140"/>
      <c r="W94" s="140"/>
      <c r="X94" s="140"/>
      <c r="Y94" s="140"/>
      <c r="Z94" s="140"/>
      <c r="AA94" s="140"/>
      <c r="AB94" s="140"/>
      <c r="AC94" s="140"/>
      <c r="AD94" s="140"/>
      <c r="AE94" s="150"/>
      <c r="AF94" s="150"/>
      <c r="AG94" s="140"/>
    </row>
    <row r="95" spans="10:33" s="27" customFormat="1" ht="17.25" customHeight="1">
      <c r="J95" s="28"/>
      <c r="R95" s="140"/>
      <c r="S95" s="140"/>
      <c r="T95" s="140"/>
      <c r="U95" s="353"/>
      <c r="V95" s="140"/>
      <c r="W95" s="140"/>
      <c r="X95" s="140"/>
      <c r="Y95" s="140"/>
      <c r="Z95" s="140"/>
      <c r="AA95" s="140"/>
      <c r="AB95" s="140"/>
      <c r="AC95" s="140"/>
      <c r="AD95" s="140"/>
      <c r="AE95" s="150"/>
      <c r="AF95" s="150"/>
      <c r="AG95" s="140"/>
    </row>
    <row r="96" spans="10:33" s="27" customFormat="1" ht="17.25" customHeight="1">
      <c r="J96" s="28"/>
      <c r="R96" s="140"/>
      <c r="S96" s="140"/>
      <c r="T96" s="140"/>
      <c r="U96" s="353"/>
      <c r="V96" s="140"/>
      <c r="W96" s="140"/>
      <c r="X96" s="140"/>
      <c r="Y96" s="140"/>
      <c r="Z96" s="140"/>
      <c r="AA96" s="140"/>
      <c r="AB96" s="140"/>
      <c r="AC96" s="140"/>
      <c r="AD96" s="140"/>
      <c r="AE96" s="150"/>
      <c r="AF96" s="150"/>
      <c r="AG96" s="140"/>
    </row>
    <row r="97" spans="10:33" s="27" customFormat="1" ht="17.25" customHeight="1">
      <c r="J97" s="28"/>
      <c r="R97" s="140"/>
      <c r="S97" s="140"/>
      <c r="T97" s="140"/>
      <c r="U97" s="353"/>
      <c r="V97" s="140"/>
      <c r="W97" s="140"/>
      <c r="X97" s="140"/>
      <c r="Y97" s="140"/>
      <c r="Z97" s="140"/>
      <c r="AA97" s="140"/>
      <c r="AB97" s="140"/>
      <c r="AC97" s="140"/>
      <c r="AD97" s="140"/>
      <c r="AE97" s="150"/>
      <c r="AF97" s="150"/>
      <c r="AG97" s="140"/>
    </row>
    <row r="98" spans="10:33" s="27" customFormat="1" ht="17.25" customHeight="1">
      <c r="J98" s="28"/>
      <c r="R98" s="140"/>
      <c r="S98" s="140"/>
      <c r="T98" s="140"/>
      <c r="U98" s="353"/>
      <c r="V98" s="140"/>
      <c r="W98" s="140"/>
      <c r="X98" s="140"/>
      <c r="Y98" s="140"/>
      <c r="Z98" s="140"/>
      <c r="AA98" s="140"/>
      <c r="AB98" s="140"/>
      <c r="AC98" s="140"/>
      <c r="AD98" s="140"/>
      <c r="AE98" s="150"/>
      <c r="AF98" s="150"/>
      <c r="AG98" s="140"/>
    </row>
    <row r="99" spans="10:33" s="27" customFormat="1" ht="17.25" customHeight="1">
      <c r="J99" s="28"/>
      <c r="R99" s="140"/>
      <c r="S99" s="140"/>
      <c r="T99" s="140"/>
      <c r="U99" s="353"/>
      <c r="V99" s="140"/>
      <c r="W99" s="140"/>
      <c r="X99" s="140"/>
      <c r="Y99" s="140"/>
      <c r="Z99" s="140"/>
      <c r="AA99" s="140"/>
      <c r="AB99" s="140"/>
      <c r="AC99" s="140"/>
      <c r="AD99" s="140"/>
      <c r="AE99" s="150"/>
      <c r="AF99" s="150"/>
      <c r="AG99" s="140"/>
    </row>
    <row r="100" spans="10:33" s="27" customFormat="1" ht="17.25" customHeight="1">
      <c r="J100" s="28"/>
      <c r="R100" s="140"/>
      <c r="S100" s="140"/>
      <c r="T100" s="140"/>
      <c r="U100" s="353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50"/>
      <c r="AF100" s="150"/>
      <c r="AG100" s="140"/>
    </row>
    <row r="101" spans="10:33" s="27" customFormat="1" ht="17.25" customHeight="1">
      <c r="J101" s="28"/>
      <c r="R101" s="140"/>
      <c r="S101" s="140"/>
      <c r="T101" s="140"/>
      <c r="U101" s="353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50"/>
      <c r="AF101" s="150"/>
      <c r="AG101" s="140"/>
    </row>
    <row r="102" spans="10:33" s="27" customFormat="1" ht="17.25" customHeight="1">
      <c r="J102" s="28"/>
      <c r="R102" s="140"/>
      <c r="S102" s="140"/>
      <c r="T102" s="140"/>
      <c r="U102" s="353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50"/>
      <c r="AF102" s="150"/>
      <c r="AG102" s="140"/>
    </row>
    <row r="103" spans="10:33" s="27" customFormat="1" ht="17.25" customHeight="1">
      <c r="J103" s="28"/>
      <c r="R103" s="140"/>
      <c r="S103" s="140"/>
      <c r="T103" s="140"/>
      <c r="U103" s="353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50"/>
      <c r="AF103" s="150"/>
      <c r="AG103" s="140"/>
    </row>
    <row r="104" spans="10:33" s="27" customFormat="1" ht="17.25" customHeight="1">
      <c r="J104" s="28"/>
      <c r="R104" s="140"/>
      <c r="S104" s="140"/>
      <c r="T104" s="140"/>
      <c r="U104" s="353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50"/>
      <c r="AF104" s="150"/>
      <c r="AG104" s="140"/>
    </row>
    <row r="105" spans="10:33" s="27" customFormat="1" ht="17.25" customHeight="1">
      <c r="J105" s="28"/>
      <c r="R105" s="140"/>
      <c r="S105" s="140"/>
      <c r="T105" s="140"/>
      <c r="U105" s="353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50"/>
      <c r="AF105" s="150"/>
      <c r="AG105" s="140"/>
    </row>
    <row r="106" spans="10:33" s="27" customFormat="1" ht="17.25" customHeight="1">
      <c r="J106" s="28"/>
      <c r="R106" s="140"/>
      <c r="S106" s="140"/>
      <c r="T106" s="140"/>
      <c r="U106" s="353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50"/>
      <c r="AF106" s="150"/>
      <c r="AG106" s="140"/>
    </row>
    <row r="107" spans="10:33" s="27" customFormat="1" ht="17.25" customHeight="1">
      <c r="J107" s="28"/>
      <c r="R107" s="140"/>
      <c r="S107" s="140"/>
      <c r="T107" s="140"/>
      <c r="U107" s="353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50"/>
      <c r="AF107" s="150"/>
      <c r="AG107" s="140"/>
    </row>
    <row r="108" spans="10:33" s="27" customFormat="1" ht="17.25" customHeight="1">
      <c r="J108" s="28"/>
      <c r="R108" s="140"/>
      <c r="S108" s="140"/>
      <c r="T108" s="140"/>
      <c r="U108" s="353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50"/>
      <c r="AF108" s="150"/>
      <c r="AG108" s="140"/>
    </row>
    <row r="109" spans="10:33" s="27" customFormat="1" ht="17.25" customHeight="1">
      <c r="J109" s="28"/>
      <c r="R109" s="140"/>
      <c r="S109" s="140"/>
      <c r="T109" s="140"/>
      <c r="U109" s="353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50"/>
      <c r="AF109" s="150"/>
      <c r="AG109" s="140"/>
    </row>
    <row r="110" spans="10:33" s="27" customFormat="1" ht="17.25" customHeight="1">
      <c r="J110" s="28"/>
      <c r="R110" s="140"/>
      <c r="S110" s="140"/>
      <c r="T110" s="140"/>
      <c r="U110" s="353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50"/>
      <c r="AF110" s="150"/>
      <c r="AG110" s="140"/>
    </row>
    <row r="111" spans="10:33" s="27" customFormat="1" ht="17.25" customHeight="1">
      <c r="J111" s="28"/>
      <c r="R111" s="140"/>
      <c r="S111" s="140"/>
      <c r="T111" s="140"/>
      <c r="U111" s="353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50"/>
      <c r="AF111" s="150"/>
      <c r="AG111" s="140"/>
    </row>
    <row r="112" spans="10:33" s="27" customFormat="1" ht="17.25" customHeight="1">
      <c r="J112" s="28"/>
      <c r="R112" s="140"/>
      <c r="S112" s="140"/>
      <c r="T112" s="140"/>
      <c r="U112" s="353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50"/>
      <c r="AF112" s="150"/>
      <c r="AG112" s="140"/>
    </row>
    <row r="113" spans="10:33" s="27" customFormat="1" ht="17.25" customHeight="1">
      <c r="J113" s="28"/>
      <c r="R113" s="140"/>
      <c r="S113" s="140"/>
      <c r="T113" s="140"/>
      <c r="U113" s="353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50"/>
      <c r="AF113" s="150"/>
      <c r="AG113" s="140"/>
    </row>
    <row r="114" spans="10:33" s="27" customFormat="1" ht="17.25" customHeight="1">
      <c r="J114" s="28"/>
      <c r="R114" s="140"/>
      <c r="S114" s="140"/>
      <c r="T114" s="140"/>
      <c r="U114" s="353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50"/>
      <c r="AF114" s="150"/>
      <c r="AG114" s="140"/>
    </row>
    <row r="115" spans="10:33" s="27" customFormat="1" ht="17.25" customHeight="1">
      <c r="J115" s="28"/>
      <c r="R115" s="140"/>
      <c r="S115" s="140"/>
      <c r="T115" s="140"/>
      <c r="U115" s="353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50"/>
      <c r="AF115" s="150"/>
      <c r="AG115" s="140"/>
    </row>
    <row r="116" spans="10:33" s="27" customFormat="1" ht="17.25" customHeight="1">
      <c r="J116" s="28"/>
      <c r="R116" s="140"/>
      <c r="S116" s="140"/>
      <c r="T116" s="140"/>
      <c r="U116" s="353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50"/>
      <c r="AF116" s="150"/>
      <c r="AG116" s="140"/>
    </row>
    <row r="117" spans="10:33" s="27" customFormat="1" ht="17.25" customHeight="1">
      <c r="J117" s="28"/>
      <c r="R117" s="140"/>
      <c r="S117" s="140"/>
      <c r="T117" s="140"/>
      <c r="U117" s="353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50"/>
      <c r="AF117" s="150"/>
      <c r="AG117" s="140"/>
    </row>
    <row r="118" spans="10:33" s="27" customFormat="1" ht="17.25" customHeight="1">
      <c r="J118" s="28"/>
      <c r="R118" s="140"/>
      <c r="S118" s="140"/>
      <c r="T118" s="140"/>
      <c r="U118" s="353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50"/>
      <c r="AF118" s="150"/>
      <c r="AG118" s="140"/>
    </row>
    <row r="119" spans="10:33" s="27" customFormat="1" ht="17.25" customHeight="1">
      <c r="J119" s="28"/>
      <c r="R119" s="140"/>
      <c r="S119" s="140"/>
      <c r="T119" s="140"/>
      <c r="U119" s="353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50"/>
      <c r="AF119" s="150"/>
      <c r="AG119" s="140"/>
    </row>
    <row r="120" spans="10:33" s="27" customFormat="1" ht="17.25" customHeight="1">
      <c r="J120" s="28"/>
      <c r="R120" s="140"/>
      <c r="S120" s="140"/>
      <c r="T120" s="140"/>
      <c r="U120" s="353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50"/>
      <c r="AF120" s="150"/>
      <c r="AG120" s="140"/>
    </row>
    <row r="121" spans="10:33" s="27" customFormat="1" ht="17.25" customHeight="1">
      <c r="J121" s="28"/>
      <c r="R121" s="140"/>
      <c r="S121" s="140"/>
      <c r="T121" s="140"/>
      <c r="U121" s="353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50"/>
      <c r="AF121" s="150"/>
      <c r="AG121" s="140"/>
    </row>
    <row r="122" spans="10:33" s="27" customFormat="1" ht="17.25" customHeight="1">
      <c r="J122" s="28"/>
      <c r="R122" s="140"/>
      <c r="S122" s="140"/>
      <c r="T122" s="140"/>
      <c r="U122" s="353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50"/>
      <c r="AF122" s="150"/>
      <c r="AG122" s="140"/>
    </row>
    <row r="123" spans="10:33" s="27" customFormat="1" ht="17.25" customHeight="1">
      <c r="J123" s="28"/>
      <c r="R123" s="140"/>
      <c r="S123" s="140"/>
      <c r="T123" s="140"/>
      <c r="U123" s="353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50"/>
      <c r="AF123" s="150"/>
      <c r="AG123" s="140"/>
    </row>
    <row r="124" spans="10:33" s="27" customFormat="1" ht="17.25" customHeight="1">
      <c r="J124" s="28"/>
      <c r="R124" s="140"/>
      <c r="S124" s="140"/>
      <c r="T124" s="140"/>
      <c r="U124" s="353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50"/>
      <c r="AF124" s="150"/>
      <c r="AG124" s="140"/>
    </row>
    <row r="125" spans="10:33" s="27" customFormat="1" ht="17.25" customHeight="1">
      <c r="J125" s="28"/>
      <c r="R125" s="140"/>
      <c r="S125" s="140"/>
      <c r="T125" s="140"/>
      <c r="U125" s="353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50"/>
      <c r="AF125" s="150"/>
      <c r="AG125" s="140"/>
    </row>
    <row r="126" spans="10:33" s="27" customFormat="1" ht="17.25" customHeight="1">
      <c r="J126" s="28"/>
      <c r="R126" s="140"/>
      <c r="S126" s="140"/>
      <c r="T126" s="140"/>
      <c r="U126" s="353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50"/>
      <c r="AF126" s="150"/>
      <c r="AG126" s="140"/>
    </row>
    <row r="127" spans="10:33" s="27" customFormat="1" ht="17.25" customHeight="1">
      <c r="J127" s="28"/>
      <c r="R127" s="140"/>
      <c r="S127" s="140"/>
      <c r="T127" s="140"/>
      <c r="U127" s="353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50"/>
      <c r="AF127" s="150"/>
      <c r="AG127" s="140"/>
    </row>
    <row r="128" spans="10:33" s="27" customFormat="1" ht="17.25" customHeight="1">
      <c r="J128" s="28"/>
      <c r="R128" s="140"/>
      <c r="S128" s="140"/>
      <c r="T128" s="140"/>
      <c r="U128" s="353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50"/>
      <c r="AF128" s="150"/>
      <c r="AG128" s="140"/>
    </row>
    <row r="129" spans="10:33" s="27" customFormat="1" ht="17.25" customHeight="1">
      <c r="J129" s="28"/>
      <c r="R129" s="140"/>
      <c r="S129" s="140"/>
      <c r="T129" s="140"/>
      <c r="U129" s="353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50"/>
      <c r="AF129" s="150"/>
      <c r="AG129" s="140"/>
    </row>
    <row r="130" spans="10:33" s="27" customFormat="1" ht="17.25" customHeight="1">
      <c r="J130" s="28"/>
      <c r="R130" s="140"/>
      <c r="S130" s="140"/>
      <c r="T130" s="140"/>
      <c r="U130" s="353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50"/>
      <c r="AF130" s="150"/>
      <c r="AG130" s="140"/>
    </row>
    <row r="131" spans="10:33" s="27" customFormat="1" ht="17.25" customHeight="1">
      <c r="J131" s="28"/>
      <c r="R131" s="140"/>
      <c r="S131" s="140"/>
      <c r="T131" s="140"/>
      <c r="U131" s="353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50"/>
      <c r="AF131" s="150"/>
      <c r="AG131" s="140"/>
    </row>
    <row r="132" spans="10:33" s="27" customFormat="1" ht="17.25" customHeight="1">
      <c r="J132" s="28"/>
      <c r="R132" s="140"/>
      <c r="S132" s="140"/>
      <c r="T132" s="140"/>
      <c r="U132" s="353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50"/>
      <c r="AF132" s="150"/>
      <c r="AG132" s="140"/>
    </row>
    <row r="133" spans="10:33" s="27" customFormat="1" ht="17.25" customHeight="1">
      <c r="J133" s="28"/>
      <c r="R133" s="140"/>
      <c r="S133" s="140"/>
      <c r="T133" s="140"/>
      <c r="U133" s="353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50"/>
      <c r="AF133" s="150"/>
      <c r="AG133" s="140"/>
    </row>
    <row r="134" spans="10:33" s="27" customFormat="1" ht="17.25" customHeight="1">
      <c r="J134" s="28"/>
      <c r="R134" s="140"/>
      <c r="S134" s="140"/>
      <c r="T134" s="140"/>
      <c r="U134" s="353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50"/>
      <c r="AF134" s="150"/>
      <c r="AG134" s="140"/>
    </row>
    <row r="135" spans="10:33" s="27" customFormat="1" ht="17.25" customHeight="1">
      <c r="J135" s="28"/>
      <c r="R135" s="140"/>
      <c r="S135" s="140"/>
      <c r="T135" s="140"/>
      <c r="U135" s="353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50"/>
      <c r="AF135" s="150"/>
      <c r="AG135" s="140"/>
    </row>
    <row r="136" spans="10:33" s="27" customFormat="1" ht="17.25" customHeight="1">
      <c r="J136" s="28"/>
      <c r="R136" s="140"/>
      <c r="S136" s="140"/>
      <c r="T136" s="140"/>
      <c r="U136" s="353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50"/>
      <c r="AF136" s="150"/>
      <c r="AG136" s="140"/>
    </row>
    <row r="137" spans="10:33" s="27" customFormat="1" ht="17.25" customHeight="1">
      <c r="J137" s="28"/>
      <c r="R137" s="140"/>
      <c r="S137" s="140"/>
      <c r="T137" s="140"/>
      <c r="U137" s="353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50"/>
      <c r="AF137" s="150"/>
      <c r="AG137" s="140"/>
    </row>
    <row r="138" spans="10:33" s="27" customFormat="1" ht="17.25" customHeight="1">
      <c r="J138" s="28"/>
      <c r="R138" s="140"/>
      <c r="S138" s="140"/>
      <c r="T138" s="140"/>
      <c r="U138" s="353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50"/>
      <c r="AF138" s="150"/>
      <c r="AG138" s="140"/>
    </row>
    <row r="139" spans="10:33" s="27" customFormat="1" ht="17.25" customHeight="1">
      <c r="J139" s="28"/>
      <c r="R139" s="140"/>
      <c r="S139" s="140"/>
      <c r="T139" s="140"/>
      <c r="U139" s="353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50"/>
      <c r="AF139" s="150"/>
      <c r="AG139" s="140"/>
    </row>
    <row r="140" spans="10:33" s="27" customFormat="1" ht="17.25" customHeight="1">
      <c r="J140" s="28"/>
      <c r="R140" s="140"/>
      <c r="S140" s="140"/>
      <c r="T140" s="140"/>
      <c r="U140" s="353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50"/>
      <c r="AF140" s="150"/>
      <c r="AG140" s="140"/>
    </row>
    <row r="141" spans="10:33" s="27" customFormat="1" ht="17.25" customHeight="1">
      <c r="J141" s="28"/>
      <c r="R141" s="140"/>
      <c r="S141" s="140"/>
      <c r="T141" s="140"/>
      <c r="U141" s="353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50"/>
      <c r="AF141" s="150"/>
      <c r="AG141" s="140"/>
    </row>
    <row r="142" spans="10:33" s="27" customFormat="1" ht="17.25" customHeight="1">
      <c r="J142" s="28"/>
      <c r="R142" s="140"/>
      <c r="S142" s="140"/>
      <c r="T142" s="140"/>
      <c r="U142" s="353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50"/>
      <c r="AF142" s="150"/>
      <c r="AG142" s="140"/>
    </row>
    <row r="143" spans="10:33" s="27" customFormat="1" ht="17.25" customHeight="1">
      <c r="J143" s="28"/>
      <c r="R143" s="140"/>
      <c r="S143" s="140"/>
      <c r="T143" s="140"/>
      <c r="U143" s="353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50"/>
      <c r="AF143" s="150"/>
      <c r="AG143" s="140"/>
    </row>
    <row r="144" spans="10:33" s="27" customFormat="1" ht="17.25" customHeight="1">
      <c r="J144" s="28"/>
      <c r="R144" s="140"/>
      <c r="S144" s="140"/>
      <c r="T144" s="140"/>
      <c r="U144" s="353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50"/>
      <c r="AF144" s="150"/>
      <c r="AG144" s="140"/>
    </row>
    <row r="145" spans="10:33" s="27" customFormat="1" ht="17.25" customHeight="1">
      <c r="J145" s="28"/>
      <c r="R145" s="140"/>
      <c r="S145" s="140"/>
      <c r="T145" s="140"/>
      <c r="U145" s="353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50"/>
      <c r="AF145" s="150"/>
      <c r="AG145" s="140"/>
    </row>
    <row r="146" spans="10:33" s="27" customFormat="1" ht="17.25" customHeight="1">
      <c r="J146" s="28"/>
      <c r="R146" s="140"/>
      <c r="S146" s="140"/>
      <c r="T146" s="140"/>
      <c r="U146" s="353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50"/>
      <c r="AF146" s="150"/>
      <c r="AG146" s="140"/>
    </row>
    <row r="147" spans="10:33" s="27" customFormat="1" ht="17.25" customHeight="1">
      <c r="J147" s="28"/>
      <c r="R147" s="140"/>
      <c r="S147" s="140"/>
      <c r="T147" s="140"/>
      <c r="U147" s="353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50"/>
      <c r="AF147" s="150"/>
      <c r="AG147" s="140"/>
    </row>
    <row r="148" spans="10:33" s="27" customFormat="1" ht="17.25" customHeight="1">
      <c r="J148" s="28"/>
      <c r="R148" s="140"/>
      <c r="S148" s="140"/>
      <c r="T148" s="140"/>
      <c r="U148" s="353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50"/>
      <c r="AF148" s="150"/>
      <c r="AG148" s="140"/>
    </row>
    <row r="149" spans="10:33" s="27" customFormat="1" ht="17.25" customHeight="1">
      <c r="J149" s="28"/>
      <c r="R149" s="140"/>
      <c r="S149" s="140"/>
      <c r="T149" s="140"/>
      <c r="U149" s="353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50"/>
      <c r="AF149" s="150"/>
      <c r="AG149" s="140"/>
    </row>
    <row r="150" spans="10:33" s="27" customFormat="1" ht="17.25" customHeight="1">
      <c r="J150" s="28"/>
      <c r="R150" s="140"/>
      <c r="S150" s="140"/>
      <c r="T150" s="140"/>
      <c r="U150" s="353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50"/>
      <c r="AF150" s="150"/>
      <c r="AG150" s="140"/>
    </row>
    <row r="151" spans="10:33" s="27" customFormat="1" ht="17.25" customHeight="1">
      <c r="J151" s="28"/>
      <c r="R151" s="140"/>
      <c r="S151" s="140"/>
      <c r="T151" s="140"/>
      <c r="U151" s="353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50"/>
      <c r="AF151" s="150"/>
      <c r="AG151" s="140"/>
    </row>
    <row r="152" spans="10:33" s="27" customFormat="1" ht="17.25" customHeight="1">
      <c r="J152" s="28"/>
      <c r="R152" s="140"/>
      <c r="S152" s="140"/>
      <c r="T152" s="140"/>
      <c r="U152" s="353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50"/>
      <c r="AF152" s="150"/>
      <c r="AG152" s="140"/>
    </row>
    <row r="153" spans="10:33" s="27" customFormat="1" ht="17.25" customHeight="1">
      <c r="J153" s="28"/>
      <c r="R153" s="140"/>
      <c r="S153" s="140"/>
      <c r="T153" s="140"/>
      <c r="U153" s="353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50"/>
      <c r="AF153" s="150"/>
      <c r="AG153" s="140"/>
    </row>
    <row r="154" spans="10:33" s="27" customFormat="1" ht="17.25" customHeight="1">
      <c r="J154" s="28"/>
      <c r="R154" s="140"/>
      <c r="S154" s="140"/>
      <c r="T154" s="140"/>
      <c r="U154" s="353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50"/>
      <c r="AF154" s="150"/>
      <c r="AG154" s="140"/>
    </row>
    <row r="155" spans="10:33" s="27" customFormat="1" ht="17.25" customHeight="1">
      <c r="J155" s="28"/>
      <c r="R155" s="140"/>
      <c r="S155" s="140"/>
      <c r="T155" s="140"/>
      <c r="U155" s="353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50"/>
      <c r="AF155" s="150"/>
      <c r="AG155" s="140"/>
    </row>
    <row r="156" spans="10:33" s="27" customFormat="1" ht="17.25" customHeight="1">
      <c r="J156" s="28"/>
      <c r="R156" s="140"/>
      <c r="S156" s="140"/>
      <c r="T156" s="140"/>
      <c r="U156" s="353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50"/>
      <c r="AF156" s="150"/>
      <c r="AG156" s="140"/>
    </row>
    <row r="157" spans="10:33" s="27" customFormat="1" ht="17.25" customHeight="1">
      <c r="J157" s="28"/>
      <c r="R157" s="140"/>
      <c r="S157" s="140"/>
      <c r="T157" s="140"/>
      <c r="U157" s="353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50"/>
      <c r="AF157" s="150"/>
      <c r="AG157" s="140"/>
    </row>
    <row r="158" spans="10:33" s="27" customFormat="1" ht="17.25" customHeight="1">
      <c r="J158" s="28"/>
      <c r="R158" s="140"/>
      <c r="S158" s="140"/>
      <c r="T158" s="140"/>
      <c r="U158" s="353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50"/>
      <c r="AF158" s="150"/>
      <c r="AG158" s="140"/>
    </row>
    <row r="159" spans="10:33" s="27" customFormat="1" ht="17.25" customHeight="1">
      <c r="J159" s="28"/>
      <c r="R159" s="140"/>
      <c r="S159" s="140"/>
      <c r="T159" s="140"/>
      <c r="U159" s="353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50"/>
      <c r="AF159" s="150"/>
      <c r="AG159" s="140"/>
    </row>
    <row r="160" spans="10:33" s="27" customFormat="1" ht="17.25" customHeight="1">
      <c r="J160" s="28"/>
      <c r="R160" s="140"/>
      <c r="S160" s="140"/>
      <c r="T160" s="140"/>
      <c r="U160" s="353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50"/>
      <c r="AF160" s="150"/>
      <c r="AG160" s="140"/>
    </row>
    <row r="161" spans="10:33" s="27" customFormat="1" ht="17.25" customHeight="1">
      <c r="J161" s="28"/>
      <c r="R161" s="140"/>
      <c r="S161" s="140"/>
      <c r="T161" s="140"/>
      <c r="U161" s="353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50"/>
      <c r="AF161" s="150"/>
      <c r="AG161" s="140"/>
    </row>
    <row r="162" spans="10:33" s="27" customFormat="1" ht="17.25" customHeight="1">
      <c r="J162" s="28"/>
      <c r="R162" s="140"/>
      <c r="S162" s="140"/>
      <c r="T162" s="140"/>
      <c r="U162" s="353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50"/>
      <c r="AF162" s="150"/>
      <c r="AG162" s="140"/>
    </row>
    <row r="163" spans="10:33" s="27" customFormat="1" ht="17.25" customHeight="1">
      <c r="J163" s="28"/>
      <c r="R163" s="140"/>
      <c r="S163" s="140"/>
      <c r="T163" s="140"/>
      <c r="U163" s="353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50"/>
      <c r="AF163" s="150"/>
      <c r="AG163" s="140"/>
    </row>
    <row r="164" spans="10:33" s="27" customFormat="1" ht="17.25" customHeight="1">
      <c r="J164" s="28"/>
      <c r="R164" s="140"/>
      <c r="S164" s="140"/>
      <c r="T164" s="140"/>
      <c r="U164" s="353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50"/>
      <c r="AF164" s="150"/>
      <c r="AG164" s="140"/>
    </row>
    <row r="165" spans="10:33" s="27" customFormat="1" ht="17.25" customHeight="1">
      <c r="J165" s="28"/>
      <c r="R165" s="140"/>
      <c r="S165" s="140"/>
      <c r="T165" s="140"/>
      <c r="U165" s="353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50"/>
      <c r="AF165" s="150"/>
      <c r="AG165" s="140"/>
    </row>
    <row r="166" spans="10:33" s="27" customFormat="1" ht="17.25" customHeight="1">
      <c r="J166" s="28"/>
      <c r="R166" s="140"/>
      <c r="S166" s="140"/>
      <c r="T166" s="140"/>
      <c r="U166" s="353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50"/>
      <c r="AF166" s="150"/>
      <c r="AG166" s="140"/>
    </row>
    <row r="167" spans="10:33" s="27" customFormat="1" ht="17.25" customHeight="1">
      <c r="J167" s="28"/>
      <c r="R167" s="140"/>
      <c r="S167" s="140"/>
      <c r="T167" s="140"/>
      <c r="U167" s="353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50"/>
      <c r="AF167" s="150"/>
      <c r="AG167" s="140"/>
    </row>
    <row r="168" spans="10:33" s="27" customFormat="1" ht="17.25" customHeight="1">
      <c r="J168" s="28"/>
      <c r="R168" s="140"/>
      <c r="S168" s="140"/>
      <c r="T168" s="140"/>
      <c r="U168" s="353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50"/>
      <c r="AF168" s="150"/>
      <c r="AG168" s="140"/>
    </row>
    <row r="169" spans="10:33" s="27" customFormat="1" ht="17.25" customHeight="1">
      <c r="J169" s="28"/>
      <c r="R169" s="140"/>
      <c r="S169" s="140"/>
      <c r="T169" s="140"/>
      <c r="U169" s="353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50"/>
      <c r="AF169" s="150"/>
      <c r="AG169" s="140"/>
    </row>
    <row r="170" spans="10:33" s="27" customFormat="1" ht="17.25" customHeight="1">
      <c r="J170" s="28"/>
      <c r="R170" s="140"/>
      <c r="S170" s="140"/>
      <c r="T170" s="140"/>
      <c r="U170" s="353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50"/>
      <c r="AF170" s="150"/>
      <c r="AG170" s="140"/>
    </row>
    <row r="171" spans="10:33" s="27" customFormat="1" ht="17.25" customHeight="1">
      <c r="J171" s="28"/>
      <c r="R171" s="140"/>
      <c r="S171" s="140"/>
      <c r="T171" s="140"/>
      <c r="U171" s="353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50"/>
      <c r="AF171" s="150"/>
      <c r="AG171" s="140"/>
    </row>
    <row r="172" spans="10:33" s="27" customFormat="1" ht="17.25" customHeight="1">
      <c r="J172" s="28"/>
      <c r="R172" s="140"/>
      <c r="S172" s="140"/>
      <c r="T172" s="140"/>
      <c r="U172" s="353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50"/>
      <c r="AF172" s="150"/>
      <c r="AG172" s="140"/>
    </row>
    <row r="173" spans="10:33" s="27" customFormat="1" ht="17.25" customHeight="1">
      <c r="J173" s="28"/>
      <c r="R173" s="140"/>
      <c r="S173" s="140"/>
      <c r="T173" s="140"/>
      <c r="U173" s="353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50"/>
      <c r="AF173" s="150"/>
      <c r="AG173" s="140"/>
    </row>
    <row r="174" spans="10:33" s="27" customFormat="1" ht="17.25" customHeight="1">
      <c r="J174" s="28"/>
      <c r="R174" s="140"/>
      <c r="S174" s="140"/>
      <c r="T174" s="140"/>
      <c r="U174" s="353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50"/>
      <c r="AF174" s="150"/>
      <c r="AG174" s="140"/>
    </row>
    <row r="175" spans="10:33" s="27" customFormat="1" ht="17.25" customHeight="1">
      <c r="J175" s="28"/>
      <c r="R175" s="140"/>
      <c r="S175" s="140"/>
      <c r="T175" s="140"/>
      <c r="U175" s="353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50"/>
      <c r="AF175" s="150"/>
      <c r="AG175" s="140"/>
    </row>
    <row r="176" spans="10:33" s="27" customFormat="1" ht="17.25" customHeight="1">
      <c r="J176" s="28"/>
      <c r="R176" s="140"/>
      <c r="S176" s="140"/>
      <c r="T176" s="140"/>
      <c r="U176" s="353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50"/>
      <c r="AF176" s="150"/>
      <c r="AG176" s="140"/>
    </row>
    <row r="177" spans="10:33" s="27" customFormat="1" ht="17.25" customHeight="1">
      <c r="J177" s="28"/>
      <c r="R177" s="140"/>
      <c r="S177" s="140"/>
      <c r="T177" s="140"/>
      <c r="U177" s="353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50"/>
      <c r="AF177" s="150"/>
      <c r="AG177" s="140"/>
    </row>
    <row r="178" spans="10:33" s="27" customFormat="1" ht="17.25" customHeight="1">
      <c r="J178" s="28"/>
      <c r="R178" s="140"/>
      <c r="S178" s="140"/>
      <c r="T178" s="140"/>
      <c r="U178" s="353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50"/>
      <c r="AF178" s="150"/>
      <c r="AG178" s="140"/>
    </row>
    <row r="179" spans="10:33" s="27" customFormat="1" ht="17.25" customHeight="1">
      <c r="J179" s="28"/>
      <c r="R179" s="140"/>
      <c r="S179" s="140"/>
      <c r="T179" s="140"/>
      <c r="U179" s="353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50"/>
      <c r="AF179" s="150"/>
      <c r="AG179" s="140"/>
    </row>
    <row r="180" spans="10:33" s="27" customFormat="1" ht="17.25" customHeight="1">
      <c r="J180" s="28"/>
      <c r="R180" s="140"/>
      <c r="S180" s="140"/>
      <c r="T180" s="140"/>
      <c r="U180" s="353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50"/>
      <c r="AF180" s="150"/>
      <c r="AG180" s="140"/>
    </row>
    <row r="181" spans="10:33" s="27" customFormat="1" ht="17.25" customHeight="1">
      <c r="J181" s="28"/>
      <c r="R181" s="140"/>
      <c r="S181" s="140"/>
      <c r="T181" s="140"/>
      <c r="U181" s="353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50"/>
      <c r="AF181" s="150"/>
      <c r="AG181" s="140"/>
    </row>
    <row r="182" spans="10:33" s="27" customFormat="1" ht="17.25" customHeight="1">
      <c r="J182" s="28"/>
      <c r="R182" s="140"/>
      <c r="S182" s="140"/>
      <c r="T182" s="140"/>
      <c r="U182" s="353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50"/>
      <c r="AF182" s="150"/>
      <c r="AG182" s="140"/>
    </row>
    <row r="183" spans="10:33" s="27" customFormat="1" ht="17.25" customHeight="1">
      <c r="J183" s="28"/>
      <c r="R183" s="140"/>
      <c r="S183" s="140"/>
      <c r="T183" s="140"/>
      <c r="U183" s="353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50"/>
      <c r="AF183" s="150"/>
      <c r="AG183" s="140"/>
    </row>
    <row r="184" spans="10:33" s="27" customFormat="1" ht="17.25" customHeight="1">
      <c r="J184" s="28"/>
      <c r="R184" s="140"/>
      <c r="S184" s="140"/>
      <c r="T184" s="140"/>
      <c r="U184" s="353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50"/>
      <c r="AF184" s="150"/>
      <c r="AG184" s="140"/>
    </row>
    <row r="185" spans="10:33" s="27" customFormat="1" ht="17.25" customHeight="1">
      <c r="J185" s="28"/>
      <c r="R185" s="140"/>
      <c r="S185" s="140"/>
      <c r="T185" s="140"/>
      <c r="U185" s="353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50"/>
      <c r="AF185" s="150"/>
      <c r="AG185" s="140"/>
    </row>
    <row r="186" spans="10:33" s="27" customFormat="1" ht="17.25" customHeight="1">
      <c r="J186" s="28"/>
      <c r="R186" s="140"/>
      <c r="S186" s="140"/>
      <c r="T186" s="140"/>
      <c r="U186" s="353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50"/>
      <c r="AF186" s="150"/>
      <c r="AG186" s="140"/>
    </row>
    <row r="187" spans="10:33" s="27" customFormat="1" ht="17.25" customHeight="1">
      <c r="J187" s="28"/>
      <c r="R187" s="140"/>
      <c r="S187" s="140"/>
      <c r="T187" s="140"/>
      <c r="U187" s="353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50"/>
      <c r="AF187" s="150"/>
      <c r="AG187" s="140"/>
    </row>
    <row r="188" spans="10:33" s="27" customFormat="1" ht="17.25" customHeight="1">
      <c r="J188" s="28"/>
      <c r="R188" s="140"/>
      <c r="S188" s="140"/>
      <c r="T188" s="140"/>
      <c r="U188" s="353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50"/>
      <c r="AF188" s="150"/>
      <c r="AG188" s="140"/>
    </row>
    <row r="189" spans="10:33" s="27" customFormat="1" ht="17.25" customHeight="1">
      <c r="J189" s="28"/>
      <c r="R189" s="140"/>
      <c r="S189" s="140"/>
      <c r="T189" s="140"/>
      <c r="U189" s="353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50"/>
      <c r="AF189" s="150"/>
      <c r="AG189" s="140"/>
    </row>
    <row r="190" spans="10:33" s="27" customFormat="1" ht="17.25" customHeight="1">
      <c r="J190" s="28"/>
      <c r="R190" s="140"/>
      <c r="S190" s="140"/>
      <c r="T190" s="140"/>
      <c r="U190" s="353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50"/>
      <c r="AF190" s="150"/>
      <c r="AG190" s="140"/>
    </row>
    <row r="191" spans="10:33" s="27" customFormat="1" ht="17.25" customHeight="1">
      <c r="J191" s="28"/>
      <c r="R191" s="140"/>
      <c r="S191" s="140"/>
      <c r="T191" s="140"/>
      <c r="U191" s="353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50"/>
      <c r="AF191" s="150"/>
      <c r="AG191" s="140"/>
    </row>
    <row r="192" spans="10:33" s="27" customFormat="1" ht="17.25" customHeight="1">
      <c r="J192" s="28"/>
      <c r="R192" s="140"/>
      <c r="S192" s="140"/>
      <c r="T192" s="140"/>
      <c r="U192" s="353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50"/>
      <c r="AF192" s="150"/>
      <c r="AG192" s="140"/>
    </row>
    <row r="193" spans="10:33" s="27" customFormat="1" ht="17.25" customHeight="1">
      <c r="J193" s="28"/>
      <c r="R193" s="140"/>
      <c r="S193" s="140"/>
      <c r="T193" s="140"/>
      <c r="U193" s="353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50"/>
      <c r="AF193" s="150"/>
      <c r="AG193" s="140"/>
    </row>
    <row r="194" spans="10:33" s="27" customFormat="1" ht="17.25" customHeight="1">
      <c r="J194" s="28"/>
      <c r="R194" s="140"/>
      <c r="S194" s="140"/>
      <c r="T194" s="140"/>
      <c r="U194" s="353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50"/>
      <c r="AF194" s="150"/>
      <c r="AG194" s="140"/>
    </row>
    <row r="195" spans="10:33" s="27" customFormat="1" ht="17.25" customHeight="1">
      <c r="J195" s="28"/>
      <c r="R195" s="140"/>
      <c r="S195" s="140"/>
      <c r="T195" s="140"/>
      <c r="U195" s="353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50"/>
      <c r="AF195" s="150"/>
      <c r="AG195" s="140"/>
    </row>
    <row r="196" spans="10:33" s="27" customFormat="1" ht="17.25" customHeight="1">
      <c r="J196" s="28"/>
      <c r="R196" s="140"/>
      <c r="S196" s="140"/>
      <c r="T196" s="140"/>
      <c r="U196" s="353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50"/>
      <c r="AF196" s="150"/>
      <c r="AG196" s="140"/>
    </row>
    <row r="197" spans="10:33" s="27" customFormat="1" ht="17.25" customHeight="1">
      <c r="J197" s="28"/>
      <c r="R197" s="140"/>
      <c r="S197" s="140"/>
      <c r="T197" s="140"/>
      <c r="U197" s="353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50"/>
      <c r="AF197" s="150"/>
      <c r="AG197" s="140"/>
    </row>
    <row r="198" spans="10:33" s="27" customFormat="1" ht="17.25" customHeight="1">
      <c r="J198" s="28"/>
      <c r="R198" s="140"/>
      <c r="S198" s="140"/>
      <c r="T198" s="140"/>
      <c r="U198" s="353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50"/>
      <c r="AF198" s="150"/>
      <c r="AG198" s="140"/>
    </row>
    <row r="199" spans="10:33" s="27" customFormat="1" ht="17.25" customHeight="1">
      <c r="J199" s="28"/>
      <c r="R199" s="140"/>
      <c r="S199" s="140"/>
      <c r="T199" s="140"/>
      <c r="U199" s="353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50"/>
      <c r="AF199" s="150"/>
      <c r="AG199" s="140"/>
    </row>
    <row r="200" spans="10:33" s="27" customFormat="1" ht="17.25" customHeight="1">
      <c r="J200" s="28"/>
      <c r="R200" s="140"/>
      <c r="S200" s="140"/>
      <c r="T200" s="140"/>
      <c r="U200" s="353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50"/>
      <c r="AF200" s="150"/>
      <c r="AG200" s="140"/>
    </row>
    <row r="201" spans="10:33" s="27" customFormat="1" ht="17.25" customHeight="1">
      <c r="J201" s="28"/>
      <c r="R201" s="140"/>
      <c r="S201" s="140"/>
      <c r="T201" s="140"/>
      <c r="U201" s="353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50"/>
      <c r="AF201" s="150"/>
      <c r="AG201" s="140"/>
    </row>
    <row r="202" spans="10:33" s="27" customFormat="1" ht="17.25" customHeight="1">
      <c r="J202" s="28"/>
      <c r="R202" s="140"/>
      <c r="S202" s="140"/>
      <c r="T202" s="140"/>
      <c r="U202" s="353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50"/>
      <c r="AF202" s="150"/>
      <c r="AG202" s="140"/>
    </row>
    <row r="203" spans="10:33" s="27" customFormat="1" ht="17.25" customHeight="1">
      <c r="J203" s="28"/>
      <c r="R203" s="140"/>
      <c r="S203" s="140"/>
      <c r="T203" s="140"/>
      <c r="U203" s="353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50"/>
      <c r="AF203" s="150"/>
      <c r="AG203" s="140"/>
    </row>
    <row r="204" spans="10:33" s="27" customFormat="1" ht="17.25" customHeight="1">
      <c r="J204" s="28"/>
      <c r="R204" s="140"/>
      <c r="S204" s="140"/>
      <c r="T204" s="140"/>
      <c r="U204" s="353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50"/>
      <c r="AF204" s="150"/>
      <c r="AG204" s="140"/>
    </row>
    <row r="205" spans="10:33" s="27" customFormat="1" ht="17.25" customHeight="1">
      <c r="J205" s="28"/>
      <c r="R205" s="140"/>
      <c r="S205" s="140"/>
      <c r="T205" s="140"/>
      <c r="U205" s="353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50"/>
      <c r="AF205" s="150"/>
      <c r="AG205" s="140"/>
    </row>
    <row r="206" spans="10:33" s="27" customFormat="1" ht="17.25" customHeight="1">
      <c r="J206" s="28"/>
      <c r="R206" s="140"/>
      <c r="S206" s="140"/>
      <c r="T206" s="140"/>
      <c r="U206" s="353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50"/>
      <c r="AF206" s="150"/>
      <c r="AG206" s="140"/>
    </row>
    <row r="207" spans="10:33" s="27" customFormat="1" ht="17.25" customHeight="1">
      <c r="J207" s="28"/>
      <c r="R207" s="140"/>
      <c r="S207" s="140"/>
      <c r="T207" s="140"/>
      <c r="U207" s="353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50"/>
      <c r="AF207" s="150"/>
      <c r="AG207" s="140"/>
    </row>
    <row r="208" spans="10:33" s="27" customFormat="1" ht="17.25" customHeight="1">
      <c r="J208" s="28"/>
      <c r="R208" s="140"/>
      <c r="S208" s="140"/>
      <c r="T208" s="140"/>
      <c r="U208" s="353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50"/>
      <c r="AF208" s="150"/>
      <c r="AG208" s="140"/>
    </row>
    <row r="209" spans="10:33" s="27" customFormat="1" ht="17.25" customHeight="1">
      <c r="J209" s="28"/>
      <c r="R209" s="140"/>
      <c r="S209" s="140"/>
      <c r="T209" s="140"/>
      <c r="U209" s="353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50"/>
      <c r="AF209" s="150"/>
      <c r="AG209" s="140"/>
    </row>
    <row r="210" spans="10:33" s="27" customFormat="1" ht="17.25" customHeight="1">
      <c r="J210" s="28"/>
      <c r="R210" s="140"/>
      <c r="S210" s="140"/>
      <c r="T210" s="140"/>
      <c r="U210" s="353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50"/>
      <c r="AF210" s="150"/>
      <c r="AG210" s="140"/>
    </row>
    <row r="211" spans="10:33" s="27" customFormat="1" ht="17.25" customHeight="1">
      <c r="J211" s="28"/>
      <c r="R211" s="140"/>
      <c r="S211" s="140"/>
      <c r="T211" s="140"/>
      <c r="U211" s="353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50"/>
      <c r="AF211" s="150"/>
      <c r="AG211" s="140"/>
    </row>
    <row r="212" spans="10:33" s="27" customFormat="1" ht="17.25" customHeight="1">
      <c r="J212" s="28"/>
      <c r="R212" s="140"/>
      <c r="S212" s="140"/>
      <c r="T212" s="140"/>
      <c r="U212" s="353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50"/>
      <c r="AF212" s="150"/>
      <c r="AG212" s="140"/>
    </row>
    <row r="213" spans="10:33" s="27" customFormat="1" ht="17.25" customHeight="1">
      <c r="J213" s="28"/>
      <c r="R213" s="140"/>
      <c r="S213" s="140"/>
      <c r="T213" s="140"/>
      <c r="U213" s="353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50"/>
      <c r="AF213" s="150"/>
      <c r="AG213" s="140"/>
    </row>
    <row r="214" spans="10:33" s="27" customFormat="1" ht="17.25" customHeight="1">
      <c r="J214" s="28"/>
      <c r="R214" s="140"/>
      <c r="S214" s="140"/>
      <c r="T214" s="140"/>
      <c r="U214" s="353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50"/>
      <c r="AF214" s="150"/>
      <c r="AG214" s="140"/>
    </row>
    <row r="215" spans="10:33" s="27" customFormat="1" ht="17.25" customHeight="1">
      <c r="J215" s="28"/>
      <c r="R215" s="140"/>
      <c r="S215" s="140"/>
      <c r="T215" s="140"/>
      <c r="U215" s="353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50"/>
      <c r="AF215" s="150"/>
      <c r="AG215" s="140"/>
    </row>
    <row r="216" spans="10:33" s="27" customFormat="1" ht="17.25" customHeight="1">
      <c r="J216" s="28"/>
      <c r="R216" s="140"/>
      <c r="S216" s="140"/>
      <c r="T216" s="140"/>
      <c r="U216" s="353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50"/>
      <c r="AF216" s="150"/>
      <c r="AG216" s="140"/>
    </row>
    <row r="217" spans="10:33" s="27" customFormat="1" ht="17.25" customHeight="1">
      <c r="J217" s="28"/>
      <c r="R217" s="140"/>
      <c r="S217" s="140"/>
      <c r="T217" s="140"/>
      <c r="U217" s="353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50"/>
      <c r="AF217" s="150"/>
      <c r="AG217" s="140"/>
    </row>
    <row r="218" spans="10:33" s="27" customFormat="1" ht="17.25" customHeight="1">
      <c r="J218" s="28"/>
      <c r="R218" s="140"/>
      <c r="S218" s="140"/>
      <c r="T218" s="140"/>
      <c r="U218" s="353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50"/>
      <c r="AF218" s="150"/>
      <c r="AG218" s="140"/>
    </row>
    <row r="219" spans="10:33" s="27" customFormat="1" ht="17.25" customHeight="1">
      <c r="J219" s="28"/>
      <c r="R219" s="140"/>
      <c r="S219" s="140"/>
      <c r="T219" s="140"/>
      <c r="U219" s="353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50"/>
      <c r="AF219" s="150"/>
      <c r="AG219" s="140"/>
    </row>
    <row r="220" spans="10:33" s="27" customFormat="1" ht="17.25" customHeight="1">
      <c r="J220" s="28"/>
      <c r="R220" s="140"/>
      <c r="S220" s="140"/>
      <c r="T220" s="140"/>
      <c r="U220" s="353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50"/>
      <c r="AF220" s="150"/>
      <c r="AG220" s="140"/>
    </row>
    <row r="221" spans="10:33" s="27" customFormat="1" ht="17.25" customHeight="1">
      <c r="J221" s="28"/>
      <c r="R221" s="140"/>
      <c r="S221" s="140"/>
      <c r="T221" s="140"/>
      <c r="U221" s="353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50"/>
      <c r="AF221" s="150"/>
      <c r="AG221" s="140"/>
    </row>
    <row r="222" spans="10:33" s="27" customFormat="1" ht="17.25" customHeight="1">
      <c r="J222" s="28"/>
      <c r="R222" s="140"/>
      <c r="S222" s="140"/>
      <c r="T222" s="140"/>
      <c r="U222" s="353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50"/>
      <c r="AF222" s="150"/>
      <c r="AG222" s="140"/>
    </row>
    <row r="223" spans="10:33" s="27" customFormat="1" ht="17.25" customHeight="1">
      <c r="J223" s="28"/>
      <c r="R223" s="140"/>
      <c r="S223" s="140"/>
      <c r="T223" s="140"/>
      <c r="U223" s="353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50"/>
      <c r="AF223" s="150"/>
      <c r="AG223" s="140"/>
    </row>
    <row r="224" spans="10:33" s="27" customFormat="1" ht="17.25" customHeight="1">
      <c r="J224" s="28"/>
      <c r="R224" s="140"/>
      <c r="S224" s="140"/>
      <c r="T224" s="140"/>
      <c r="U224" s="353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50"/>
      <c r="AF224" s="150"/>
      <c r="AG224" s="140"/>
    </row>
    <row r="225" spans="10:33" s="27" customFormat="1" ht="17.25" customHeight="1">
      <c r="J225" s="28"/>
      <c r="R225" s="140"/>
      <c r="S225" s="140"/>
      <c r="T225" s="140"/>
      <c r="U225" s="353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50"/>
      <c r="AF225" s="150"/>
      <c r="AG225" s="140"/>
    </row>
    <row r="226" spans="10:33" s="27" customFormat="1" ht="17.25" customHeight="1">
      <c r="J226" s="28"/>
      <c r="R226" s="140"/>
      <c r="S226" s="140"/>
      <c r="T226" s="140"/>
      <c r="U226" s="353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50"/>
      <c r="AF226" s="150"/>
      <c r="AG226" s="140"/>
    </row>
    <row r="227" spans="10:33" s="27" customFormat="1" ht="17.25" customHeight="1">
      <c r="J227" s="28"/>
      <c r="R227" s="140"/>
      <c r="S227" s="140"/>
      <c r="T227" s="140"/>
      <c r="U227" s="353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50"/>
      <c r="AF227" s="150"/>
      <c r="AG227" s="140"/>
    </row>
    <row r="228" spans="10:33" s="27" customFormat="1" ht="17.25" customHeight="1">
      <c r="J228" s="28"/>
      <c r="R228" s="140"/>
      <c r="S228" s="140"/>
      <c r="T228" s="140"/>
      <c r="U228" s="353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50"/>
      <c r="AF228" s="150"/>
      <c r="AG228" s="140"/>
    </row>
    <row r="229" spans="10:33" s="27" customFormat="1" ht="17.25" customHeight="1">
      <c r="J229" s="28"/>
      <c r="R229" s="140"/>
      <c r="S229" s="140"/>
      <c r="T229" s="140"/>
      <c r="U229" s="353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50"/>
      <c r="AF229" s="150"/>
      <c r="AG229" s="140"/>
    </row>
    <row r="230" spans="10:33" s="27" customFormat="1" ht="17.25" customHeight="1">
      <c r="J230" s="28"/>
      <c r="R230" s="140"/>
      <c r="S230" s="140"/>
      <c r="T230" s="140"/>
      <c r="U230" s="353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50"/>
      <c r="AF230" s="150"/>
      <c r="AG230" s="140"/>
    </row>
    <row r="231" spans="10:33" s="27" customFormat="1" ht="17.25" customHeight="1">
      <c r="J231" s="28"/>
      <c r="R231" s="140"/>
      <c r="S231" s="140"/>
      <c r="T231" s="140"/>
      <c r="U231" s="353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50"/>
      <c r="AF231" s="150"/>
      <c r="AG231" s="140"/>
    </row>
    <row r="232" spans="10:33" s="27" customFormat="1" ht="17.25" customHeight="1">
      <c r="J232" s="28"/>
      <c r="R232" s="140"/>
      <c r="S232" s="140"/>
      <c r="T232" s="140"/>
      <c r="U232" s="353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50"/>
      <c r="AF232" s="150"/>
      <c r="AG232" s="140"/>
    </row>
    <row r="233" spans="10:33" s="27" customFormat="1" ht="17.25" customHeight="1">
      <c r="J233" s="28"/>
      <c r="R233" s="140"/>
      <c r="S233" s="140"/>
      <c r="T233" s="140"/>
      <c r="U233" s="353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50"/>
      <c r="AF233" s="150"/>
      <c r="AG233" s="140"/>
    </row>
    <row r="234" spans="10:33" s="27" customFormat="1" ht="17.25" customHeight="1">
      <c r="J234" s="28"/>
      <c r="R234" s="140"/>
      <c r="S234" s="140"/>
      <c r="T234" s="140"/>
      <c r="U234" s="353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50"/>
      <c r="AF234" s="150"/>
      <c r="AG234" s="140"/>
    </row>
    <row r="235" spans="10:33" s="27" customFormat="1" ht="17.25" customHeight="1">
      <c r="J235" s="28"/>
      <c r="R235" s="140"/>
      <c r="S235" s="140"/>
      <c r="T235" s="140"/>
      <c r="U235" s="353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50"/>
      <c r="AF235" s="150"/>
      <c r="AG235" s="140"/>
    </row>
    <row r="236" spans="10:33" s="27" customFormat="1" ht="17.25" customHeight="1">
      <c r="J236" s="28"/>
      <c r="R236" s="140"/>
      <c r="S236" s="140"/>
      <c r="T236" s="140"/>
      <c r="U236" s="353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50"/>
      <c r="AF236" s="150"/>
      <c r="AG236" s="140"/>
    </row>
    <row r="237" spans="10:33" s="27" customFormat="1" ht="17.25" customHeight="1">
      <c r="J237" s="28"/>
      <c r="R237" s="140"/>
      <c r="S237" s="140"/>
      <c r="T237" s="140"/>
      <c r="U237" s="353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50"/>
      <c r="AF237" s="150"/>
      <c r="AG237" s="140"/>
    </row>
    <row r="238" spans="10:33" s="27" customFormat="1" ht="17.25" customHeight="1">
      <c r="J238" s="28"/>
      <c r="R238" s="140"/>
      <c r="S238" s="140"/>
      <c r="T238" s="140"/>
      <c r="U238" s="353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50"/>
      <c r="AF238" s="150"/>
      <c r="AG238" s="140"/>
    </row>
    <row r="239" spans="10:33" s="27" customFormat="1" ht="17.25" customHeight="1">
      <c r="J239" s="28"/>
      <c r="R239" s="140"/>
      <c r="S239" s="140"/>
      <c r="T239" s="140"/>
      <c r="U239" s="353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50"/>
      <c r="AF239" s="150"/>
      <c r="AG239" s="140"/>
    </row>
    <row r="240" spans="10:33" s="27" customFormat="1" ht="17.25" customHeight="1">
      <c r="J240" s="28"/>
      <c r="R240" s="140"/>
      <c r="S240" s="140"/>
      <c r="T240" s="140"/>
      <c r="U240" s="353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50"/>
      <c r="AF240" s="150"/>
      <c r="AG240" s="140"/>
    </row>
    <row r="241" spans="10:33" s="27" customFormat="1" ht="17.25" customHeight="1">
      <c r="J241" s="28"/>
      <c r="R241" s="140"/>
      <c r="S241" s="140"/>
      <c r="T241" s="140"/>
      <c r="U241" s="353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50"/>
      <c r="AF241" s="150"/>
      <c r="AG241" s="140"/>
    </row>
    <row r="242" spans="10:33" s="27" customFormat="1" ht="17.25" customHeight="1">
      <c r="J242" s="28"/>
      <c r="R242" s="140"/>
      <c r="S242" s="140"/>
      <c r="T242" s="140"/>
      <c r="U242" s="353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50"/>
      <c r="AF242" s="150"/>
      <c r="AG242" s="140"/>
    </row>
    <row r="243" spans="10:33" s="27" customFormat="1" ht="17.25" customHeight="1">
      <c r="J243" s="28"/>
      <c r="R243" s="140"/>
      <c r="S243" s="140"/>
      <c r="T243" s="140"/>
      <c r="U243" s="353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50"/>
      <c r="AF243" s="150"/>
      <c r="AG243" s="140"/>
    </row>
    <row r="244" spans="10:33" s="27" customFormat="1" ht="17.25" customHeight="1">
      <c r="J244" s="28"/>
      <c r="R244" s="140"/>
      <c r="S244" s="140"/>
      <c r="T244" s="140"/>
      <c r="U244" s="353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50"/>
      <c r="AF244" s="150"/>
      <c r="AG244" s="140"/>
    </row>
    <row r="245" spans="10:33" s="27" customFormat="1" ht="17.25" customHeight="1">
      <c r="J245" s="28"/>
      <c r="R245" s="140"/>
      <c r="S245" s="140"/>
      <c r="T245" s="140"/>
      <c r="U245" s="353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50"/>
      <c r="AF245" s="150"/>
      <c r="AG245" s="140"/>
    </row>
    <row r="246" spans="10:33" s="27" customFormat="1" ht="17.25" customHeight="1">
      <c r="J246" s="28"/>
      <c r="R246" s="140"/>
      <c r="S246" s="140"/>
      <c r="T246" s="140"/>
      <c r="U246" s="353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50"/>
      <c r="AF246" s="150"/>
      <c r="AG246" s="140"/>
    </row>
    <row r="247" spans="10:33" s="27" customFormat="1" ht="17.25" customHeight="1">
      <c r="J247" s="28"/>
      <c r="R247" s="140"/>
      <c r="S247" s="140"/>
      <c r="T247" s="140"/>
      <c r="U247" s="353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50"/>
      <c r="AF247" s="150"/>
      <c r="AG247" s="140"/>
    </row>
    <row r="248" spans="10:33" s="27" customFormat="1" ht="17.25" customHeight="1">
      <c r="J248" s="28"/>
      <c r="R248" s="140"/>
      <c r="S248" s="140"/>
      <c r="T248" s="140"/>
      <c r="U248" s="353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50"/>
      <c r="AF248" s="150"/>
      <c r="AG248" s="140"/>
    </row>
    <row r="249" spans="10:33" s="27" customFormat="1" ht="17.25" customHeight="1">
      <c r="J249" s="28"/>
      <c r="R249" s="140"/>
      <c r="S249" s="140"/>
      <c r="T249" s="140"/>
      <c r="U249" s="353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50"/>
      <c r="AF249" s="150"/>
      <c r="AG249" s="140"/>
    </row>
    <row r="250" spans="10:33" s="27" customFormat="1" ht="17.25" customHeight="1">
      <c r="J250" s="28"/>
      <c r="R250" s="140"/>
      <c r="S250" s="140"/>
      <c r="T250" s="140"/>
      <c r="U250" s="353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50"/>
      <c r="AF250" s="150"/>
      <c r="AG250" s="140"/>
    </row>
    <row r="251" spans="10:33" s="27" customFormat="1" ht="17.25" customHeight="1">
      <c r="J251" s="28"/>
      <c r="R251" s="140"/>
      <c r="S251" s="140"/>
      <c r="T251" s="140"/>
      <c r="U251" s="353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50"/>
      <c r="AF251" s="150"/>
      <c r="AG251" s="140"/>
    </row>
    <row r="252" spans="10:33" s="27" customFormat="1" ht="17.25" customHeight="1">
      <c r="J252" s="28"/>
      <c r="R252" s="140"/>
      <c r="S252" s="140"/>
      <c r="T252" s="140"/>
      <c r="U252" s="353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50"/>
      <c r="AF252" s="150"/>
      <c r="AG252" s="140"/>
    </row>
    <row r="253" spans="10:33" s="27" customFormat="1" ht="17.25" customHeight="1">
      <c r="J253" s="28"/>
      <c r="R253" s="140"/>
      <c r="S253" s="140"/>
      <c r="T253" s="140"/>
      <c r="U253" s="353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50"/>
      <c r="AF253" s="150"/>
      <c r="AG253" s="140"/>
    </row>
    <row r="254" spans="10:33" s="27" customFormat="1" ht="17.25" customHeight="1">
      <c r="J254" s="28"/>
      <c r="R254" s="140"/>
      <c r="S254" s="140"/>
      <c r="T254" s="140"/>
      <c r="U254" s="353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50"/>
      <c r="AF254" s="150"/>
      <c r="AG254" s="140"/>
    </row>
    <row r="255" spans="10:33" s="27" customFormat="1" ht="17.25" customHeight="1">
      <c r="J255" s="28"/>
      <c r="R255" s="140"/>
      <c r="S255" s="140"/>
      <c r="T255" s="140"/>
      <c r="U255" s="353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50"/>
      <c r="AF255" s="150"/>
      <c r="AG255" s="140"/>
    </row>
    <row r="256" spans="10:33" s="27" customFormat="1" ht="17.25" customHeight="1">
      <c r="J256" s="28"/>
      <c r="R256" s="140"/>
      <c r="S256" s="140"/>
      <c r="T256" s="140"/>
      <c r="U256" s="353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50"/>
      <c r="AF256" s="150"/>
      <c r="AG256" s="140"/>
    </row>
    <row r="257" spans="10:33" s="27" customFormat="1" ht="17.25" customHeight="1">
      <c r="J257" s="28"/>
      <c r="R257" s="140"/>
      <c r="S257" s="140"/>
      <c r="T257" s="140"/>
      <c r="U257" s="353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50"/>
      <c r="AF257" s="150"/>
      <c r="AG257" s="140"/>
    </row>
    <row r="258" spans="10:33" s="27" customFormat="1" ht="17.25" customHeight="1">
      <c r="J258" s="28"/>
      <c r="R258" s="140"/>
      <c r="S258" s="140"/>
      <c r="T258" s="140"/>
      <c r="U258" s="353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50"/>
      <c r="AF258" s="150"/>
      <c r="AG258" s="140"/>
    </row>
    <row r="259" spans="10:33" s="27" customFormat="1" ht="17.25" customHeight="1">
      <c r="J259" s="28"/>
      <c r="R259" s="140"/>
      <c r="S259" s="140"/>
      <c r="T259" s="140"/>
      <c r="U259" s="353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50"/>
      <c r="AF259" s="150"/>
      <c r="AG259" s="140"/>
    </row>
    <row r="260" spans="10:33" s="27" customFormat="1" ht="17.25" customHeight="1">
      <c r="J260" s="28"/>
      <c r="R260" s="140"/>
      <c r="S260" s="140"/>
      <c r="T260" s="140"/>
      <c r="U260" s="353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50"/>
      <c r="AF260" s="150"/>
      <c r="AG260" s="140"/>
    </row>
    <row r="261" spans="10:33" s="27" customFormat="1" ht="17.25" customHeight="1">
      <c r="J261" s="28"/>
      <c r="R261" s="140"/>
      <c r="S261" s="140"/>
      <c r="T261" s="140"/>
      <c r="U261" s="353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50"/>
      <c r="AF261" s="150"/>
      <c r="AG261" s="140"/>
    </row>
    <row r="262" spans="10:33" s="27" customFormat="1" ht="17.25" customHeight="1">
      <c r="J262" s="28"/>
      <c r="R262" s="140"/>
      <c r="S262" s="140"/>
      <c r="T262" s="140"/>
      <c r="U262" s="353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50"/>
      <c r="AF262" s="150"/>
      <c r="AG262" s="140"/>
    </row>
    <row r="263" spans="10:33" s="27" customFormat="1" ht="17.25" customHeight="1">
      <c r="J263" s="28"/>
      <c r="R263" s="140"/>
      <c r="S263" s="140"/>
      <c r="T263" s="140"/>
      <c r="U263" s="353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50"/>
      <c r="AF263" s="150"/>
      <c r="AG263" s="140"/>
    </row>
    <row r="264" spans="10:33" s="27" customFormat="1" ht="17.25" customHeight="1">
      <c r="J264" s="28"/>
      <c r="R264" s="140"/>
      <c r="S264" s="140"/>
      <c r="T264" s="140"/>
      <c r="U264" s="353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50"/>
      <c r="AF264" s="150"/>
      <c r="AG264" s="140"/>
    </row>
    <row r="265" spans="10:33" s="27" customFormat="1" ht="17.25" customHeight="1">
      <c r="J265" s="28"/>
      <c r="R265" s="140"/>
      <c r="S265" s="140"/>
      <c r="T265" s="140"/>
      <c r="U265" s="353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50"/>
      <c r="AF265" s="150"/>
      <c r="AG265" s="140"/>
    </row>
    <row r="266" spans="10:33" s="27" customFormat="1" ht="17.25" customHeight="1">
      <c r="J266" s="28"/>
      <c r="R266" s="140"/>
      <c r="S266" s="140"/>
      <c r="T266" s="140"/>
      <c r="U266" s="353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50"/>
      <c r="AF266" s="150"/>
      <c r="AG266" s="140"/>
    </row>
    <row r="267" spans="10:33" s="27" customFormat="1" ht="17.25" customHeight="1">
      <c r="J267" s="28"/>
      <c r="R267" s="140"/>
      <c r="S267" s="140"/>
      <c r="T267" s="140"/>
      <c r="U267" s="353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50"/>
      <c r="AF267" s="150"/>
      <c r="AG267" s="140"/>
    </row>
    <row r="268" spans="10:33" s="27" customFormat="1" ht="17.25" customHeight="1">
      <c r="J268" s="28"/>
      <c r="R268" s="140"/>
      <c r="S268" s="140"/>
      <c r="T268" s="140"/>
      <c r="U268" s="353"/>
      <c r="V268" s="140"/>
      <c r="W268" s="140"/>
      <c r="X268" s="140"/>
      <c r="Y268" s="140"/>
      <c r="Z268" s="140"/>
      <c r="AA268" s="140"/>
      <c r="AB268" s="140"/>
      <c r="AC268" s="140"/>
      <c r="AD268" s="140"/>
      <c r="AE268" s="150"/>
      <c r="AF268" s="150"/>
      <c r="AG268" s="140"/>
    </row>
    <row r="269" spans="10:33" s="27" customFormat="1" ht="17.25" customHeight="1">
      <c r="J269" s="28"/>
      <c r="R269" s="140"/>
      <c r="S269" s="140"/>
      <c r="T269" s="140"/>
      <c r="U269" s="353"/>
      <c r="V269" s="140"/>
      <c r="W269" s="140"/>
      <c r="X269" s="140"/>
      <c r="Y269" s="140"/>
      <c r="Z269" s="140"/>
      <c r="AA269" s="140"/>
      <c r="AB269" s="140"/>
      <c r="AC269" s="140"/>
      <c r="AD269" s="140"/>
      <c r="AE269" s="150"/>
      <c r="AF269" s="150"/>
      <c r="AG269" s="140"/>
    </row>
    <row r="270" spans="10:33" s="27" customFormat="1" ht="17.25" customHeight="1">
      <c r="J270" s="28"/>
      <c r="R270" s="140"/>
      <c r="S270" s="140"/>
      <c r="T270" s="140"/>
      <c r="U270" s="353"/>
      <c r="V270" s="140"/>
      <c r="W270" s="140"/>
      <c r="X270" s="140"/>
      <c r="Y270" s="140"/>
      <c r="Z270" s="140"/>
      <c r="AA270" s="140"/>
      <c r="AB270" s="140"/>
      <c r="AC270" s="140"/>
      <c r="AD270" s="140"/>
      <c r="AE270" s="150"/>
      <c r="AF270" s="150"/>
      <c r="AG270" s="140"/>
    </row>
    <row r="271" spans="10:33" s="27" customFormat="1" ht="17.25" customHeight="1">
      <c r="J271" s="28"/>
      <c r="R271" s="140"/>
      <c r="S271" s="140"/>
      <c r="T271" s="140"/>
      <c r="U271" s="353"/>
      <c r="V271" s="140"/>
      <c r="W271" s="140"/>
      <c r="X271" s="140"/>
      <c r="Y271" s="140"/>
      <c r="Z271" s="140"/>
      <c r="AA271" s="140"/>
      <c r="AB271" s="140"/>
      <c r="AC271" s="140"/>
      <c r="AD271" s="140"/>
      <c r="AE271" s="150"/>
      <c r="AF271" s="150"/>
      <c r="AG271" s="140"/>
    </row>
    <row r="272" spans="10:33" s="27" customFormat="1" ht="17.25" customHeight="1">
      <c r="J272" s="28"/>
      <c r="R272" s="140"/>
      <c r="S272" s="140"/>
      <c r="T272" s="140"/>
      <c r="U272" s="353"/>
      <c r="V272" s="140"/>
      <c r="W272" s="140"/>
      <c r="X272" s="140"/>
      <c r="Y272" s="140"/>
      <c r="Z272" s="140"/>
      <c r="AA272" s="140"/>
      <c r="AB272" s="140"/>
      <c r="AC272" s="140"/>
      <c r="AD272" s="140"/>
      <c r="AE272" s="150"/>
      <c r="AF272" s="150"/>
      <c r="AG272" s="140"/>
    </row>
    <row r="273" spans="10:33" s="27" customFormat="1" ht="17.25" customHeight="1">
      <c r="J273" s="28"/>
      <c r="R273" s="140"/>
      <c r="S273" s="140"/>
      <c r="T273" s="140"/>
      <c r="U273" s="353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50"/>
      <c r="AF273" s="150"/>
      <c r="AG273" s="140"/>
    </row>
    <row r="274" spans="10:33" s="27" customFormat="1" ht="17.25" customHeight="1">
      <c r="J274" s="28"/>
      <c r="R274" s="140"/>
      <c r="S274" s="140"/>
      <c r="T274" s="140"/>
      <c r="U274" s="353"/>
      <c r="V274" s="140"/>
      <c r="W274" s="140"/>
      <c r="X274" s="140"/>
      <c r="Y274" s="140"/>
      <c r="Z274" s="140"/>
      <c r="AA274" s="140"/>
      <c r="AB274" s="140"/>
      <c r="AC274" s="140"/>
      <c r="AD274" s="140"/>
      <c r="AE274" s="150"/>
      <c r="AF274" s="150"/>
      <c r="AG274" s="140"/>
    </row>
    <row r="275" spans="10:33" s="27" customFormat="1" ht="17.25" customHeight="1">
      <c r="J275" s="28"/>
      <c r="R275" s="140"/>
      <c r="S275" s="140"/>
      <c r="T275" s="140"/>
      <c r="U275" s="353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50"/>
      <c r="AF275" s="150"/>
      <c r="AG275" s="140"/>
    </row>
    <row r="276" spans="10:33" s="27" customFormat="1" ht="17.25" customHeight="1">
      <c r="J276" s="28"/>
      <c r="R276" s="140"/>
      <c r="S276" s="140"/>
      <c r="T276" s="140"/>
      <c r="U276" s="353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50"/>
      <c r="AF276" s="150"/>
      <c r="AG276" s="140"/>
    </row>
    <row r="277" spans="10:33" s="27" customFormat="1" ht="17.25" customHeight="1">
      <c r="J277" s="28"/>
      <c r="R277" s="140"/>
      <c r="S277" s="140"/>
      <c r="T277" s="140"/>
      <c r="U277" s="353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50"/>
      <c r="AF277" s="150"/>
      <c r="AG277" s="140"/>
    </row>
    <row r="278" spans="10:33" s="27" customFormat="1" ht="17.25" customHeight="1">
      <c r="J278" s="28"/>
      <c r="R278" s="140"/>
      <c r="S278" s="140"/>
      <c r="T278" s="140"/>
      <c r="U278" s="353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50"/>
      <c r="AF278" s="150"/>
      <c r="AG278" s="140"/>
    </row>
    <row r="279" spans="10:33" s="27" customFormat="1" ht="17.25" customHeight="1">
      <c r="J279" s="28"/>
      <c r="R279" s="140"/>
      <c r="S279" s="140"/>
      <c r="T279" s="140"/>
      <c r="U279" s="353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50"/>
      <c r="AF279" s="150"/>
      <c r="AG279" s="140"/>
    </row>
    <row r="280" spans="10:33" s="27" customFormat="1" ht="17.25" customHeight="1">
      <c r="J280" s="28"/>
      <c r="R280" s="140"/>
      <c r="S280" s="140"/>
      <c r="T280" s="140"/>
      <c r="U280" s="353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50"/>
      <c r="AF280" s="150"/>
      <c r="AG280" s="140"/>
    </row>
    <row r="281" spans="10:33" s="27" customFormat="1" ht="17.25" customHeight="1">
      <c r="J281" s="28"/>
      <c r="R281" s="140"/>
      <c r="S281" s="140"/>
      <c r="T281" s="140"/>
      <c r="U281" s="353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50"/>
      <c r="AF281" s="150"/>
      <c r="AG281" s="140"/>
    </row>
    <row r="282" spans="10:33" s="27" customFormat="1" ht="17.25" customHeight="1">
      <c r="J282" s="28"/>
      <c r="R282" s="140"/>
      <c r="S282" s="140"/>
      <c r="T282" s="140"/>
      <c r="U282" s="353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50"/>
      <c r="AF282" s="150"/>
      <c r="AG282" s="140"/>
    </row>
    <row r="283" spans="10:33" s="27" customFormat="1" ht="17.25" customHeight="1">
      <c r="J283" s="28"/>
      <c r="R283" s="140"/>
      <c r="S283" s="140"/>
      <c r="T283" s="140"/>
      <c r="U283" s="353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50"/>
      <c r="AF283" s="150"/>
      <c r="AG283" s="140"/>
    </row>
    <row r="284" spans="10:33" s="27" customFormat="1" ht="17.25" customHeight="1">
      <c r="J284" s="28"/>
      <c r="R284" s="140"/>
      <c r="S284" s="140"/>
      <c r="T284" s="140"/>
      <c r="U284" s="353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50"/>
      <c r="AF284" s="150"/>
      <c r="AG284" s="140"/>
    </row>
    <row r="285" spans="10:33" s="27" customFormat="1" ht="17.25" customHeight="1">
      <c r="J285" s="28"/>
      <c r="R285" s="140"/>
      <c r="S285" s="140"/>
      <c r="T285" s="140"/>
      <c r="U285" s="353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50"/>
      <c r="AF285" s="150"/>
      <c r="AG285" s="140"/>
    </row>
    <row r="286" spans="10:33" s="27" customFormat="1" ht="17.25" customHeight="1">
      <c r="J286" s="28"/>
      <c r="R286" s="140"/>
      <c r="S286" s="140"/>
      <c r="T286" s="140"/>
      <c r="U286" s="353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50"/>
      <c r="AF286" s="150"/>
      <c r="AG286" s="140"/>
    </row>
    <row r="287" spans="10:33" s="27" customFormat="1" ht="17.25" customHeight="1">
      <c r="J287" s="28"/>
      <c r="R287" s="140"/>
      <c r="S287" s="140"/>
      <c r="T287" s="140"/>
      <c r="U287" s="353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50"/>
      <c r="AF287" s="150"/>
      <c r="AG287" s="140"/>
    </row>
    <row r="288" spans="10:33" s="27" customFormat="1" ht="17.25" customHeight="1">
      <c r="J288" s="28"/>
      <c r="R288" s="140"/>
      <c r="S288" s="140"/>
      <c r="T288" s="140"/>
      <c r="U288" s="353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50"/>
      <c r="AF288" s="150"/>
      <c r="AG288" s="140"/>
    </row>
    <row r="289" spans="10:33" s="27" customFormat="1" ht="17.25" customHeight="1">
      <c r="J289" s="28"/>
      <c r="R289" s="140"/>
      <c r="S289" s="140"/>
      <c r="T289" s="140"/>
      <c r="U289" s="353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50"/>
      <c r="AF289" s="150"/>
      <c r="AG289" s="140"/>
    </row>
    <row r="290" spans="10:33" s="27" customFormat="1" ht="17.25" customHeight="1">
      <c r="J290" s="28"/>
      <c r="R290" s="140"/>
      <c r="S290" s="140"/>
      <c r="T290" s="140"/>
      <c r="U290" s="353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50"/>
      <c r="AF290" s="150"/>
      <c r="AG290" s="140"/>
    </row>
    <row r="291" spans="10:33" s="27" customFormat="1" ht="17.25" customHeight="1">
      <c r="J291" s="28"/>
      <c r="R291" s="140"/>
      <c r="S291" s="140"/>
      <c r="T291" s="140"/>
      <c r="U291" s="353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50"/>
      <c r="AF291" s="150"/>
      <c r="AG291" s="140"/>
    </row>
    <row r="292" spans="10:33" s="27" customFormat="1" ht="17.25" customHeight="1">
      <c r="J292" s="28"/>
      <c r="R292" s="140"/>
      <c r="S292" s="140"/>
      <c r="T292" s="140"/>
      <c r="U292" s="353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50"/>
      <c r="AF292" s="150"/>
      <c r="AG292" s="140"/>
    </row>
    <row r="293" spans="10:33" s="27" customFormat="1" ht="17.25" customHeight="1">
      <c r="J293" s="28"/>
      <c r="R293" s="140"/>
      <c r="S293" s="140"/>
      <c r="T293" s="140"/>
      <c r="U293" s="353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50"/>
      <c r="AF293" s="150"/>
      <c r="AG293" s="140"/>
    </row>
    <row r="294" spans="10:33" s="27" customFormat="1" ht="17.25" customHeight="1">
      <c r="J294" s="28"/>
      <c r="R294" s="140"/>
      <c r="S294" s="140"/>
      <c r="T294" s="140"/>
      <c r="U294" s="353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50"/>
      <c r="AF294" s="150"/>
      <c r="AG294" s="140"/>
    </row>
    <row r="295" spans="10:33" s="27" customFormat="1" ht="17.25" customHeight="1">
      <c r="J295" s="28"/>
      <c r="R295" s="140"/>
      <c r="S295" s="140"/>
      <c r="T295" s="140"/>
      <c r="U295" s="353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50"/>
      <c r="AF295" s="150"/>
      <c r="AG295" s="140"/>
    </row>
    <row r="296" spans="10:33" s="27" customFormat="1" ht="17.25" customHeight="1">
      <c r="J296" s="28"/>
      <c r="R296" s="140"/>
      <c r="S296" s="140"/>
      <c r="T296" s="140"/>
      <c r="U296" s="353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50"/>
      <c r="AF296" s="150"/>
      <c r="AG296" s="140"/>
    </row>
    <row r="297" spans="10:33" s="27" customFormat="1" ht="17.25" customHeight="1">
      <c r="J297" s="28"/>
      <c r="R297" s="140"/>
      <c r="S297" s="140"/>
      <c r="T297" s="140"/>
      <c r="U297" s="353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50"/>
      <c r="AF297" s="150"/>
      <c r="AG297" s="140"/>
    </row>
    <row r="298" spans="10:33" s="27" customFormat="1" ht="17.25" customHeight="1">
      <c r="J298" s="28"/>
      <c r="R298" s="140"/>
      <c r="S298" s="140"/>
      <c r="T298" s="140"/>
      <c r="U298" s="353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50"/>
      <c r="AF298" s="150"/>
      <c r="AG298" s="140"/>
    </row>
    <row r="299" spans="10:33" s="27" customFormat="1" ht="17.25" customHeight="1">
      <c r="J299" s="28"/>
      <c r="R299" s="140"/>
      <c r="S299" s="140"/>
      <c r="T299" s="140"/>
      <c r="U299" s="353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50"/>
      <c r="AF299" s="150"/>
      <c r="AG299" s="140"/>
    </row>
    <row r="300" spans="10:33" s="27" customFormat="1" ht="17.25" customHeight="1">
      <c r="J300" s="28"/>
      <c r="R300" s="140"/>
      <c r="S300" s="140"/>
      <c r="T300" s="140"/>
      <c r="U300" s="353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50"/>
      <c r="AF300" s="150"/>
      <c r="AG300" s="140"/>
    </row>
    <row r="301" spans="10:33" s="27" customFormat="1" ht="17.25" customHeight="1">
      <c r="J301" s="28"/>
      <c r="R301" s="140"/>
      <c r="S301" s="140"/>
      <c r="T301" s="140"/>
      <c r="U301" s="353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50"/>
      <c r="AF301" s="150"/>
      <c r="AG301" s="140"/>
    </row>
    <row r="302" spans="10:33" s="27" customFormat="1" ht="17.25" customHeight="1">
      <c r="J302" s="28"/>
      <c r="R302" s="140"/>
      <c r="S302" s="140"/>
      <c r="T302" s="140"/>
      <c r="U302" s="353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50"/>
      <c r="AF302" s="150"/>
      <c r="AG302" s="140"/>
    </row>
    <row r="303" spans="10:33" s="27" customFormat="1" ht="17.25" customHeight="1">
      <c r="J303" s="28"/>
      <c r="R303" s="140"/>
      <c r="S303" s="140"/>
      <c r="T303" s="140"/>
      <c r="U303" s="353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50"/>
      <c r="AF303" s="150"/>
      <c r="AG303" s="140"/>
    </row>
    <row r="304" spans="10:33" s="27" customFormat="1" ht="17.25" customHeight="1">
      <c r="J304" s="28"/>
      <c r="R304" s="140"/>
      <c r="S304" s="140"/>
      <c r="T304" s="140"/>
      <c r="U304" s="353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50"/>
      <c r="AF304" s="150"/>
      <c r="AG304" s="140"/>
    </row>
    <row r="305" spans="10:33" s="27" customFormat="1" ht="17.25" customHeight="1">
      <c r="J305" s="28"/>
      <c r="R305" s="140"/>
      <c r="S305" s="140"/>
      <c r="T305" s="140"/>
      <c r="U305" s="353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50"/>
      <c r="AF305" s="150"/>
      <c r="AG305" s="140"/>
    </row>
    <row r="306" spans="10:33" s="27" customFormat="1" ht="17.25" customHeight="1">
      <c r="J306" s="28"/>
      <c r="R306" s="140"/>
      <c r="S306" s="140"/>
      <c r="T306" s="140"/>
      <c r="U306" s="353"/>
      <c r="V306" s="140"/>
      <c r="W306" s="140"/>
      <c r="X306" s="140"/>
      <c r="Y306" s="140"/>
      <c r="Z306" s="140"/>
      <c r="AA306" s="140"/>
      <c r="AB306" s="140"/>
      <c r="AC306" s="140"/>
      <c r="AD306" s="140"/>
      <c r="AE306" s="150"/>
      <c r="AF306" s="150"/>
      <c r="AG306" s="140"/>
    </row>
    <row r="307" spans="10:33" s="27" customFormat="1" ht="17.25" customHeight="1">
      <c r="J307" s="28"/>
      <c r="R307" s="140"/>
      <c r="S307" s="140"/>
      <c r="T307" s="140"/>
      <c r="U307" s="353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50"/>
      <c r="AF307" s="150"/>
      <c r="AG307" s="140"/>
    </row>
    <row r="308" spans="10:33" s="27" customFormat="1" ht="17.25" customHeight="1">
      <c r="J308" s="28"/>
      <c r="R308" s="140"/>
      <c r="S308" s="140"/>
      <c r="T308" s="140"/>
      <c r="U308" s="353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50"/>
      <c r="AF308" s="150"/>
      <c r="AG308" s="140"/>
    </row>
    <row r="309" spans="10:33" s="27" customFormat="1" ht="17.25" customHeight="1">
      <c r="J309" s="28"/>
      <c r="R309" s="140"/>
      <c r="S309" s="140"/>
      <c r="T309" s="140"/>
      <c r="U309" s="353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50"/>
      <c r="AF309" s="150"/>
      <c r="AG309" s="140"/>
    </row>
    <row r="310" spans="10:33" s="27" customFormat="1" ht="17.25" customHeight="1">
      <c r="J310" s="28"/>
      <c r="R310" s="140"/>
      <c r="S310" s="140"/>
      <c r="T310" s="140"/>
      <c r="U310" s="353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50"/>
      <c r="AF310" s="150"/>
      <c r="AG310" s="140"/>
    </row>
    <row r="311" spans="10:33" s="27" customFormat="1" ht="17.25" customHeight="1">
      <c r="J311" s="28"/>
      <c r="R311" s="140"/>
      <c r="S311" s="140"/>
      <c r="T311" s="140"/>
      <c r="U311" s="353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50"/>
      <c r="AF311" s="150"/>
      <c r="AG311" s="140"/>
    </row>
    <row r="312" spans="10:33" s="27" customFormat="1" ht="17.25" customHeight="1">
      <c r="J312" s="28"/>
      <c r="R312" s="140"/>
      <c r="S312" s="140"/>
      <c r="T312" s="140"/>
      <c r="U312" s="353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50"/>
      <c r="AF312" s="150"/>
      <c r="AG312" s="140"/>
    </row>
    <row r="313" spans="10:33" s="27" customFormat="1" ht="17.25" customHeight="1">
      <c r="J313" s="28"/>
      <c r="R313" s="140"/>
      <c r="S313" s="140"/>
      <c r="T313" s="140"/>
      <c r="U313" s="353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50"/>
      <c r="AF313" s="150"/>
      <c r="AG313" s="140"/>
    </row>
    <row r="314" spans="10:33" s="27" customFormat="1" ht="17.25" customHeight="1">
      <c r="J314" s="28"/>
      <c r="R314" s="140"/>
      <c r="S314" s="140"/>
      <c r="T314" s="140"/>
      <c r="U314" s="353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50"/>
      <c r="AF314" s="150"/>
      <c r="AG314" s="140"/>
    </row>
    <row r="315" spans="10:33" s="27" customFormat="1" ht="17.25" customHeight="1">
      <c r="J315" s="28"/>
      <c r="R315" s="140"/>
      <c r="S315" s="140"/>
      <c r="T315" s="140"/>
      <c r="U315" s="353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50"/>
      <c r="AF315" s="150"/>
      <c r="AG315" s="140"/>
    </row>
    <row r="316" spans="10:33" s="27" customFormat="1" ht="17.25" customHeight="1">
      <c r="J316" s="28"/>
      <c r="R316" s="140"/>
      <c r="S316" s="140"/>
      <c r="T316" s="140"/>
      <c r="U316" s="353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50"/>
      <c r="AF316" s="150"/>
      <c r="AG316" s="140"/>
    </row>
    <row r="317" spans="10:33" s="27" customFormat="1" ht="17.25" customHeight="1">
      <c r="J317" s="28"/>
      <c r="R317" s="140"/>
      <c r="S317" s="140"/>
      <c r="T317" s="140"/>
      <c r="U317" s="353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50"/>
      <c r="AF317" s="150"/>
      <c r="AG317" s="140"/>
    </row>
    <row r="318" spans="10:33" s="27" customFormat="1" ht="17.25" customHeight="1">
      <c r="J318" s="28"/>
      <c r="R318" s="140"/>
      <c r="S318" s="140"/>
      <c r="T318" s="140"/>
      <c r="U318" s="353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50"/>
      <c r="AF318" s="150"/>
      <c r="AG318" s="140"/>
    </row>
    <row r="319" spans="10:33" s="27" customFormat="1" ht="17.25" customHeight="1">
      <c r="J319" s="28"/>
      <c r="R319" s="140"/>
      <c r="S319" s="140"/>
      <c r="T319" s="140"/>
      <c r="U319" s="353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50"/>
      <c r="AF319" s="150"/>
      <c r="AG319" s="140"/>
    </row>
    <row r="320" spans="10:33" s="27" customFormat="1" ht="17.25" customHeight="1">
      <c r="J320" s="28"/>
      <c r="R320" s="140"/>
      <c r="S320" s="140"/>
      <c r="T320" s="140"/>
      <c r="U320" s="353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50"/>
      <c r="AF320" s="150"/>
      <c r="AG320" s="140"/>
    </row>
    <row r="321" spans="10:33" s="27" customFormat="1" ht="17.25" customHeight="1">
      <c r="J321" s="28"/>
      <c r="R321" s="140"/>
      <c r="S321" s="140"/>
      <c r="T321" s="140"/>
      <c r="U321" s="353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50"/>
      <c r="AF321" s="150"/>
      <c r="AG321" s="140"/>
    </row>
    <row r="322" spans="10:33" s="27" customFormat="1" ht="17.25" customHeight="1">
      <c r="J322" s="28"/>
      <c r="R322" s="140"/>
      <c r="S322" s="140"/>
      <c r="T322" s="140"/>
      <c r="U322" s="353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50"/>
      <c r="AF322" s="150"/>
      <c r="AG322" s="140"/>
    </row>
    <row r="323" spans="10:33" s="27" customFormat="1" ht="17.25" customHeight="1">
      <c r="J323" s="28"/>
      <c r="R323" s="140"/>
      <c r="S323" s="140"/>
      <c r="T323" s="140"/>
      <c r="U323" s="353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50"/>
      <c r="AF323" s="150"/>
      <c r="AG323" s="140"/>
    </row>
    <row r="324" spans="10:33" s="27" customFormat="1" ht="17.25" customHeight="1">
      <c r="J324" s="28"/>
      <c r="R324" s="140"/>
      <c r="S324" s="140"/>
      <c r="T324" s="140"/>
      <c r="U324" s="353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50"/>
      <c r="AF324" s="150"/>
      <c r="AG324" s="140"/>
    </row>
    <row r="325" spans="10:33" s="27" customFormat="1" ht="17.25" customHeight="1">
      <c r="J325" s="28"/>
      <c r="R325" s="140"/>
      <c r="S325" s="140"/>
      <c r="T325" s="140"/>
      <c r="U325" s="353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50"/>
      <c r="AF325" s="150"/>
      <c r="AG325" s="140"/>
    </row>
    <row r="326" spans="10:33" s="27" customFormat="1" ht="17.25" customHeight="1">
      <c r="J326" s="28"/>
      <c r="R326" s="140"/>
      <c r="S326" s="140"/>
      <c r="T326" s="140"/>
      <c r="U326" s="353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50"/>
      <c r="AF326" s="150"/>
      <c r="AG326" s="140"/>
    </row>
    <row r="327" spans="10:33" s="27" customFormat="1" ht="17.25" customHeight="1">
      <c r="J327" s="28"/>
      <c r="R327" s="140"/>
      <c r="S327" s="140"/>
      <c r="T327" s="140"/>
      <c r="U327" s="353"/>
      <c r="V327" s="140"/>
      <c r="W327" s="140"/>
      <c r="X327" s="140"/>
      <c r="Y327" s="140"/>
      <c r="Z327" s="140"/>
      <c r="AA327" s="140"/>
      <c r="AB327" s="140"/>
      <c r="AC327" s="140"/>
      <c r="AD327" s="140"/>
      <c r="AE327" s="150"/>
      <c r="AF327" s="150"/>
      <c r="AG327" s="140"/>
    </row>
    <row r="328" spans="10:33" s="27" customFormat="1" ht="17.25" customHeight="1">
      <c r="J328" s="28"/>
      <c r="R328" s="140"/>
      <c r="S328" s="140"/>
      <c r="T328" s="140"/>
      <c r="U328" s="353"/>
      <c r="V328" s="140"/>
      <c r="W328" s="140"/>
      <c r="X328" s="140"/>
      <c r="Y328" s="140"/>
      <c r="Z328" s="140"/>
      <c r="AA328" s="140"/>
      <c r="AB328" s="140"/>
      <c r="AC328" s="140"/>
      <c r="AD328" s="140"/>
      <c r="AE328" s="150"/>
      <c r="AF328" s="150"/>
      <c r="AG328" s="140"/>
    </row>
    <row r="329" spans="10:33" s="27" customFormat="1" ht="17.25" customHeight="1">
      <c r="J329" s="28"/>
      <c r="R329" s="140"/>
      <c r="S329" s="140"/>
      <c r="T329" s="140"/>
      <c r="U329" s="353"/>
      <c r="V329" s="140"/>
      <c r="W329" s="140"/>
      <c r="X329" s="140"/>
      <c r="Y329" s="140"/>
      <c r="Z329" s="140"/>
      <c r="AA329" s="140"/>
      <c r="AB329" s="140"/>
      <c r="AC329" s="140"/>
      <c r="AD329" s="140"/>
      <c r="AE329" s="150"/>
      <c r="AF329" s="150"/>
      <c r="AG329" s="140"/>
    </row>
    <row r="330" spans="10:33" s="27" customFormat="1" ht="17.25" customHeight="1">
      <c r="J330" s="28"/>
      <c r="R330" s="140"/>
      <c r="S330" s="140"/>
      <c r="T330" s="140"/>
      <c r="U330" s="353"/>
      <c r="V330" s="140"/>
      <c r="W330" s="140"/>
      <c r="X330" s="140"/>
      <c r="Y330" s="140"/>
      <c r="Z330" s="140"/>
      <c r="AA330" s="140"/>
      <c r="AB330" s="140"/>
      <c r="AC330" s="140"/>
      <c r="AD330" s="140"/>
      <c r="AE330" s="150"/>
      <c r="AF330" s="150"/>
      <c r="AG330" s="140"/>
    </row>
    <row r="331" spans="10:33" s="27" customFormat="1" ht="17.25" customHeight="1">
      <c r="J331" s="28"/>
      <c r="R331" s="140"/>
      <c r="S331" s="140"/>
      <c r="T331" s="140"/>
      <c r="U331" s="353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50"/>
      <c r="AF331" s="150"/>
      <c r="AG331" s="140"/>
    </row>
    <row r="332" spans="10:33" s="27" customFormat="1" ht="17.25" customHeight="1">
      <c r="J332" s="28"/>
      <c r="R332" s="140"/>
      <c r="S332" s="140"/>
      <c r="T332" s="140"/>
      <c r="U332" s="353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50"/>
      <c r="AF332" s="150"/>
      <c r="AG332" s="140"/>
    </row>
    <row r="333" spans="10:33" s="27" customFormat="1" ht="17.25" customHeight="1">
      <c r="J333" s="28"/>
      <c r="R333" s="140"/>
      <c r="S333" s="140"/>
      <c r="T333" s="140"/>
      <c r="U333" s="353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50"/>
      <c r="AF333" s="150"/>
      <c r="AG333" s="140"/>
    </row>
    <row r="334" spans="10:33" s="27" customFormat="1" ht="17.25" customHeight="1">
      <c r="J334" s="28"/>
      <c r="R334" s="140"/>
      <c r="S334" s="140"/>
      <c r="T334" s="140"/>
      <c r="U334" s="353"/>
      <c r="V334" s="140"/>
      <c r="W334" s="140"/>
      <c r="X334" s="140"/>
      <c r="Y334" s="140"/>
      <c r="Z334" s="140"/>
      <c r="AA334" s="140"/>
      <c r="AB334" s="140"/>
      <c r="AC334" s="140"/>
      <c r="AD334" s="140"/>
      <c r="AE334" s="150"/>
      <c r="AF334" s="150"/>
      <c r="AG334" s="140"/>
    </row>
    <row r="335" spans="10:33" s="27" customFormat="1" ht="17.25" customHeight="1">
      <c r="J335" s="28"/>
      <c r="R335" s="140"/>
      <c r="S335" s="140"/>
      <c r="T335" s="140"/>
      <c r="U335" s="353"/>
      <c r="V335" s="140"/>
      <c r="W335" s="140"/>
      <c r="X335" s="140"/>
      <c r="Y335" s="140"/>
      <c r="Z335" s="140"/>
      <c r="AA335" s="140"/>
      <c r="AB335" s="140"/>
      <c r="AC335" s="140"/>
      <c r="AD335" s="140"/>
      <c r="AE335" s="150"/>
      <c r="AF335" s="150"/>
      <c r="AG335" s="140"/>
    </row>
    <row r="336" spans="10:33" s="27" customFormat="1" ht="17.25" customHeight="1">
      <c r="J336" s="28"/>
      <c r="R336" s="140"/>
      <c r="S336" s="140"/>
      <c r="T336" s="140"/>
      <c r="U336" s="353"/>
      <c r="V336" s="140"/>
      <c r="W336" s="140"/>
      <c r="X336" s="140"/>
      <c r="Y336" s="140"/>
      <c r="Z336" s="140"/>
      <c r="AA336" s="140"/>
      <c r="AB336" s="140"/>
      <c r="AC336" s="140"/>
      <c r="AD336" s="140"/>
      <c r="AE336" s="150"/>
      <c r="AF336" s="150"/>
      <c r="AG336" s="140"/>
    </row>
    <row r="337" spans="10:33" s="27" customFormat="1" ht="17.25" customHeight="1">
      <c r="J337" s="28"/>
      <c r="R337" s="140"/>
      <c r="S337" s="140"/>
      <c r="T337" s="140"/>
      <c r="U337" s="353"/>
      <c r="V337" s="140"/>
      <c r="W337" s="140"/>
      <c r="X337" s="140"/>
      <c r="Y337" s="140"/>
      <c r="Z337" s="140"/>
      <c r="AA337" s="140"/>
      <c r="AB337" s="140"/>
      <c r="AC337" s="140"/>
      <c r="AD337" s="140"/>
      <c r="AE337" s="150"/>
      <c r="AF337" s="150"/>
      <c r="AG337" s="140"/>
    </row>
    <row r="338" spans="10:33" s="27" customFormat="1" ht="17.25" customHeight="1">
      <c r="J338" s="28"/>
      <c r="R338" s="140"/>
      <c r="S338" s="140"/>
      <c r="T338" s="140"/>
      <c r="U338" s="353"/>
      <c r="V338" s="140"/>
      <c r="W338" s="140"/>
      <c r="X338" s="140"/>
      <c r="Y338" s="140"/>
      <c r="Z338" s="140"/>
      <c r="AA338" s="140"/>
      <c r="AB338" s="140"/>
      <c r="AC338" s="140"/>
      <c r="AD338" s="140"/>
      <c r="AE338" s="150"/>
      <c r="AF338" s="150"/>
      <c r="AG338" s="140"/>
    </row>
    <row r="339" spans="10:33" s="27" customFormat="1" ht="17.25" customHeight="1">
      <c r="J339" s="28"/>
      <c r="R339" s="140"/>
      <c r="S339" s="140"/>
      <c r="T339" s="140"/>
      <c r="U339" s="353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50"/>
      <c r="AF339" s="150"/>
      <c r="AG339" s="140"/>
    </row>
    <row r="340" spans="10:33" s="27" customFormat="1" ht="17.25" customHeight="1">
      <c r="J340" s="28"/>
      <c r="R340" s="140"/>
      <c r="S340" s="140"/>
      <c r="T340" s="140"/>
      <c r="U340" s="353"/>
      <c r="V340" s="140"/>
      <c r="W340" s="140"/>
      <c r="X340" s="140"/>
      <c r="Y340" s="140"/>
      <c r="Z340" s="140"/>
      <c r="AA340" s="140"/>
      <c r="AB340" s="140"/>
      <c r="AC340" s="140"/>
      <c r="AD340" s="140"/>
      <c r="AE340" s="150"/>
      <c r="AF340" s="150"/>
      <c r="AG340" s="140"/>
    </row>
    <row r="341" spans="10:33" s="27" customFormat="1" ht="17.25" customHeight="1">
      <c r="J341" s="28"/>
      <c r="R341" s="140"/>
      <c r="S341" s="140"/>
      <c r="T341" s="140"/>
      <c r="U341" s="353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50"/>
      <c r="AF341" s="150"/>
      <c r="AG341" s="140"/>
    </row>
    <row r="342" spans="10:33" s="27" customFormat="1" ht="17.25" customHeight="1">
      <c r="J342" s="28"/>
      <c r="R342" s="140"/>
      <c r="S342" s="140"/>
      <c r="T342" s="140"/>
      <c r="U342" s="353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50"/>
      <c r="AF342" s="150"/>
      <c r="AG342" s="140"/>
    </row>
    <row r="343" spans="10:33" s="27" customFormat="1" ht="17.25" customHeight="1">
      <c r="J343" s="28"/>
      <c r="R343" s="140"/>
      <c r="S343" s="140"/>
      <c r="T343" s="140"/>
      <c r="U343" s="353"/>
      <c r="V343" s="140"/>
      <c r="W343" s="140"/>
      <c r="X343" s="140"/>
      <c r="Y343" s="140"/>
      <c r="Z343" s="140"/>
      <c r="AA343" s="140"/>
      <c r="AB343" s="140"/>
      <c r="AC343" s="140"/>
      <c r="AD343" s="140"/>
      <c r="AE343" s="150"/>
      <c r="AF343" s="150"/>
      <c r="AG343" s="140"/>
    </row>
    <row r="344" spans="10:33" s="27" customFormat="1" ht="17.25" customHeight="1">
      <c r="J344" s="28"/>
      <c r="R344" s="140"/>
      <c r="S344" s="140"/>
      <c r="T344" s="140"/>
      <c r="U344" s="353"/>
      <c r="V344" s="140"/>
      <c r="W344" s="140"/>
      <c r="X344" s="140"/>
      <c r="Y344" s="140"/>
      <c r="Z344" s="140"/>
      <c r="AA344" s="140"/>
      <c r="AB344" s="140"/>
      <c r="AC344" s="140"/>
      <c r="AD344" s="140"/>
      <c r="AE344" s="150"/>
      <c r="AF344" s="150"/>
      <c r="AG344" s="140"/>
    </row>
    <row r="345" spans="10:33" s="27" customFormat="1" ht="17.25" customHeight="1">
      <c r="J345" s="28"/>
      <c r="R345" s="140"/>
      <c r="S345" s="140"/>
      <c r="T345" s="140"/>
      <c r="U345" s="353"/>
      <c r="V345" s="140"/>
      <c r="W345" s="140"/>
      <c r="X345" s="140"/>
      <c r="Y345" s="140"/>
      <c r="Z345" s="140"/>
      <c r="AA345" s="140"/>
      <c r="AB345" s="140"/>
      <c r="AC345" s="140"/>
      <c r="AD345" s="140"/>
      <c r="AE345" s="150"/>
      <c r="AF345" s="150"/>
      <c r="AG345" s="140"/>
    </row>
    <row r="346" spans="10:33" s="27" customFormat="1" ht="17.25" customHeight="1">
      <c r="J346" s="28"/>
      <c r="R346" s="140"/>
      <c r="S346" s="140"/>
      <c r="T346" s="140"/>
      <c r="U346" s="353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50"/>
      <c r="AF346" s="150"/>
      <c r="AG346" s="140"/>
    </row>
    <row r="347" spans="10:33" s="27" customFormat="1" ht="17.25" customHeight="1">
      <c r="J347" s="28"/>
      <c r="R347" s="140"/>
      <c r="S347" s="140"/>
      <c r="T347" s="140"/>
      <c r="U347" s="353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50"/>
      <c r="AF347" s="150"/>
      <c r="AG347" s="140"/>
    </row>
    <row r="348" spans="10:33" s="27" customFormat="1" ht="17.25" customHeight="1">
      <c r="J348" s="28"/>
      <c r="R348" s="140"/>
      <c r="S348" s="140"/>
      <c r="T348" s="140"/>
      <c r="U348" s="353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50"/>
      <c r="AF348" s="150"/>
      <c r="AG348" s="140"/>
    </row>
    <row r="349" spans="10:33" s="27" customFormat="1" ht="17.25" customHeight="1">
      <c r="J349" s="28"/>
      <c r="R349" s="140"/>
      <c r="S349" s="140"/>
      <c r="T349" s="140"/>
      <c r="U349" s="353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50"/>
      <c r="AF349" s="150"/>
      <c r="AG349" s="140"/>
    </row>
    <row r="350" spans="10:33" s="27" customFormat="1" ht="17.25" customHeight="1">
      <c r="J350" s="28"/>
      <c r="R350" s="140"/>
      <c r="S350" s="140"/>
      <c r="T350" s="140"/>
      <c r="U350" s="353"/>
      <c r="V350" s="140"/>
      <c r="W350" s="140"/>
      <c r="X350" s="140"/>
      <c r="Y350" s="140"/>
      <c r="Z350" s="140"/>
      <c r="AA350" s="140"/>
      <c r="AB350" s="140"/>
      <c r="AC350" s="140"/>
      <c r="AD350" s="140"/>
      <c r="AE350" s="150"/>
      <c r="AF350" s="150"/>
      <c r="AG350" s="140"/>
    </row>
    <row r="351" spans="10:33" s="27" customFormat="1" ht="17.25" customHeight="1">
      <c r="J351" s="28"/>
      <c r="R351" s="140"/>
      <c r="S351" s="140"/>
      <c r="T351" s="140"/>
      <c r="U351" s="353"/>
      <c r="V351" s="140"/>
      <c r="W351" s="140"/>
      <c r="X351" s="140"/>
      <c r="Y351" s="140"/>
      <c r="Z351" s="140"/>
      <c r="AA351" s="140"/>
      <c r="AB351" s="140"/>
      <c r="AC351" s="140"/>
      <c r="AD351" s="140"/>
      <c r="AE351" s="150"/>
      <c r="AF351" s="150"/>
      <c r="AG351" s="140"/>
    </row>
    <row r="352" spans="10:33" s="27" customFormat="1" ht="17.25" customHeight="1">
      <c r="J352" s="28"/>
      <c r="R352" s="140"/>
      <c r="S352" s="140"/>
      <c r="T352" s="140"/>
      <c r="U352" s="353"/>
      <c r="V352" s="140"/>
      <c r="W352" s="140"/>
      <c r="X352" s="140"/>
      <c r="Y352" s="140"/>
      <c r="Z352" s="140"/>
      <c r="AA352" s="140"/>
      <c r="AB352" s="140"/>
      <c r="AC352" s="140"/>
      <c r="AD352" s="140"/>
      <c r="AE352" s="150"/>
      <c r="AF352" s="150"/>
      <c r="AG352" s="140"/>
    </row>
    <row r="353" spans="10:33" s="27" customFormat="1" ht="17.25" customHeight="1">
      <c r="J353" s="28"/>
      <c r="R353" s="140"/>
      <c r="S353" s="140"/>
      <c r="T353" s="140"/>
      <c r="U353" s="353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50"/>
      <c r="AF353" s="150"/>
      <c r="AG353" s="140"/>
    </row>
    <row r="354" spans="10:33" s="27" customFormat="1" ht="17.25" customHeight="1">
      <c r="J354" s="28"/>
      <c r="R354" s="140"/>
      <c r="S354" s="140"/>
      <c r="T354" s="140"/>
      <c r="U354" s="353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50"/>
      <c r="AF354" s="150"/>
      <c r="AG354" s="140"/>
    </row>
    <row r="355" spans="10:33" s="27" customFormat="1" ht="17.25" customHeight="1">
      <c r="J355" s="28"/>
      <c r="R355" s="140"/>
      <c r="S355" s="140"/>
      <c r="T355" s="140"/>
      <c r="U355" s="353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50"/>
      <c r="AF355" s="150"/>
      <c r="AG355" s="140"/>
    </row>
    <row r="356" spans="10:33" s="27" customFormat="1" ht="17.25" customHeight="1">
      <c r="J356" s="28"/>
      <c r="R356" s="140"/>
      <c r="S356" s="140"/>
      <c r="T356" s="140"/>
      <c r="U356" s="353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50"/>
      <c r="AF356" s="150"/>
      <c r="AG356" s="140"/>
    </row>
    <row r="357" spans="10:33" s="27" customFormat="1" ht="17.25" customHeight="1">
      <c r="J357" s="28"/>
      <c r="R357" s="140"/>
      <c r="S357" s="140"/>
      <c r="T357" s="140"/>
      <c r="U357" s="353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50"/>
      <c r="AF357" s="150"/>
      <c r="AG357" s="140"/>
    </row>
    <row r="358" spans="10:33" s="27" customFormat="1" ht="17.25" customHeight="1">
      <c r="J358" s="28"/>
      <c r="R358" s="140"/>
      <c r="S358" s="140"/>
      <c r="T358" s="140"/>
      <c r="U358" s="353"/>
      <c r="V358" s="140"/>
      <c r="W358" s="140"/>
      <c r="X358" s="140"/>
      <c r="Y358" s="140"/>
      <c r="Z358" s="140"/>
      <c r="AA358" s="140"/>
      <c r="AB358" s="140"/>
      <c r="AC358" s="140"/>
      <c r="AD358" s="140"/>
      <c r="AE358" s="150"/>
      <c r="AF358" s="150"/>
      <c r="AG358" s="140"/>
    </row>
    <row r="359" spans="10:33" s="27" customFormat="1" ht="17.25" customHeight="1">
      <c r="J359" s="28"/>
      <c r="R359" s="140"/>
      <c r="S359" s="140"/>
      <c r="T359" s="140"/>
      <c r="U359" s="353"/>
      <c r="V359" s="140"/>
      <c r="W359" s="140"/>
      <c r="X359" s="140"/>
      <c r="Y359" s="140"/>
      <c r="Z359" s="140"/>
      <c r="AA359" s="140"/>
      <c r="AB359" s="140"/>
      <c r="AC359" s="140"/>
      <c r="AD359" s="140"/>
      <c r="AE359" s="150"/>
      <c r="AF359" s="150"/>
      <c r="AG359" s="140"/>
    </row>
    <row r="360" spans="10:33" s="27" customFormat="1" ht="17.25" customHeight="1">
      <c r="J360" s="28"/>
      <c r="R360" s="140"/>
      <c r="S360" s="140"/>
      <c r="T360" s="140"/>
      <c r="U360" s="353"/>
      <c r="V360" s="140"/>
      <c r="W360" s="140"/>
      <c r="X360" s="140"/>
      <c r="Y360" s="140"/>
      <c r="Z360" s="140"/>
      <c r="AA360" s="140"/>
      <c r="AB360" s="140"/>
      <c r="AC360" s="140"/>
      <c r="AD360" s="140"/>
      <c r="AE360" s="150"/>
      <c r="AF360" s="150"/>
      <c r="AG360" s="140"/>
    </row>
    <row r="361" spans="10:33" s="27" customFormat="1" ht="17.25" customHeight="1">
      <c r="J361" s="28"/>
      <c r="R361" s="140"/>
      <c r="S361" s="140"/>
      <c r="T361" s="140"/>
      <c r="U361" s="353"/>
      <c r="V361" s="140"/>
      <c r="W361" s="140"/>
      <c r="X361" s="140"/>
      <c r="Y361" s="140"/>
      <c r="Z361" s="140"/>
      <c r="AA361" s="140"/>
      <c r="AB361" s="140"/>
      <c r="AC361" s="140"/>
      <c r="AD361" s="140"/>
      <c r="AE361" s="150"/>
      <c r="AF361" s="150"/>
      <c r="AG361" s="140"/>
    </row>
    <row r="362" spans="10:33" s="27" customFormat="1" ht="17.25" customHeight="1">
      <c r="J362" s="28"/>
      <c r="R362" s="140"/>
      <c r="S362" s="140"/>
      <c r="T362" s="140"/>
      <c r="U362" s="353"/>
      <c r="V362" s="140"/>
      <c r="W362" s="140"/>
      <c r="X362" s="140"/>
      <c r="Y362" s="140"/>
      <c r="Z362" s="140"/>
      <c r="AA362" s="140"/>
      <c r="AB362" s="140"/>
      <c r="AC362" s="140"/>
      <c r="AD362" s="140"/>
      <c r="AE362" s="150"/>
      <c r="AF362" s="150"/>
      <c r="AG362" s="140"/>
    </row>
    <row r="363" spans="10:33" s="27" customFormat="1" ht="17.25" customHeight="1">
      <c r="J363" s="28"/>
      <c r="R363" s="140"/>
      <c r="S363" s="140"/>
      <c r="T363" s="140"/>
      <c r="U363" s="353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50"/>
      <c r="AF363" s="150"/>
      <c r="AG363" s="140"/>
    </row>
    <row r="364" spans="10:33" s="27" customFormat="1" ht="17.25" customHeight="1">
      <c r="J364" s="28"/>
      <c r="R364" s="140"/>
      <c r="S364" s="140"/>
      <c r="T364" s="140"/>
      <c r="U364" s="353"/>
      <c r="V364" s="140"/>
      <c r="W364" s="140"/>
      <c r="X364" s="140"/>
      <c r="Y364" s="140"/>
      <c r="Z364" s="140"/>
      <c r="AA364" s="140"/>
      <c r="AB364" s="140"/>
      <c r="AC364" s="140"/>
      <c r="AD364" s="140"/>
      <c r="AE364" s="150"/>
      <c r="AF364" s="150"/>
      <c r="AG364" s="140"/>
    </row>
    <row r="365" spans="10:33" s="27" customFormat="1" ht="17.25" customHeight="1">
      <c r="J365" s="28"/>
      <c r="R365" s="140"/>
      <c r="S365" s="140"/>
      <c r="T365" s="140"/>
      <c r="U365" s="353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50"/>
      <c r="AF365" s="150"/>
      <c r="AG365" s="140"/>
    </row>
    <row r="366" spans="10:33" s="27" customFormat="1" ht="17.25" customHeight="1">
      <c r="J366" s="28"/>
      <c r="R366" s="140"/>
      <c r="S366" s="140"/>
      <c r="T366" s="140"/>
      <c r="U366" s="353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50"/>
      <c r="AF366" s="150"/>
      <c r="AG366" s="140"/>
    </row>
    <row r="367" spans="10:33" s="27" customFormat="1" ht="17.25" customHeight="1">
      <c r="J367" s="28"/>
      <c r="R367" s="140"/>
      <c r="S367" s="140"/>
      <c r="T367" s="140"/>
      <c r="U367" s="353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50"/>
      <c r="AF367" s="150"/>
      <c r="AG367" s="140"/>
    </row>
    <row r="368" spans="10:33" s="27" customFormat="1" ht="17.25" customHeight="1">
      <c r="J368" s="28"/>
      <c r="R368" s="140"/>
      <c r="S368" s="140"/>
      <c r="T368" s="140"/>
      <c r="U368" s="353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50"/>
      <c r="AF368" s="150"/>
      <c r="AG368" s="140"/>
    </row>
    <row r="369" spans="10:33" s="27" customFormat="1" ht="17.25" customHeight="1">
      <c r="J369" s="28"/>
      <c r="R369" s="140"/>
      <c r="S369" s="140"/>
      <c r="T369" s="140"/>
      <c r="U369" s="353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50"/>
      <c r="AF369" s="150"/>
      <c r="AG369" s="140"/>
    </row>
    <row r="370" spans="10:33" s="27" customFormat="1" ht="17.25" customHeight="1">
      <c r="J370" s="28"/>
      <c r="R370" s="140"/>
      <c r="S370" s="140"/>
      <c r="T370" s="140"/>
      <c r="U370" s="353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50"/>
      <c r="AF370" s="150"/>
      <c r="AG370" s="140"/>
    </row>
    <row r="371" spans="10:33" s="27" customFormat="1" ht="17.25" customHeight="1">
      <c r="J371" s="28"/>
      <c r="R371" s="140"/>
      <c r="S371" s="140"/>
      <c r="T371" s="140"/>
      <c r="U371" s="353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50"/>
      <c r="AF371" s="150"/>
      <c r="AG371" s="140"/>
    </row>
    <row r="372" spans="10:33" s="27" customFormat="1" ht="17.25" customHeight="1">
      <c r="J372" s="28"/>
      <c r="R372" s="140"/>
      <c r="S372" s="140"/>
      <c r="T372" s="140"/>
      <c r="U372" s="353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50"/>
      <c r="AF372" s="150"/>
      <c r="AG372" s="140"/>
    </row>
    <row r="373" spans="10:33" s="27" customFormat="1" ht="17.25" customHeight="1">
      <c r="J373" s="28"/>
      <c r="R373" s="140"/>
      <c r="S373" s="140"/>
      <c r="T373" s="140"/>
      <c r="U373" s="353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50"/>
      <c r="AF373" s="150"/>
      <c r="AG373" s="140"/>
    </row>
    <row r="374" spans="10:33" s="27" customFormat="1" ht="17.25" customHeight="1">
      <c r="J374" s="28"/>
      <c r="R374" s="140"/>
      <c r="S374" s="140"/>
      <c r="T374" s="140"/>
      <c r="U374" s="353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50"/>
      <c r="AF374" s="150"/>
      <c r="AG374" s="140"/>
    </row>
    <row r="375" spans="10:33" s="27" customFormat="1" ht="17.25" customHeight="1">
      <c r="J375" s="28"/>
      <c r="R375" s="140"/>
      <c r="S375" s="140"/>
      <c r="T375" s="140"/>
      <c r="U375" s="353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50"/>
      <c r="AF375" s="150"/>
      <c r="AG375" s="140"/>
    </row>
    <row r="376" spans="10:33" s="27" customFormat="1" ht="17.25" customHeight="1">
      <c r="J376" s="28"/>
      <c r="R376" s="140"/>
      <c r="S376" s="140"/>
      <c r="T376" s="140"/>
      <c r="U376" s="353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50"/>
      <c r="AF376" s="150"/>
      <c r="AG376" s="140"/>
    </row>
    <row r="377" spans="10:33" s="27" customFormat="1" ht="17.25" customHeight="1">
      <c r="J377" s="28"/>
      <c r="R377" s="140"/>
      <c r="S377" s="140"/>
      <c r="T377" s="140"/>
      <c r="U377" s="353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50"/>
      <c r="AF377" s="150"/>
      <c r="AG377" s="140"/>
    </row>
    <row r="378" spans="10:33" s="27" customFormat="1" ht="17.25" customHeight="1">
      <c r="J378" s="28"/>
      <c r="R378" s="140"/>
      <c r="S378" s="140"/>
      <c r="T378" s="140"/>
      <c r="U378" s="353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50"/>
      <c r="AF378" s="150"/>
      <c r="AG378" s="140"/>
    </row>
    <row r="379" spans="10:33" s="27" customFormat="1" ht="17.25" customHeight="1">
      <c r="J379" s="28"/>
      <c r="R379" s="140"/>
      <c r="S379" s="140"/>
      <c r="T379" s="140"/>
      <c r="U379" s="353"/>
      <c r="V379" s="140"/>
      <c r="W379" s="140"/>
      <c r="X379" s="140"/>
      <c r="Y379" s="140"/>
      <c r="Z379" s="140"/>
      <c r="AA379" s="140"/>
      <c r="AB379" s="140"/>
      <c r="AC379" s="140"/>
      <c r="AD379" s="140"/>
      <c r="AE379" s="150"/>
      <c r="AF379" s="150"/>
      <c r="AG379" s="140"/>
    </row>
    <row r="380" spans="10:33" s="27" customFormat="1" ht="17.25" customHeight="1">
      <c r="J380" s="28"/>
      <c r="R380" s="140"/>
      <c r="S380" s="140"/>
      <c r="T380" s="140"/>
      <c r="U380" s="353"/>
      <c r="V380" s="140"/>
      <c r="W380" s="140"/>
      <c r="X380" s="140"/>
      <c r="Y380" s="140"/>
      <c r="Z380" s="140"/>
      <c r="AA380" s="140"/>
      <c r="AB380" s="140"/>
      <c r="AC380" s="140"/>
      <c r="AD380" s="140"/>
      <c r="AE380" s="150"/>
      <c r="AF380" s="150"/>
      <c r="AG380" s="140"/>
    </row>
    <row r="381" spans="10:33" s="27" customFormat="1" ht="17.25" customHeight="1">
      <c r="J381" s="28"/>
      <c r="R381" s="140"/>
      <c r="S381" s="140"/>
      <c r="T381" s="140"/>
      <c r="U381" s="353"/>
      <c r="V381" s="140"/>
      <c r="W381" s="140"/>
      <c r="X381" s="140"/>
      <c r="Y381" s="140"/>
      <c r="Z381" s="140"/>
      <c r="AA381" s="140"/>
      <c r="AB381" s="140"/>
      <c r="AC381" s="140"/>
      <c r="AD381" s="140"/>
      <c r="AE381" s="150"/>
      <c r="AF381" s="150"/>
      <c r="AG381" s="140"/>
    </row>
    <row r="382" spans="10:33" s="27" customFormat="1" ht="17.25" customHeight="1">
      <c r="J382" s="28"/>
      <c r="R382" s="140"/>
      <c r="S382" s="140"/>
      <c r="T382" s="140"/>
      <c r="U382" s="353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50"/>
      <c r="AF382" s="150"/>
      <c r="AG382" s="140"/>
    </row>
    <row r="383" spans="10:33" s="27" customFormat="1" ht="17.25" customHeight="1">
      <c r="J383" s="28"/>
      <c r="R383" s="140"/>
      <c r="S383" s="140"/>
      <c r="T383" s="140"/>
      <c r="U383" s="353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50"/>
      <c r="AF383" s="150"/>
      <c r="AG383" s="140"/>
    </row>
    <row r="384" spans="10:33" s="27" customFormat="1" ht="17.25" customHeight="1">
      <c r="J384" s="28"/>
      <c r="R384" s="140"/>
      <c r="S384" s="140"/>
      <c r="T384" s="140"/>
      <c r="U384" s="353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50"/>
      <c r="AF384" s="150"/>
      <c r="AG384" s="140"/>
    </row>
    <row r="385" spans="10:33" s="27" customFormat="1" ht="17.25" customHeight="1">
      <c r="J385" s="28"/>
      <c r="R385" s="140"/>
      <c r="S385" s="140"/>
      <c r="T385" s="140"/>
      <c r="U385" s="353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50"/>
      <c r="AF385" s="150"/>
      <c r="AG385" s="140"/>
    </row>
    <row r="386" spans="10:33" s="27" customFormat="1" ht="17.25" customHeight="1">
      <c r="J386" s="28"/>
      <c r="R386" s="140"/>
      <c r="S386" s="140"/>
      <c r="T386" s="140"/>
      <c r="U386" s="353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50"/>
      <c r="AF386" s="150"/>
      <c r="AG386" s="140"/>
    </row>
    <row r="387" spans="10:33" s="27" customFormat="1" ht="17.25" customHeight="1">
      <c r="J387" s="28"/>
      <c r="R387" s="140"/>
      <c r="S387" s="140"/>
      <c r="T387" s="140"/>
      <c r="U387" s="353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50"/>
      <c r="AF387" s="150"/>
      <c r="AG387" s="140"/>
    </row>
    <row r="388" spans="10:33" s="27" customFormat="1" ht="17.25" customHeight="1">
      <c r="J388" s="28"/>
      <c r="R388" s="140"/>
      <c r="S388" s="140"/>
      <c r="T388" s="140"/>
      <c r="U388" s="353"/>
      <c r="V388" s="140"/>
      <c r="W388" s="140"/>
      <c r="X388" s="140"/>
      <c r="Y388" s="140"/>
      <c r="Z388" s="140"/>
      <c r="AA388" s="140"/>
      <c r="AB388" s="140"/>
      <c r="AC388" s="140"/>
      <c r="AD388" s="140"/>
      <c r="AE388" s="150"/>
      <c r="AF388" s="150"/>
      <c r="AG388" s="140"/>
    </row>
    <row r="389" spans="10:33" s="27" customFormat="1" ht="17.25" customHeight="1">
      <c r="J389" s="28"/>
      <c r="R389" s="140"/>
      <c r="S389" s="140"/>
      <c r="T389" s="140"/>
      <c r="U389" s="353"/>
      <c r="V389" s="140"/>
      <c r="W389" s="140"/>
      <c r="X389" s="140"/>
      <c r="Y389" s="140"/>
      <c r="Z389" s="140"/>
      <c r="AA389" s="140"/>
      <c r="AB389" s="140"/>
      <c r="AC389" s="140"/>
      <c r="AD389" s="140"/>
      <c r="AE389" s="150"/>
      <c r="AF389" s="150"/>
      <c r="AG389" s="140"/>
    </row>
    <row r="390" spans="10:33" s="27" customFormat="1" ht="17.25" customHeight="1">
      <c r="J390" s="28"/>
      <c r="R390" s="140"/>
      <c r="S390" s="140"/>
      <c r="T390" s="140"/>
      <c r="U390" s="353"/>
      <c r="V390" s="140"/>
      <c r="W390" s="140"/>
      <c r="X390" s="140"/>
      <c r="Y390" s="140"/>
      <c r="Z390" s="140"/>
      <c r="AA390" s="140"/>
      <c r="AB390" s="140"/>
      <c r="AC390" s="140"/>
      <c r="AD390" s="140"/>
      <c r="AE390" s="150"/>
      <c r="AF390" s="150"/>
      <c r="AG390" s="140"/>
    </row>
    <row r="391" spans="10:33" s="27" customFormat="1" ht="17.25" customHeight="1">
      <c r="J391" s="28"/>
      <c r="R391" s="140"/>
      <c r="S391" s="140"/>
      <c r="T391" s="140"/>
      <c r="U391" s="353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50"/>
      <c r="AF391" s="150"/>
      <c r="AG391" s="140"/>
    </row>
    <row r="392" spans="10:33" s="27" customFormat="1" ht="17.25" customHeight="1">
      <c r="J392" s="28"/>
      <c r="R392" s="140"/>
      <c r="S392" s="140"/>
      <c r="T392" s="140"/>
      <c r="U392" s="353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50"/>
      <c r="AF392" s="150"/>
      <c r="AG392" s="140"/>
    </row>
    <row r="393" spans="10:33" s="27" customFormat="1" ht="17.25" customHeight="1">
      <c r="J393" s="28"/>
      <c r="R393" s="140"/>
      <c r="S393" s="140"/>
      <c r="T393" s="140"/>
      <c r="U393" s="353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50"/>
      <c r="AF393" s="150"/>
      <c r="AG393" s="140"/>
    </row>
    <row r="394" spans="10:33" s="27" customFormat="1" ht="17.25" customHeight="1">
      <c r="J394" s="28"/>
      <c r="R394" s="140"/>
      <c r="S394" s="140"/>
      <c r="T394" s="140"/>
      <c r="U394" s="353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50"/>
      <c r="AF394" s="150"/>
      <c r="AG394" s="140"/>
    </row>
    <row r="395" spans="10:33" s="27" customFormat="1" ht="17.25" customHeight="1">
      <c r="J395" s="28"/>
      <c r="R395" s="140"/>
      <c r="S395" s="140"/>
      <c r="T395" s="140"/>
      <c r="U395" s="353"/>
      <c r="V395" s="140"/>
      <c r="W395" s="140"/>
      <c r="X395" s="140"/>
      <c r="Y395" s="140"/>
      <c r="Z395" s="140"/>
      <c r="AA395" s="140"/>
      <c r="AB395" s="140"/>
      <c r="AC395" s="140"/>
      <c r="AD395" s="140"/>
      <c r="AE395" s="150"/>
      <c r="AF395" s="150"/>
      <c r="AG395" s="140"/>
    </row>
    <row r="396" spans="10:33" s="27" customFormat="1" ht="17.25" customHeight="1">
      <c r="J396" s="28"/>
      <c r="R396" s="140"/>
      <c r="S396" s="140"/>
      <c r="T396" s="140"/>
      <c r="U396" s="353"/>
      <c r="V396" s="140"/>
      <c r="W396" s="140"/>
      <c r="X396" s="140"/>
      <c r="Y396" s="140"/>
      <c r="Z396" s="140"/>
      <c r="AA396" s="140"/>
      <c r="AB396" s="140"/>
      <c r="AC396" s="140"/>
      <c r="AD396" s="140"/>
      <c r="AE396" s="150"/>
      <c r="AF396" s="150"/>
      <c r="AG396" s="140"/>
    </row>
    <row r="397" spans="10:33" s="27" customFormat="1" ht="17.25" customHeight="1">
      <c r="J397" s="28"/>
      <c r="R397" s="140"/>
      <c r="S397" s="140"/>
      <c r="T397" s="140"/>
      <c r="U397" s="353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50"/>
      <c r="AF397" s="150"/>
      <c r="AG397" s="140"/>
    </row>
    <row r="398" spans="10:33" s="27" customFormat="1" ht="17.25" customHeight="1">
      <c r="J398" s="28"/>
      <c r="R398" s="140"/>
      <c r="S398" s="140"/>
      <c r="T398" s="140"/>
      <c r="U398" s="353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50"/>
      <c r="AF398" s="150"/>
      <c r="AG398" s="140"/>
    </row>
    <row r="399" spans="10:33" s="27" customFormat="1" ht="17.25" customHeight="1">
      <c r="J399" s="28"/>
      <c r="R399" s="140"/>
      <c r="S399" s="140"/>
      <c r="T399" s="140"/>
      <c r="U399" s="353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50"/>
      <c r="AF399" s="150"/>
      <c r="AG399" s="140"/>
    </row>
    <row r="400" spans="10:33" s="27" customFormat="1" ht="17.25" customHeight="1">
      <c r="J400" s="28"/>
      <c r="R400" s="140"/>
      <c r="S400" s="140"/>
      <c r="T400" s="140"/>
      <c r="U400" s="353"/>
      <c r="V400" s="140"/>
      <c r="W400" s="140"/>
      <c r="X400" s="140"/>
      <c r="Y400" s="140"/>
      <c r="Z400" s="140"/>
      <c r="AA400" s="140"/>
      <c r="AB400" s="140"/>
      <c r="AC400" s="140"/>
      <c r="AD400" s="140"/>
      <c r="AE400" s="150"/>
      <c r="AF400" s="150"/>
      <c r="AG400" s="140"/>
    </row>
    <row r="401" spans="10:33" s="27" customFormat="1" ht="17.25" customHeight="1">
      <c r="J401" s="28"/>
      <c r="R401" s="140"/>
      <c r="S401" s="140"/>
      <c r="T401" s="140"/>
      <c r="U401" s="353"/>
      <c r="V401" s="140"/>
      <c r="W401" s="140"/>
      <c r="X401" s="140"/>
      <c r="Y401" s="140"/>
      <c r="Z401" s="140"/>
      <c r="AA401" s="140"/>
      <c r="AB401" s="140"/>
      <c r="AC401" s="140"/>
      <c r="AD401" s="140"/>
      <c r="AE401" s="150"/>
      <c r="AF401" s="150"/>
      <c r="AG401" s="140"/>
    </row>
    <row r="402" spans="10:33" s="27" customFormat="1" ht="17.25" customHeight="1">
      <c r="J402" s="28"/>
      <c r="R402" s="140"/>
      <c r="S402" s="140"/>
      <c r="T402" s="140"/>
      <c r="U402" s="353"/>
      <c r="V402" s="140"/>
      <c r="W402" s="140"/>
      <c r="X402" s="140"/>
      <c r="Y402" s="140"/>
      <c r="Z402" s="140"/>
      <c r="AA402" s="140"/>
      <c r="AB402" s="140"/>
      <c r="AC402" s="140"/>
      <c r="AD402" s="140"/>
      <c r="AE402" s="150"/>
      <c r="AF402" s="150"/>
      <c r="AG402" s="140"/>
    </row>
    <row r="403" spans="10:33" s="27" customFormat="1" ht="17.25" customHeight="1">
      <c r="J403" s="28"/>
      <c r="R403" s="140"/>
      <c r="S403" s="140"/>
      <c r="T403" s="140"/>
      <c r="U403" s="353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50"/>
      <c r="AF403" s="150"/>
      <c r="AG403" s="140"/>
    </row>
    <row r="404" spans="10:33" s="27" customFormat="1" ht="17.25" customHeight="1">
      <c r="J404" s="28"/>
      <c r="R404" s="140"/>
      <c r="S404" s="140"/>
      <c r="T404" s="140"/>
      <c r="U404" s="353"/>
      <c r="V404" s="140"/>
      <c r="W404" s="140"/>
      <c r="X404" s="140"/>
      <c r="Y404" s="140"/>
      <c r="Z404" s="140"/>
      <c r="AA404" s="140"/>
      <c r="AB404" s="140"/>
      <c r="AC404" s="140"/>
      <c r="AD404" s="140"/>
      <c r="AE404" s="150"/>
      <c r="AF404" s="150"/>
      <c r="AG404" s="140"/>
    </row>
    <row r="405" spans="10:33" s="27" customFormat="1" ht="17.25" customHeight="1">
      <c r="J405" s="28"/>
      <c r="R405" s="140"/>
      <c r="S405" s="140"/>
      <c r="T405" s="140"/>
      <c r="U405" s="353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50"/>
      <c r="AF405" s="150"/>
      <c r="AG405" s="140"/>
    </row>
    <row r="406" spans="10:33" s="27" customFormat="1" ht="17.25" customHeight="1">
      <c r="J406" s="28"/>
      <c r="R406" s="140"/>
      <c r="S406" s="140"/>
      <c r="T406" s="140"/>
      <c r="U406" s="353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50"/>
      <c r="AF406" s="150"/>
      <c r="AG406" s="140"/>
    </row>
    <row r="407" spans="10:33" s="27" customFormat="1" ht="17.25" customHeight="1">
      <c r="J407" s="28"/>
      <c r="R407" s="140"/>
      <c r="S407" s="140"/>
      <c r="T407" s="140"/>
      <c r="U407" s="353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50"/>
      <c r="AF407" s="150"/>
      <c r="AG407" s="140"/>
    </row>
    <row r="408" spans="10:33" s="27" customFormat="1" ht="17.25" customHeight="1">
      <c r="J408" s="28"/>
      <c r="R408" s="140"/>
      <c r="S408" s="140"/>
      <c r="T408" s="140"/>
      <c r="U408" s="353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50"/>
      <c r="AF408" s="150"/>
      <c r="AG408" s="140"/>
    </row>
    <row r="409" spans="10:33" s="27" customFormat="1" ht="17.25" customHeight="1">
      <c r="J409" s="28"/>
      <c r="R409" s="140"/>
      <c r="S409" s="140"/>
      <c r="T409" s="140"/>
      <c r="U409" s="353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50"/>
      <c r="AF409" s="150"/>
      <c r="AG409" s="140"/>
    </row>
    <row r="410" spans="10:33" s="27" customFormat="1" ht="17.25" customHeight="1">
      <c r="J410" s="28"/>
      <c r="R410" s="140"/>
      <c r="S410" s="140"/>
      <c r="T410" s="140"/>
      <c r="U410" s="353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50"/>
      <c r="AF410" s="150"/>
      <c r="AG410" s="140"/>
    </row>
    <row r="411" spans="10:33" s="27" customFormat="1" ht="17.25" customHeight="1">
      <c r="J411" s="28"/>
      <c r="R411" s="140"/>
      <c r="S411" s="140"/>
      <c r="T411" s="140"/>
      <c r="U411" s="353"/>
      <c r="V411" s="140"/>
      <c r="W411" s="140"/>
      <c r="X411" s="140"/>
      <c r="Y411" s="140"/>
      <c r="Z411" s="140"/>
      <c r="AA411" s="140"/>
      <c r="AB411" s="140"/>
      <c r="AC411" s="140"/>
      <c r="AD411" s="140"/>
      <c r="AE411" s="150"/>
      <c r="AF411" s="150"/>
      <c r="AG411" s="140"/>
    </row>
    <row r="412" spans="10:33" s="27" customFormat="1" ht="17.25" customHeight="1">
      <c r="J412" s="28"/>
      <c r="R412" s="140"/>
      <c r="S412" s="140"/>
      <c r="T412" s="140"/>
      <c r="U412" s="353"/>
      <c r="V412" s="140"/>
      <c r="W412" s="140"/>
      <c r="X412" s="140"/>
      <c r="Y412" s="140"/>
      <c r="Z412" s="140"/>
      <c r="AA412" s="140"/>
      <c r="AB412" s="140"/>
      <c r="AC412" s="140"/>
      <c r="AD412" s="140"/>
      <c r="AE412" s="150"/>
      <c r="AF412" s="150"/>
      <c r="AG412" s="140"/>
    </row>
    <row r="413" spans="10:33" s="27" customFormat="1" ht="17.25" customHeight="1">
      <c r="J413" s="28"/>
      <c r="R413" s="140"/>
      <c r="S413" s="140"/>
      <c r="T413" s="140"/>
      <c r="U413" s="353"/>
      <c r="V413" s="140"/>
      <c r="W413" s="140"/>
      <c r="X413" s="140"/>
      <c r="Y413" s="140"/>
      <c r="Z413" s="140"/>
      <c r="AA413" s="140"/>
      <c r="AB413" s="140"/>
      <c r="AC413" s="140"/>
      <c r="AD413" s="140"/>
      <c r="AE413" s="150"/>
      <c r="AF413" s="150"/>
      <c r="AG413" s="140"/>
    </row>
    <row r="414" spans="10:33" s="27" customFormat="1" ht="17.25" customHeight="1">
      <c r="J414" s="28"/>
      <c r="R414" s="140"/>
      <c r="S414" s="140"/>
      <c r="T414" s="140"/>
      <c r="U414" s="353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50"/>
      <c r="AF414" s="150"/>
      <c r="AG414" s="140"/>
    </row>
    <row r="415" spans="10:33" s="27" customFormat="1" ht="13.5">
      <c r="J415" s="28"/>
      <c r="R415" s="140"/>
      <c r="S415" s="140"/>
      <c r="T415" s="140"/>
      <c r="U415" s="353"/>
      <c r="V415" s="140"/>
      <c r="W415" s="140"/>
      <c r="X415" s="140"/>
      <c r="Y415" s="140"/>
      <c r="Z415" s="140"/>
      <c r="AA415" s="140"/>
      <c r="AB415" s="140"/>
      <c r="AC415" s="140"/>
      <c r="AD415" s="140"/>
      <c r="AE415" s="150"/>
      <c r="AF415" s="150"/>
      <c r="AG415" s="140"/>
    </row>
    <row r="416" spans="10:33" s="27" customFormat="1" ht="13.5">
      <c r="J416" s="28"/>
      <c r="R416" s="140"/>
      <c r="S416" s="140"/>
      <c r="T416" s="140"/>
      <c r="U416" s="353"/>
      <c r="V416" s="140"/>
      <c r="W416" s="140"/>
      <c r="X416" s="140"/>
      <c r="Y416" s="140"/>
      <c r="Z416" s="140"/>
      <c r="AA416" s="140"/>
      <c r="AB416" s="140"/>
      <c r="AC416" s="140"/>
      <c r="AD416" s="140"/>
      <c r="AE416" s="150"/>
      <c r="AF416" s="150"/>
      <c r="AG416" s="140"/>
    </row>
    <row r="417" spans="10:33" s="27" customFormat="1" ht="13.5">
      <c r="J417" s="28"/>
      <c r="R417" s="140"/>
      <c r="S417" s="140"/>
      <c r="T417" s="140"/>
      <c r="U417" s="353"/>
      <c r="V417" s="140"/>
      <c r="W417" s="140"/>
      <c r="X417" s="140"/>
      <c r="Y417" s="140"/>
      <c r="Z417" s="140"/>
      <c r="AA417" s="140"/>
      <c r="AB417" s="140"/>
      <c r="AC417" s="140"/>
      <c r="AD417" s="140"/>
      <c r="AE417" s="150"/>
      <c r="AF417" s="150"/>
      <c r="AG417" s="140"/>
    </row>
    <row r="418" spans="10:33" s="27" customFormat="1" ht="13.5">
      <c r="J418" s="28"/>
      <c r="R418" s="140"/>
      <c r="S418" s="140"/>
      <c r="T418" s="140"/>
      <c r="U418" s="353"/>
      <c r="V418" s="140"/>
      <c r="W418" s="140"/>
      <c r="X418" s="140"/>
      <c r="Y418" s="140"/>
      <c r="Z418" s="140"/>
      <c r="AA418" s="140"/>
      <c r="AB418" s="140"/>
      <c r="AC418" s="140"/>
      <c r="AD418" s="140"/>
      <c r="AE418" s="150"/>
      <c r="AF418" s="150"/>
      <c r="AG418" s="140"/>
    </row>
    <row r="419" spans="10:33" s="27" customFormat="1" ht="13.5">
      <c r="J419" s="28"/>
      <c r="R419" s="140"/>
      <c r="S419" s="140"/>
      <c r="T419" s="140"/>
      <c r="U419" s="353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50"/>
      <c r="AF419" s="150"/>
      <c r="AG419" s="140"/>
    </row>
    <row r="420" spans="10:33" s="27" customFormat="1" ht="13.5">
      <c r="J420" s="28"/>
      <c r="R420" s="140"/>
      <c r="S420" s="140"/>
      <c r="T420" s="140"/>
      <c r="U420" s="353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50"/>
      <c r="AF420" s="150"/>
      <c r="AG420" s="140"/>
    </row>
    <row r="421" spans="10:33" s="27" customFormat="1" ht="13.5">
      <c r="J421" s="28"/>
      <c r="R421" s="140"/>
      <c r="S421" s="140"/>
      <c r="T421" s="140"/>
      <c r="U421" s="353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50"/>
      <c r="AF421" s="150"/>
      <c r="AG421" s="140"/>
    </row>
    <row r="422" spans="10:33" s="27" customFormat="1" ht="13.5">
      <c r="J422" s="28"/>
      <c r="R422" s="140"/>
      <c r="S422" s="140"/>
      <c r="T422" s="140"/>
      <c r="U422" s="353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50"/>
      <c r="AF422" s="150"/>
      <c r="AG422" s="140"/>
    </row>
    <row r="423" spans="10:33" s="27" customFormat="1" ht="13.5">
      <c r="J423" s="28"/>
      <c r="R423" s="140"/>
      <c r="S423" s="140"/>
      <c r="T423" s="140"/>
      <c r="U423" s="353"/>
      <c r="V423" s="140"/>
      <c r="W423" s="140"/>
      <c r="X423" s="140"/>
      <c r="Y423" s="140"/>
      <c r="Z423" s="140"/>
      <c r="AA423" s="140"/>
      <c r="AB423" s="140"/>
      <c r="AC423" s="140"/>
      <c r="AD423" s="140"/>
      <c r="AE423" s="150"/>
      <c r="AF423" s="150"/>
      <c r="AG423" s="140"/>
    </row>
    <row r="424" spans="10:33" s="27" customFormat="1" ht="13.5">
      <c r="J424" s="28"/>
      <c r="R424" s="140"/>
      <c r="S424" s="140"/>
      <c r="T424" s="140"/>
      <c r="U424" s="353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50"/>
      <c r="AF424" s="150"/>
      <c r="AG424" s="140"/>
    </row>
    <row r="425" spans="10:33" s="27" customFormat="1" ht="13.5">
      <c r="J425" s="28"/>
      <c r="R425" s="140"/>
      <c r="S425" s="140"/>
      <c r="T425" s="140"/>
      <c r="U425" s="353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50"/>
      <c r="AF425" s="150"/>
      <c r="AG425" s="140"/>
    </row>
    <row r="426" spans="10:33" s="27" customFormat="1" ht="13.5">
      <c r="J426" s="28"/>
      <c r="R426" s="140"/>
      <c r="S426" s="140"/>
      <c r="T426" s="140"/>
      <c r="U426" s="353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50"/>
      <c r="AF426" s="150"/>
      <c r="AG426" s="140"/>
    </row>
    <row r="427" spans="10:33" s="27" customFormat="1" ht="13.5">
      <c r="J427" s="28"/>
      <c r="R427" s="140"/>
      <c r="S427" s="140"/>
      <c r="T427" s="140"/>
      <c r="U427" s="353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50"/>
      <c r="AF427" s="150"/>
      <c r="AG427" s="140"/>
    </row>
    <row r="428" spans="10:33" s="27" customFormat="1" ht="13.5">
      <c r="J428" s="28"/>
      <c r="R428" s="140"/>
      <c r="S428" s="140"/>
      <c r="T428" s="140"/>
      <c r="U428" s="353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50"/>
      <c r="AF428" s="150"/>
      <c r="AG428" s="140"/>
    </row>
    <row r="429" spans="10:33" s="27" customFormat="1" ht="13.5">
      <c r="J429" s="28"/>
      <c r="R429" s="140"/>
      <c r="S429" s="140"/>
      <c r="T429" s="140"/>
      <c r="U429" s="353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50"/>
      <c r="AF429" s="150"/>
      <c r="AG429" s="140"/>
    </row>
    <row r="430" spans="10:33" s="27" customFormat="1" ht="13.5">
      <c r="J430" s="28"/>
      <c r="R430" s="140"/>
      <c r="S430" s="140"/>
      <c r="T430" s="140"/>
      <c r="U430" s="353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50"/>
      <c r="AF430" s="150"/>
      <c r="AG430" s="140"/>
    </row>
    <row r="431" spans="10:33" s="27" customFormat="1" ht="13.5">
      <c r="J431" s="28"/>
      <c r="R431" s="140"/>
      <c r="S431" s="140"/>
      <c r="T431" s="140"/>
      <c r="U431" s="353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50"/>
      <c r="AF431" s="150"/>
      <c r="AG431" s="140"/>
    </row>
    <row r="432" spans="10:33" s="27" customFormat="1" ht="13.5">
      <c r="J432" s="28"/>
      <c r="R432" s="140"/>
      <c r="S432" s="140"/>
      <c r="T432" s="140"/>
      <c r="U432" s="353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50"/>
      <c r="AF432" s="150"/>
      <c r="AG432" s="140"/>
    </row>
    <row r="433" spans="10:33" s="27" customFormat="1" ht="13.5">
      <c r="J433" s="28"/>
      <c r="R433" s="140"/>
      <c r="S433" s="140"/>
      <c r="T433" s="140"/>
      <c r="U433" s="353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50"/>
      <c r="AF433" s="150"/>
      <c r="AG433" s="140"/>
    </row>
    <row r="434" spans="10:33" s="27" customFormat="1" ht="13.5">
      <c r="J434" s="28"/>
      <c r="R434" s="140"/>
      <c r="S434" s="140"/>
      <c r="T434" s="140"/>
      <c r="U434" s="353"/>
      <c r="V434" s="140"/>
      <c r="W434" s="140"/>
      <c r="X434" s="140"/>
      <c r="Y434" s="140"/>
      <c r="Z434" s="140"/>
      <c r="AA434" s="140"/>
      <c r="AB434" s="140"/>
      <c r="AC434" s="140"/>
      <c r="AD434" s="140"/>
      <c r="AE434" s="150"/>
      <c r="AF434" s="150"/>
      <c r="AG434" s="140"/>
    </row>
    <row r="435" spans="10:33" s="27" customFormat="1" ht="13.5">
      <c r="J435" s="28"/>
      <c r="R435" s="140"/>
      <c r="S435" s="140"/>
      <c r="T435" s="140"/>
      <c r="U435" s="353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50"/>
      <c r="AF435" s="150"/>
      <c r="AG435" s="140"/>
    </row>
    <row r="436" spans="10:33" s="27" customFormat="1" ht="13.5">
      <c r="J436" s="28"/>
      <c r="R436" s="140"/>
      <c r="S436" s="140"/>
      <c r="T436" s="140"/>
      <c r="U436" s="353"/>
      <c r="V436" s="140"/>
      <c r="W436" s="140"/>
      <c r="X436" s="140"/>
      <c r="Y436" s="140"/>
      <c r="Z436" s="140"/>
      <c r="AA436" s="140"/>
      <c r="AB436" s="140"/>
      <c r="AC436" s="140"/>
      <c r="AD436" s="140"/>
      <c r="AE436" s="150"/>
      <c r="AF436" s="150"/>
      <c r="AG436" s="140"/>
    </row>
    <row r="437" spans="10:33" s="27" customFormat="1" ht="13.5">
      <c r="J437" s="28"/>
      <c r="R437" s="140"/>
      <c r="S437" s="140"/>
      <c r="T437" s="140"/>
      <c r="U437" s="353"/>
      <c r="V437" s="140"/>
      <c r="W437" s="140"/>
      <c r="X437" s="140"/>
      <c r="Y437" s="140"/>
      <c r="Z437" s="140"/>
      <c r="AA437" s="140"/>
      <c r="AB437" s="140"/>
      <c r="AC437" s="140"/>
      <c r="AD437" s="140"/>
      <c r="AE437" s="150"/>
      <c r="AF437" s="150"/>
      <c r="AG437" s="140"/>
    </row>
    <row r="438" spans="10:33" s="27" customFormat="1" ht="13.5">
      <c r="J438" s="28"/>
      <c r="R438" s="140"/>
      <c r="S438" s="140"/>
      <c r="T438" s="140"/>
      <c r="U438" s="353"/>
      <c r="V438" s="140"/>
      <c r="W438" s="140"/>
      <c r="X438" s="140"/>
      <c r="Y438" s="140"/>
      <c r="Z438" s="140"/>
      <c r="AA438" s="140"/>
      <c r="AB438" s="140"/>
      <c r="AC438" s="140"/>
      <c r="AD438" s="140"/>
      <c r="AE438" s="150"/>
      <c r="AF438" s="150"/>
      <c r="AG438" s="140"/>
    </row>
    <row r="439" spans="10:33" s="27" customFormat="1" ht="13.5">
      <c r="J439" s="28"/>
      <c r="R439" s="140"/>
      <c r="S439" s="140"/>
      <c r="T439" s="140"/>
      <c r="U439" s="353"/>
      <c r="V439" s="140"/>
      <c r="W439" s="140"/>
      <c r="X439" s="140"/>
      <c r="Y439" s="140"/>
      <c r="Z439" s="140"/>
      <c r="AA439" s="140"/>
      <c r="AB439" s="140"/>
      <c r="AC439" s="140"/>
      <c r="AD439" s="140"/>
      <c r="AE439" s="150"/>
      <c r="AF439" s="150"/>
      <c r="AG439" s="140"/>
    </row>
    <row r="440" spans="10:33" s="27" customFormat="1" ht="13.5">
      <c r="J440" s="28"/>
      <c r="R440" s="140"/>
      <c r="S440" s="140"/>
      <c r="T440" s="140"/>
      <c r="U440" s="353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50"/>
      <c r="AF440" s="150"/>
      <c r="AG440" s="140"/>
    </row>
    <row r="441" spans="10:33" s="27" customFormat="1" ht="13.5">
      <c r="J441" s="28"/>
      <c r="R441" s="140"/>
      <c r="S441" s="140"/>
      <c r="T441" s="140"/>
      <c r="U441" s="353"/>
      <c r="V441" s="140"/>
      <c r="W441" s="140"/>
      <c r="X441" s="140"/>
      <c r="Y441" s="140"/>
      <c r="Z441" s="140"/>
      <c r="AA441" s="140"/>
      <c r="AB441" s="140"/>
      <c r="AC441" s="140"/>
      <c r="AD441" s="140"/>
      <c r="AE441" s="150"/>
      <c r="AF441" s="150"/>
      <c r="AG441" s="140"/>
    </row>
    <row r="442" spans="10:33" s="27" customFormat="1" ht="13.5">
      <c r="J442" s="28"/>
      <c r="R442" s="140"/>
      <c r="S442" s="140"/>
      <c r="T442" s="140"/>
      <c r="U442" s="353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50"/>
      <c r="AF442" s="150"/>
      <c r="AG442" s="140"/>
    </row>
    <row r="443" spans="10:33" s="27" customFormat="1" ht="13.5">
      <c r="J443" s="28"/>
      <c r="R443" s="140"/>
      <c r="S443" s="140"/>
      <c r="T443" s="140"/>
      <c r="U443" s="353"/>
      <c r="V443" s="140"/>
      <c r="W443" s="140"/>
      <c r="X443" s="140"/>
      <c r="Y443" s="140"/>
      <c r="Z443" s="140"/>
      <c r="AA443" s="140"/>
      <c r="AB443" s="140"/>
      <c r="AC443" s="140"/>
      <c r="AD443" s="140"/>
      <c r="AE443" s="150"/>
      <c r="AF443" s="150"/>
      <c r="AG443" s="140"/>
    </row>
    <row r="444" spans="10:33" s="27" customFormat="1" ht="13.5">
      <c r="J444" s="28"/>
      <c r="R444" s="140"/>
      <c r="S444" s="140"/>
      <c r="T444" s="140"/>
      <c r="U444" s="353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50"/>
      <c r="AF444" s="150"/>
      <c r="AG444" s="140"/>
    </row>
    <row r="445" spans="10:33" s="27" customFormat="1" ht="13.5">
      <c r="J445" s="28"/>
      <c r="R445" s="140"/>
      <c r="S445" s="140"/>
      <c r="T445" s="140"/>
      <c r="U445" s="353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50"/>
      <c r="AF445" s="150"/>
      <c r="AG445" s="140"/>
    </row>
    <row r="446" spans="10:33" s="27" customFormat="1" ht="13.5">
      <c r="J446" s="28"/>
      <c r="R446" s="140"/>
      <c r="S446" s="140"/>
      <c r="T446" s="140"/>
      <c r="U446" s="353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50"/>
      <c r="AF446" s="150"/>
      <c r="AG446" s="140"/>
    </row>
    <row r="447" spans="10:33" s="27" customFormat="1" ht="13.5">
      <c r="J447" s="28"/>
      <c r="R447" s="140"/>
      <c r="S447" s="140"/>
      <c r="T447" s="140"/>
      <c r="U447" s="353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50"/>
      <c r="AF447" s="150"/>
      <c r="AG447" s="140"/>
    </row>
    <row r="448" spans="10:33" s="27" customFormat="1" ht="13.5">
      <c r="J448" s="28"/>
      <c r="R448" s="140"/>
      <c r="S448" s="140"/>
      <c r="T448" s="140"/>
      <c r="U448" s="353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50"/>
      <c r="AF448" s="150"/>
      <c r="AG448" s="140"/>
    </row>
    <row r="449" spans="10:33" s="27" customFormat="1" ht="13.5">
      <c r="J449" s="28"/>
      <c r="R449" s="140"/>
      <c r="S449" s="140"/>
      <c r="T449" s="140"/>
      <c r="U449" s="353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50"/>
      <c r="AF449" s="150"/>
      <c r="AG449" s="140"/>
    </row>
    <row r="450" spans="10:33" s="27" customFormat="1" ht="13.5">
      <c r="J450" s="28"/>
      <c r="R450" s="140"/>
      <c r="S450" s="140"/>
      <c r="T450" s="140"/>
      <c r="U450" s="353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50"/>
      <c r="AF450" s="150"/>
      <c r="AG450" s="140"/>
    </row>
    <row r="451" spans="10:33" s="27" customFormat="1" ht="13.5">
      <c r="J451" s="28"/>
      <c r="R451" s="140"/>
      <c r="S451" s="140"/>
      <c r="T451" s="140"/>
      <c r="U451" s="353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50"/>
      <c r="AF451" s="150"/>
      <c r="AG451" s="140"/>
    </row>
    <row r="452" spans="10:33" s="27" customFormat="1" ht="13.5">
      <c r="J452" s="28"/>
      <c r="R452" s="140"/>
      <c r="S452" s="140"/>
      <c r="T452" s="140"/>
      <c r="U452" s="353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50"/>
      <c r="AF452" s="150"/>
      <c r="AG452" s="140"/>
    </row>
    <row r="453" spans="10:33" s="27" customFormat="1" ht="13.5">
      <c r="J453" s="28"/>
      <c r="R453" s="140"/>
      <c r="S453" s="140"/>
      <c r="T453" s="140"/>
      <c r="U453" s="353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50"/>
      <c r="AF453" s="150"/>
      <c r="AG453" s="140"/>
    </row>
    <row r="454" spans="10:33" s="27" customFormat="1" ht="13.5">
      <c r="J454" s="28"/>
      <c r="R454" s="140"/>
      <c r="S454" s="140"/>
      <c r="T454" s="140"/>
      <c r="U454" s="353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50"/>
      <c r="AF454" s="150"/>
      <c r="AG454" s="140"/>
    </row>
    <row r="455" spans="10:33" s="27" customFormat="1" ht="13.5">
      <c r="J455" s="28"/>
      <c r="R455" s="140"/>
      <c r="S455" s="140"/>
      <c r="T455" s="140"/>
      <c r="U455" s="353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50"/>
      <c r="AF455" s="150"/>
      <c r="AG455" s="140"/>
    </row>
    <row r="456" spans="10:33" s="27" customFormat="1" ht="13.5">
      <c r="J456" s="28"/>
      <c r="R456" s="140"/>
      <c r="S456" s="140"/>
      <c r="T456" s="140"/>
      <c r="U456" s="353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50"/>
      <c r="AF456" s="150"/>
      <c r="AG456" s="140"/>
    </row>
    <row r="457" spans="10:33" s="27" customFormat="1" ht="13.5">
      <c r="J457" s="28"/>
      <c r="R457" s="140"/>
      <c r="S457" s="140"/>
      <c r="T457" s="140"/>
      <c r="U457" s="353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50"/>
      <c r="AF457" s="150"/>
      <c r="AG457" s="140"/>
    </row>
    <row r="458" spans="10:33" s="27" customFormat="1" ht="13.5">
      <c r="J458" s="28"/>
      <c r="R458" s="140"/>
      <c r="S458" s="140"/>
      <c r="T458" s="140"/>
      <c r="U458" s="353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50"/>
      <c r="AF458" s="150"/>
      <c r="AG458" s="140"/>
    </row>
    <row r="459" spans="10:33" s="27" customFormat="1" ht="13.5">
      <c r="J459" s="28"/>
      <c r="R459" s="140"/>
      <c r="S459" s="140"/>
      <c r="T459" s="140"/>
      <c r="U459" s="353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50"/>
      <c r="AF459" s="150"/>
      <c r="AG459" s="140"/>
    </row>
    <row r="460" spans="10:33" s="27" customFormat="1" ht="13.5">
      <c r="J460" s="28"/>
      <c r="R460" s="140"/>
      <c r="S460" s="140"/>
      <c r="T460" s="140"/>
      <c r="U460" s="353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50"/>
      <c r="AF460" s="150"/>
      <c r="AG460" s="140"/>
    </row>
    <row r="461" spans="10:33" s="27" customFormat="1" ht="13.5">
      <c r="J461" s="28"/>
      <c r="R461" s="140"/>
      <c r="S461" s="140"/>
      <c r="T461" s="140"/>
      <c r="U461" s="353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50"/>
      <c r="AF461" s="150"/>
      <c r="AG461" s="140"/>
    </row>
    <row r="462" spans="10:33" s="27" customFormat="1" ht="13.5">
      <c r="J462" s="28"/>
      <c r="R462" s="140"/>
      <c r="S462" s="140"/>
      <c r="T462" s="140"/>
      <c r="U462" s="353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50"/>
      <c r="AF462" s="150"/>
      <c r="AG462" s="140"/>
    </row>
    <row r="463" spans="10:33" s="27" customFormat="1" ht="13.5">
      <c r="J463" s="28"/>
      <c r="R463" s="140"/>
      <c r="S463" s="140"/>
      <c r="T463" s="140"/>
      <c r="U463" s="353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</row>
    <row r="464" spans="10:33" s="27" customFormat="1" ht="13.5">
      <c r="J464" s="28"/>
      <c r="R464" s="140"/>
      <c r="S464" s="140"/>
      <c r="T464" s="140"/>
      <c r="U464" s="353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</row>
    <row r="465" spans="10:33" s="27" customFormat="1" ht="13.5">
      <c r="J465" s="28"/>
      <c r="R465" s="140"/>
      <c r="S465" s="140"/>
      <c r="T465" s="140"/>
      <c r="U465" s="353"/>
      <c r="V465" s="140"/>
      <c r="W465" s="140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</row>
    <row r="466" spans="10:33" s="27" customFormat="1" ht="13.5">
      <c r="J466" s="28"/>
      <c r="R466" s="140"/>
      <c r="S466" s="140"/>
      <c r="T466" s="140"/>
      <c r="U466" s="353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</row>
    <row r="467" spans="10:33" s="27" customFormat="1" ht="13.5">
      <c r="J467" s="28"/>
      <c r="R467" s="140"/>
      <c r="S467" s="140"/>
      <c r="T467" s="140"/>
      <c r="U467" s="353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</row>
    <row r="468" spans="10:33" s="27" customFormat="1" ht="13.5">
      <c r="J468" s="28"/>
      <c r="R468" s="140"/>
      <c r="S468" s="140"/>
      <c r="T468" s="140"/>
      <c r="U468" s="353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</row>
    <row r="469" spans="10:33" s="27" customFormat="1" ht="13.5">
      <c r="J469" s="28"/>
      <c r="R469" s="140"/>
      <c r="S469" s="140"/>
      <c r="T469" s="140"/>
      <c r="U469" s="353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</row>
    <row r="470" spans="10:33" s="27" customFormat="1" ht="13.5">
      <c r="J470" s="28"/>
      <c r="R470" s="140"/>
      <c r="S470" s="140"/>
      <c r="T470" s="140"/>
      <c r="U470" s="353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</row>
    <row r="471" spans="10:33" s="27" customFormat="1" ht="13.5">
      <c r="J471" s="28"/>
      <c r="R471" s="140"/>
      <c r="S471" s="140"/>
      <c r="T471" s="140"/>
      <c r="U471" s="353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</row>
    <row r="472" spans="10:33" s="27" customFormat="1" ht="13.5">
      <c r="J472" s="28"/>
      <c r="R472" s="140"/>
      <c r="S472" s="140"/>
      <c r="T472" s="140"/>
      <c r="U472" s="353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</row>
    <row r="473" spans="10:33" s="27" customFormat="1" ht="13.5">
      <c r="J473" s="28"/>
      <c r="R473" s="140"/>
      <c r="S473" s="140"/>
      <c r="T473" s="140"/>
      <c r="U473" s="353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</row>
    <row r="474" spans="10:33" s="27" customFormat="1" ht="13.5">
      <c r="J474" s="28"/>
      <c r="R474" s="140"/>
      <c r="S474" s="140"/>
      <c r="T474" s="140"/>
      <c r="U474" s="353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</row>
    <row r="475" spans="10:33" s="27" customFormat="1" ht="13.5">
      <c r="J475" s="28"/>
      <c r="R475" s="140"/>
      <c r="S475" s="140"/>
      <c r="T475" s="140"/>
      <c r="U475" s="353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</row>
    <row r="476" spans="10:33" s="27" customFormat="1" ht="13.5">
      <c r="J476" s="28"/>
      <c r="R476" s="140"/>
      <c r="S476" s="140"/>
      <c r="T476" s="140"/>
      <c r="U476" s="353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</row>
    <row r="477" spans="10:33" s="27" customFormat="1" ht="13.5">
      <c r="J477" s="28"/>
      <c r="R477" s="140"/>
      <c r="S477" s="140"/>
      <c r="T477" s="140"/>
      <c r="U477" s="353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</row>
    <row r="478" spans="10:33" s="27" customFormat="1" ht="13.5">
      <c r="J478" s="28"/>
      <c r="R478" s="140"/>
      <c r="S478" s="140"/>
      <c r="T478" s="140"/>
      <c r="U478" s="353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</row>
    <row r="479" spans="10:33" s="27" customFormat="1" ht="13.5">
      <c r="J479" s="28"/>
      <c r="R479" s="140"/>
      <c r="S479" s="140"/>
      <c r="T479" s="140"/>
      <c r="U479" s="353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</row>
    <row r="480" spans="10:33" s="27" customFormat="1" ht="13.5">
      <c r="J480" s="28"/>
      <c r="R480" s="140"/>
      <c r="S480" s="140"/>
      <c r="T480" s="140"/>
      <c r="U480" s="353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</row>
    <row r="481" spans="10:33" s="27" customFormat="1" ht="13.5">
      <c r="J481" s="28"/>
      <c r="R481" s="140"/>
      <c r="S481" s="140"/>
      <c r="T481" s="140"/>
      <c r="U481" s="353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</row>
    <row r="482" spans="10:33" s="27" customFormat="1" ht="13.5">
      <c r="J482" s="28"/>
      <c r="R482" s="140"/>
      <c r="S482" s="140"/>
      <c r="T482" s="140"/>
      <c r="U482" s="353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</row>
    <row r="483" spans="10:33" s="27" customFormat="1" ht="13.5">
      <c r="J483" s="28"/>
      <c r="R483" s="140"/>
      <c r="S483" s="140"/>
      <c r="T483" s="140"/>
      <c r="U483" s="353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</row>
    <row r="484" spans="10:33" s="27" customFormat="1" ht="13.5">
      <c r="J484" s="28"/>
      <c r="R484" s="140"/>
      <c r="S484" s="140"/>
      <c r="T484" s="140"/>
      <c r="U484" s="353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</row>
    <row r="485" spans="10:33" s="27" customFormat="1" ht="13.5">
      <c r="J485" s="28"/>
      <c r="R485" s="140"/>
      <c r="S485" s="140"/>
      <c r="T485" s="140"/>
      <c r="U485" s="353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</row>
    <row r="486" spans="10:33" s="27" customFormat="1" ht="13.5">
      <c r="J486" s="28"/>
      <c r="R486" s="140"/>
      <c r="S486" s="140"/>
      <c r="T486" s="140"/>
      <c r="U486" s="353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</row>
    <row r="487" spans="10:33" s="27" customFormat="1" ht="13.5">
      <c r="J487" s="28"/>
      <c r="R487" s="140"/>
      <c r="S487" s="140"/>
      <c r="T487" s="140"/>
      <c r="U487" s="353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</row>
    <row r="488" spans="10:33" s="27" customFormat="1" ht="13.5">
      <c r="J488" s="28"/>
      <c r="R488" s="140"/>
      <c r="S488" s="140"/>
      <c r="T488" s="140"/>
      <c r="U488" s="353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</row>
    <row r="489" spans="10:33" s="27" customFormat="1" ht="13.5">
      <c r="J489" s="28"/>
      <c r="R489" s="140"/>
      <c r="S489" s="140"/>
      <c r="T489" s="140"/>
      <c r="U489" s="353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</row>
    <row r="490" spans="10:33" s="27" customFormat="1" ht="13.5">
      <c r="J490" s="28"/>
      <c r="R490" s="140"/>
      <c r="S490" s="140"/>
      <c r="T490" s="140"/>
      <c r="U490" s="353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</row>
    <row r="491" spans="10:33" s="27" customFormat="1" ht="13.5">
      <c r="J491" s="28"/>
      <c r="R491" s="140"/>
      <c r="S491" s="140"/>
      <c r="T491" s="140"/>
      <c r="U491" s="353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</row>
    <row r="492" spans="10:33" s="27" customFormat="1" ht="13.5">
      <c r="J492" s="28"/>
      <c r="R492" s="140"/>
      <c r="S492" s="140"/>
      <c r="T492" s="140"/>
      <c r="U492" s="353"/>
      <c r="V492" s="140"/>
      <c r="W492" s="140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</row>
    <row r="493" spans="10:33" s="27" customFormat="1" ht="13.5">
      <c r="J493" s="28"/>
      <c r="R493" s="140"/>
      <c r="S493" s="140"/>
      <c r="T493" s="140"/>
      <c r="U493" s="353"/>
      <c r="V493" s="140"/>
      <c r="W493" s="140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</row>
    <row r="494" spans="10:33" s="27" customFormat="1" ht="13.5">
      <c r="J494" s="28"/>
      <c r="R494" s="140"/>
      <c r="S494" s="140"/>
      <c r="T494" s="140"/>
      <c r="U494" s="353"/>
      <c r="V494" s="140"/>
      <c r="W494" s="140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</row>
    <row r="495" spans="10:33" s="27" customFormat="1" ht="13.5">
      <c r="J495" s="28"/>
      <c r="R495" s="140"/>
      <c r="S495" s="140"/>
      <c r="T495" s="140"/>
      <c r="U495" s="353"/>
      <c r="V495" s="140"/>
      <c r="W495" s="140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</row>
    <row r="496" spans="10:33" s="27" customFormat="1" ht="13.5">
      <c r="J496" s="28"/>
      <c r="R496" s="140"/>
      <c r="S496" s="140"/>
      <c r="T496" s="140"/>
      <c r="U496" s="353"/>
      <c r="V496" s="140"/>
      <c r="W496" s="140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</row>
    <row r="497" spans="10:33" s="27" customFormat="1" ht="13.5">
      <c r="J497" s="28"/>
      <c r="R497" s="140"/>
      <c r="S497" s="140"/>
      <c r="T497" s="140"/>
      <c r="U497" s="353"/>
      <c r="V497" s="140"/>
      <c r="W497" s="140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</row>
    <row r="498" spans="10:33" s="27" customFormat="1" ht="13.5">
      <c r="J498" s="28"/>
      <c r="R498" s="140"/>
      <c r="S498" s="140"/>
      <c r="T498" s="140"/>
      <c r="U498" s="353"/>
      <c r="V498" s="140"/>
      <c r="W498" s="140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</row>
    <row r="499" spans="10:33" s="27" customFormat="1" ht="13.5">
      <c r="J499" s="28"/>
      <c r="R499" s="140"/>
      <c r="S499" s="140"/>
      <c r="T499" s="140"/>
      <c r="U499" s="353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</row>
    <row r="500" spans="10:33" s="27" customFormat="1" ht="13.5">
      <c r="J500" s="28"/>
      <c r="R500" s="140"/>
      <c r="S500" s="140"/>
      <c r="T500" s="140"/>
      <c r="U500" s="353"/>
      <c r="V500" s="140"/>
      <c r="W500" s="140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</row>
    <row r="501" spans="10:33" s="27" customFormat="1" ht="13.5">
      <c r="J501" s="28"/>
      <c r="R501" s="140"/>
      <c r="S501" s="140"/>
      <c r="T501" s="140"/>
      <c r="U501" s="353"/>
      <c r="V501" s="140"/>
      <c r="W501" s="140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</row>
    <row r="502" spans="10:33" s="27" customFormat="1" ht="13.5">
      <c r="J502" s="28"/>
      <c r="R502" s="140"/>
      <c r="S502" s="140"/>
      <c r="T502" s="140"/>
      <c r="U502" s="353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</row>
    <row r="503" spans="10:33" s="27" customFormat="1" ht="13.5">
      <c r="J503" s="28"/>
      <c r="R503" s="140"/>
      <c r="S503" s="140"/>
      <c r="T503" s="140"/>
      <c r="U503" s="353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</row>
    <row r="504" spans="10:33" s="27" customFormat="1" ht="13.5">
      <c r="J504" s="28"/>
      <c r="R504" s="140"/>
      <c r="S504" s="140"/>
      <c r="T504" s="140"/>
      <c r="U504" s="353"/>
      <c r="V504" s="140"/>
      <c r="W504" s="140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</row>
    <row r="505" spans="10:33" s="27" customFormat="1" ht="13.5">
      <c r="J505" s="28"/>
      <c r="R505" s="140"/>
      <c r="S505" s="140"/>
      <c r="T505" s="140"/>
      <c r="U505" s="353"/>
      <c r="V505" s="140"/>
      <c r="W505" s="140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</row>
    <row r="506" spans="10:33" s="27" customFormat="1" ht="13.5">
      <c r="J506" s="28"/>
      <c r="R506" s="140"/>
      <c r="S506" s="140"/>
      <c r="T506" s="140"/>
      <c r="U506" s="353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</row>
    <row r="507" spans="10:33" s="27" customFormat="1" ht="13.5">
      <c r="J507" s="28"/>
      <c r="R507" s="140"/>
      <c r="S507" s="140"/>
      <c r="T507" s="140"/>
      <c r="U507" s="353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</row>
    <row r="508" spans="10:33" s="27" customFormat="1" ht="13.5">
      <c r="J508" s="28"/>
      <c r="R508" s="140"/>
      <c r="S508" s="140"/>
      <c r="T508" s="140"/>
      <c r="U508" s="353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</row>
    <row r="509" spans="10:33" s="27" customFormat="1" ht="13.5">
      <c r="J509" s="28"/>
      <c r="R509" s="140"/>
      <c r="S509" s="140"/>
      <c r="T509" s="140"/>
      <c r="U509" s="353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</row>
    <row r="510" spans="10:33" s="27" customFormat="1" ht="13.5">
      <c r="J510" s="28"/>
      <c r="R510" s="140"/>
      <c r="S510" s="140"/>
      <c r="T510" s="140"/>
      <c r="U510" s="353"/>
      <c r="V510" s="140"/>
      <c r="W510" s="140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</row>
    <row r="511" spans="10:33" s="27" customFormat="1" ht="13.5">
      <c r="J511" s="28"/>
      <c r="R511" s="140"/>
      <c r="S511" s="140"/>
      <c r="T511" s="140"/>
      <c r="U511" s="353"/>
      <c r="V511" s="140"/>
      <c r="W511" s="140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</row>
    <row r="512" spans="10:33" s="27" customFormat="1" ht="13.5">
      <c r="J512" s="28"/>
      <c r="R512" s="140"/>
      <c r="S512" s="140"/>
      <c r="T512" s="140"/>
      <c r="U512" s="353"/>
      <c r="V512" s="140"/>
      <c r="W512" s="140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</row>
    <row r="513" spans="10:33" s="27" customFormat="1" ht="13.5">
      <c r="J513" s="28"/>
      <c r="R513" s="140"/>
      <c r="S513" s="140"/>
      <c r="T513" s="140"/>
      <c r="U513" s="353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</row>
    <row r="514" spans="10:33" s="27" customFormat="1" ht="13.5">
      <c r="J514" s="28"/>
      <c r="R514" s="140"/>
      <c r="S514" s="140"/>
      <c r="T514" s="140"/>
      <c r="U514" s="353"/>
      <c r="V514" s="140"/>
      <c r="W514" s="140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</row>
    <row r="515" spans="10:33" s="27" customFormat="1" ht="13.5">
      <c r="J515" s="28"/>
      <c r="R515" s="140"/>
      <c r="S515" s="140"/>
      <c r="T515" s="140"/>
      <c r="U515" s="353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</row>
    <row r="516" spans="10:33" s="27" customFormat="1" ht="13.5">
      <c r="J516" s="28"/>
      <c r="R516" s="140"/>
      <c r="S516" s="140"/>
      <c r="T516" s="140"/>
      <c r="U516" s="353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</row>
    <row r="517" spans="10:33" s="27" customFormat="1" ht="13.5">
      <c r="J517" s="28"/>
      <c r="R517" s="140"/>
      <c r="S517" s="140"/>
      <c r="T517" s="140"/>
      <c r="U517" s="353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</row>
    <row r="518" spans="10:33" s="27" customFormat="1" ht="13.5">
      <c r="J518" s="28"/>
      <c r="R518" s="140"/>
      <c r="S518" s="140"/>
      <c r="T518" s="140"/>
      <c r="U518" s="353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</row>
    <row r="519" spans="10:33" s="27" customFormat="1" ht="13.5">
      <c r="J519" s="28"/>
      <c r="R519" s="140"/>
      <c r="S519" s="140"/>
      <c r="T519" s="140"/>
      <c r="U519" s="353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</row>
    <row r="520" spans="10:33" s="27" customFormat="1" ht="13.5">
      <c r="J520" s="28"/>
      <c r="R520" s="140"/>
      <c r="S520" s="140"/>
      <c r="T520" s="140"/>
      <c r="U520" s="353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</row>
    <row r="521" spans="10:33" s="27" customFormat="1" ht="13.5">
      <c r="J521" s="28"/>
      <c r="R521" s="140"/>
      <c r="S521" s="140"/>
      <c r="T521" s="140"/>
      <c r="U521" s="353"/>
      <c r="V521" s="140"/>
      <c r="W521" s="140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</row>
    <row r="522" spans="10:33" s="27" customFormat="1" ht="13.5">
      <c r="J522" s="28"/>
      <c r="R522" s="140"/>
      <c r="S522" s="140"/>
      <c r="T522" s="140"/>
      <c r="U522" s="353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</row>
    <row r="523" spans="10:33" s="27" customFormat="1" ht="13.5">
      <c r="J523" s="28"/>
      <c r="R523" s="140"/>
      <c r="S523" s="140"/>
      <c r="T523" s="140"/>
      <c r="U523" s="353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</row>
    <row r="524" spans="10:33" s="27" customFormat="1" ht="13.5">
      <c r="J524" s="28"/>
      <c r="R524" s="140"/>
      <c r="S524" s="140"/>
      <c r="T524" s="140"/>
      <c r="U524" s="353"/>
      <c r="V524" s="140"/>
      <c r="W524" s="140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</row>
    <row r="525" spans="10:33" s="27" customFormat="1" ht="13.5">
      <c r="J525" s="28"/>
      <c r="R525" s="140"/>
      <c r="S525" s="140"/>
      <c r="T525" s="140"/>
      <c r="U525" s="353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</row>
    <row r="526" spans="10:33" s="27" customFormat="1" ht="13.5">
      <c r="J526" s="28"/>
      <c r="R526" s="140"/>
      <c r="S526" s="140"/>
      <c r="T526" s="140"/>
      <c r="U526" s="353"/>
      <c r="V526" s="140"/>
      <c r="W526" s="140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</row>
    <row r="527" spans="10:33" s="27" customFormat="1" ht="13.5">
      <c r="J527" s="28"/>
      <c r="R527" s="140"/>
      <c r="S527" s="140"/>
      <c r="T527" s="140"/>
      <c r="U527" s="353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</row>
    <row r="528" spans="10:33" s="27" customFormat="1" ht="13.5">
      <c r="J528" s="28"/>
      <c r="R528" s="140"/>
      <c r="S528" s="140"/>
      <c r="T528" s="140"/>
      <c r="U528" s="353"/>
      <c r="V528" s="140"/>
      <c r="W528" s="140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</row>
    <row r="529" spans="10:33" s="27" customFormat="1" ht="13.5">
      <c r="J529" s="28"/>
      <c r="R529" s="140"/>
      <c r="S529" s="140"/>
      <c r="T529" s="140"/>
      <c r="U529" s="353"/>
      <c r="V529" s="140"/>
      <c r="W529" s="140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</row>
    <row r="530" spans="10:33" s="27" customFormat="1" ht="13.5">
      <c r="J530" s="28"/>
      <c r="R530" s="140"/>
      <c r="S530" s="140"/>
      <c r="T530" s="140"/>
      <c r="U530" s="353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</row>
    <row r="531" spans="10:33" s="27" customFormat="1" ht="13.5">
      <c r="J531" s="28"/>
      <c r="R531" s="140"/>
      <c r="S531" s="140"/>
      <c r="T531" s="140"/>
      <c r="U531" s="353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</row>
    <row r="532" spans="10:33" s="27" customFormat="1" ht="13.5">
      <c r="J532" s="28"/>
      <c r="R532" s="140"/>
      <c r="S532" s="140"/>
      <c r="T532" s="140"/>
      <c r="U532" s="353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</row>
    <row r="533" spans="10:33" s="27" customFormat="1" ht="13.5">
      <c r="J533" s="28"/>
      <c r="R533" s="140"/>
      <c r="S533" s="140"/>
      <c r="T533" s="140"/>
      <c r="U533" s="353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</row>
    <row r="534" spans="10:33" s="27" customFormat="1" ht="13.5">
      <c r="J534" s="28"/>
      <c r="R534" s="140"/>
      <c r="S534" s="140"/>
      <c r="T534" s="140"/>
      <c r="U534" s="353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</row>
    <row r="535" spans="10:33" s="27" customFormat="1" ht="13.5">
      <c r="J535" s="28"/>
      <c r="R535" s="140"/>
      <c r="S535" s="140"/>
      <c r="T535" s="140"/>
      <c r="U535" s="353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</row>
    <row r="536" spans="10:33" s="27" customFormat="1" ht="13.5">
      <c r="J536" s="28"/>
      <c r="R536" s="140"/>
      <c r="S536" s="140"/>
      <c r="T536" s="140"/>
      <c r="U536" s="353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</row>
    <row r="537" spans="10:33" s="27" customFormat="1" ht="13.5">
      <c r="J537" s="28"/>
      <c r="R537" s="140"/>
      <c r="S537" s="140"/>
      <c r="T537" s="140"/>
      <c r="U537" s="353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</row>
    <row r="538" spans="10:33" s="27" customFormat="1" ht="13.5">
      <c r="J538" s="28"/>
      <c r="R538" s="140"/>
      <c r="S538" s="140"/>
      <c r="T538" s="140"/>
      <c r="U538" s="353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</row>
    <row r="539" spans="10:33" s="27" customFormat="1" ht="13.5">
      <c r="J539" s="28"/>
      <c r="R539" s="140"/>
      <c r="S539" s="140"/>
      <c r="T539" s="140"/>
      <c r="U539" s="353"/>
      <c r="V539" s="140"/>
      <c r="W539" s="140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</row>
    <row r="540" spans="10:33" s="27" customFormat="1" ht="13.5">
      <c r="J540" s="28"/>
      <c r="R540" s="140"/>
      <c r="S540" s="140"/>
      <c r="T540" s="140"/>
      <c r="U540" s="353"/>
      <c r="V540" s="140"/>
      <c r="W540" s="140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</row>
    <row r="541" spans="10:33" s="27" customFormat="1" ht="13.5">
      <c r="J541" s="28"/>
      <c r="R541" s="140"/>
      <c r="S541" s="140"/>
      <c r="T541" s="140"/>
      <c r="U541" s="353"/>
      <c r="V541" s="140"/>
      <c r="W541" s="140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</row>
    <row r="542" spans="10:33" s="27" customFormat="1" ht="13.5">
      <c r="J542" s="28"/>
      <c r="R542" s="140"/>
      <c r="S542" s="140"/>
      <c r="T542" s="140"/>
      <c r="U542" s="353"/>
      <c r="V542" s="140"/>
      <c r="W542" s="140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</row>
    <row r="543" spans="10:33" s="27" customFormat="1" ht="13.5">
      <c r="J543" s="28"/>
      <c r="R543" s="140"/>
      <c r="S543" s="140"/>
      <c r="T543" s="140"/>
      <c r="U543" s="353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</row>
    <row r="544" spans="10:33" s="27" customFormat="1" ht="13.5">
      <c r="J544" s="28"/>
      <c r="R544" s="140"/>
      <c r="S544" s="140"/>
      <c r="T544" s="140"/>
      <c r="U544" s="353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</row>
    <row r="545" spans="10:33" s="27" customFormat="1" ht="13.5">
      <c r="J545" s="28"/>
      <c r="R545" s="140"/>
      <c r="S545" s="140"/>
      <c r="T545" s="140"/>
      <c r="U545" s="353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</row>
    <row r="546" spans="10:33" s="27" customFormat="1" ht="13.5">
      <c r="J546" s="28"/>
      <c r="R546" s="140"/>
      <c r="S546" s="140"/>
      <c r="T546" s="140"/>
      <c r="U546" s="353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</row>
    <row r="547" spans="10:33" s="27" customFormat="1" ht="13.5">
      <c r="J547" s="28"/>
      <c r="R547" s="140"/>
      <c r="S547" s="140"/>
      <c r="T547" s="140"/>
      <c r="U547" s="353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</row>
    <row r="548" spans="10:33" s="27" customFormat="1" ht="13.5">
      <c r="J548" s="28"/>
      <c r="R548" s="140"/>
      <c r="S548" s="140"/>
      <c r="T548" s="140"/>
      <c r="U548" s="353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</row>
    <row r="549" spans="10:33" s="27" customFormat="1" ht="13.5">
      <c r="J549" s="28"/>
      <c r="R549" s="140"/>
      <c r="S549" s="140"/>
      <c r="T549" s="140"/>
      <c r="U549" s="353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</row>
    <row r="550" spans="10:33" s="27" customFormat="1" ht="13.5">
      <c r="J550" s="28"/>
      <c r="R550" s="140"/>
      <c r="S550" s="140"/>
      <c r="T550" s="140"/>
      <c r="U550" s="353"/>
      <c r="V550" s="140"/>
      <c r="W550" s="140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</row>
    <row r="551" spans="10:33" s="27" customFormat="1" ht="13.5">
      <c r="J551" s="28"/>
      <c r="R551" s="140"/>
      <c r="S551" s="140"/>
      <c r="T551" s="140"/>
      <c r="U551" s="353"/>
      <c r="V551" s="140"/>
      <c r="W551" s="140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</row>
    <row r="552" spans="10:33" s="27" customFormat="1" ht="13.5">
      <c r="J552" s="28"/>
      <c r="R552" s="140"/>
      <c r="S552" s="140"/>
      <c r="T552" s="140"/>
      <c r="U552" s="353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</row>
    <row r="553" spans="10:33" s="27" customFormat="1" ht="13.5">
      <c r="J553" s="28"/>
      <c r="R553" s="140"/>
      <c r="S553" s="140"/>
      <c r="T553" s="140"/>
      <c r="U553" s="353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</row>
    <row r="554" spans="10:33" s="27" customFormat="1" ht="13.5">
      <c r="J554" s="28"/>
      <c r="R554" s="140"/>
      <c r="S554" s="140"/>
      <c r="T554" s="140"/>
      <c r="U554" s="353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</row>
    <row r="555" spans="10:33" s="27" customFormat="1" ht="13.5">
      <c r="J555" s="28"/>
      <c r="R555" s="140"/>
      <c r="S555" s="140"/>
      <c r="T555" s="140"/>
      <c r="U555" s="353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</row>
    <row r="556" spans="10:33" s="27" customFormat="1" ht="13.5">
      <c r="J556" s="28"/>
      <c r="R556" s="140"/>
      <c r="S556" s="140"/>
      <c r="T556" s="140"/>
      <c r="U556" s="353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</row>
    <row r="557" spans="10:33" s="27" customFormat="1" ht="13.5">
      <c r="J557" s="28"/>
      <c r="R557" s="140"/>
      <c r="S557" s="140"/>
      <c r="T557" s="140"/>
      <c r="U557" s="353"/>
      <c r="V557" s="140"/>
      <c r="W557" s="140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</row>
    <row r="558" spans="10:33" s="27" customFormat="1" ht="13.5">
      <c r="J558" s="28"/>
      <c r="R558" s="140"/>
      <c r="S558" s="140"/>
      <c r="T558" s="140"/>
      <c r="U558" s="353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</row>
    <row r="559" spans="10:33" s="27" customFormat="1" ht="13.5">
      <c r="J559" s="28"/>
      <c r="R559" s="140"/>
      <c r="S559" s="140"/>
      <c r="T559" s="140"/>
      <c r="U559" s="353"/>
      <c r="V559" s="140"/>
      <c r="W559" s="140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</row>
    <row r="560" spans="10:33" s="27" customFormat="1" ht="13.5">
      <c r="J560" s="28"/>
      <c r="R560" s="140"/>
      <c r="S560" s="140"/>
      <c r="T560" s="140"/>
      <c r="U560" s="353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</row>
    <row r="561" spans="10:33" s="27" customFormat="1" ht="13.5">
      <c r="J561" s="28"/>
      <c r="R561" s="140"/>
      <c r="S561" s="140"/>
      <c r="T561" s="140"/>
      <c r="U561" s="353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</row>
    <row r="562" spans="10:33" s="27" customFormat="1" ht="13.5">
      <c r="J562" s="28"/>
      <c r="R562" s="140"/>
      <c r="S562" s="140"/>
      <c r="T562" s="140"/>
      <c r="U562" s="353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</row>
    <row r="563" spans="10:33" s="27" customFormat="1" ht="13.5">
      <c r="J563" s="28"/>
      <c r="R563" s="140"/>
      <c r="S563" s="140"/>
      <c r="T563" s="140"/>
      <c r="U563" s="353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</row>
    <row r="564" spans="10:33" s="27" customFormat="1" ht="13.5">
      <c r="J564" s="28"/>
      <c r="R564" s="140"/>
      <c r="S564" s="140"/>
      <c r="T564" s="140"/>
      <c r="U564" s="353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</row>
    <row r="565" spans="10:33" s="27" customFormat="1" ht="13.5">
      <c r="J565" s="28"/>
      <c r="R565" s="140"/>
      <c r="S565" s="140"/>
      <c r="T565" s="140"/>
      <c r="U565" s="353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</row>
    <row r="566" spans="10:33" s="27" customFormat="1" ht="13.5">
      <c r="J566" s="28"/>
      <c r="R566" s="140"/>
      <c r="S566" s="140"/>
      <c r="T566" s="140"/>
      <c r="U566" s="353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</row>
    <row r="567" spans="10:33" s="27" customFormat="1" ht="13.5">
      <c r="J567" s="28"/>
      <c r="R567" s="140"/>
      <c r="S567" s="140"/>
      <c r="T567" s="140"/>
      <c r="U567" s="353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</row>
    <row r="568" spans="10:33" s="27" customFormat="1" ht="13.5">
      <c r="J568" s="28"/>
      <c r="R568" s="140"/>
      <c r="S568" s="140"/>
      <c r="T568" s="140"/>
      <c r="U568" s="353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</row>
    <row r="569" spans="10:33" s="27" customFormat="1" ht="13.5">
      <c r="J569" s="28"/>
      <c r="R569" s="140"/>
      <c r="S569" s="140"/>
      <c r="T569" s="140"/>
      <c r="U569" s="353"/>
      <c r="V569" s="140"/>
      <c r="W569" s="140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</row>
    <row r="570" spans="10:33" s="27" customFormat="1" ht="13.5">
      <c r="J570" s="28"/>
      <c r="R570" s="140"/>
      <c r="S570" s="140"/>
      <c r="T570" s="140"/>
      <c r="U570" s="353"/>
      <c r="V570" s="140"/>
      <c r="W570" s="140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</row>
    <row r="571" spans="10:33" s="27" customFormat="1" ht="13.5">
      <c r="J571" s="28"/>
      <c r="R571" s="140"/>
      <c r="S571" s="140"/>
      <c r="T571" s="140"/>
      <c r="U571" s="353"/>
      <c r="V571" s="140"/>
      <c r="W571" s="140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</row>
    <row r="572" spans="10:33" s="27" customFormat="1" ht="13.5">
      <c r="J572" s="28"/>
      <c r="R572" s="140"/>
      <c r="S572" s="140"/>
      <c r="T572" s="140"/>
      <c r="U572" s="353"/>
      <c r="V572" s="140"/>
      <c r="W572" s="140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</row>
    <row r="573" spans="10:33" s="27" customFormat="1" ht="13.5">
      <c r="J573" s="28"/>
      <c r="R573" s="140"/>
      <c r="S573" s="140"/>
      <c r="T573" s="140"/>
      <c r="U573" s="353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</row>
    <row r="574" spans="10:33" s="27" customFormat="1" ht="13.5">
      <c r="J574" s="28"/>
      <c r="R574" s="140"/>
      <c r="S574" s="140"/>
      <c r="T574" s="140"/>
      <c r="U574" s="353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</row>
    <row r="575" spans="10:33" s="27" customFormat="1" ht="13.5">
      <c r="J575" s="28"/>
      <c r="R575" s="140"/>
      <c r="S575" s="140"/>
      <c r="T575" s="140"/>
      <c r="U575" s="353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</row>
    <row r="576" spans="10:33" s="27" customFormat="1" ht="13.5">
      <c r="J576" s="28"/>
      <c r="R576" s="140"/>
      <c r="S576" s="140"/>
      <c r="T576" s="140"/>
      <c r="U576" s="353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</row>
    <row r="577" spans="10:33" s="27" customFormat="1" ht="13.5">
      <c r="J577" s="28"/>
      <c r="R577" s="140"/>
      <c r="S577" s="140"/>
      <c r="T577" s="140"/>
      <c r="U577" s="353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</row>
    <row r="578" spans="10:33" s="27" customFormat="1" ht="13.5">
      <c r="J578" s="28"/>
      <c r="R578" s="140"/>
      <c r="S578" s="140"/>
      <c r="T578" s="140"/>
      <c r="U578" s="353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</row>
    <row r="579" spans="10:33" s="27" customFormat="1" ht="13.5">
      <c r="J579" s="28"/>
      <c r="R579" s="140"/>
      <c r="S579" s="140"/>
      <c r="T579" s="140"/>
      <c r="U579" s="353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</row>
    <row r="580" spans="10:33" s="27" customFormat="1" ht="13.5">
      <c r="J580" s="28"/>
      <c r="R580" s="140"/>
      <c r="S580" s="140"/>
      <c r="T580" s="140"/>
      <c r="U580" s="353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</row>
    <row r="581" spans="10:33" s="27" customFormat="1" ht="13.5">
      <c r="J581" s="28"/>
      <c r="R581" s="140"/>
      <c r="S581" s="140"/>
      <c r="T581" s="140"/>
      <c r="U581" s="353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</row>
    <row r="582" spans="10:33" s="27" customFormat="1" ht="13.5">
      <c r="J582" s="28"/>
      <c r="R582" s="140"/>
      <c r="S582" s="140"/>
      <c r="T582" s="140"/>
      <c r="U582" s="353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</row>
    <row r="583" spans="10:33" s="27" customFormat="1" ht="13.5">
      <c r="J583" s="28"/>
      <c r="R583" s="140"/>
      <c r="S583" s="140"/>
      <c r="T583" s="140"/>
      <c r="U583" s="353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</row>
    <row r="584" spans="10:33" s="27" customFormat="1" ht="13.5">
      <c r="J584" s="28"/>
      <c r="R584" s="140"/>
      <c r="S584" s="140"/>
      <c r="T584" s="140"/>
      <c r="U584" s="353"/>
      <c r="V584" s="140"/>
      <c r="W584" s="140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</row>
    <row r="585" spans="10:33" s="27" customFormat="1" ht="13.5">
      <c r="J585" s="28"/>
      <c r="R585" s="140"/>
      <c r="S585" s="140"/>
      <c r="T585" s="140"/>
      <c r="U585" s="353"/>
      <c r="V585" s="140"/>
      <c r="W585" s="140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</row>
    <row r="586" spans="10:33" s="27" customFormat="1" ht="13.5">
      <c r="J586" s="28"/>
      <c r="R586" s="140"/>
      <c r="S586" s="140"/>
      <c r="T586" s="140"/>
      <c r="U586" s="353"/>
      <c r="V586" s="140"/>
      <c r="W586" s="140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</row>
    <row r="587" spans="10:33" s="27" customFormat="1" ht="13.5">
      <c r="J587" s="28"/>
      <c r="R587" s="140"/>
      <c r="S587" s="140"/>
      <c r="T587" s="140"/>
      <c r="U587" s="353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</row>
    <row r="588" spans="10:33" s="27" customFormat="1" ht="13.5">
      <c r="J588" s="28"/>
      <c r="R588" s="140"/>
      <c r="S588" s="140"/>
      <c r="T588" s="140"/>
      <c r="U588" s="353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</row>
    <row r="589" spans="10:33" s="27" customFormat="1" ht="13.5">
      <c r="J589" s="28"/>
      <c r="R589" s="140"/>
      <c r="S589" s="140"/>
      <c r="T589" s="140"/>
      <c r="U589" s="353"/>
      <c r="V589" s="140"/>
      <c r="W589" s="140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</row>
    <row r="590" spans="10:33" s="27" customFormat="1" ht="13.5">
      <c r="J590" s="28"/>
      <c r="R590" s="140"/>
      <c r="S590" s="140"/>
      <c r="T590" s="140"/>
      <c r="U590" s="353"/>
      <c r="V590" s="140"/>
      <c r="W590" s="140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</row>
    <row r="591" spans="10:33" s="27" customFormat="1" ht="13.5">
      <c r="J591" s="28"/>
      <c r="R591" s="140"/>
      <c r="S591" s="140"/>
      <c r="T591" s="140"/>
      <c r="U591" s="353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</row>
    <row r="592" spans="10:33" s="27" customFormat="1" ht="13.5">
      <c r="J592" s="28"/>
      <c r="R592" s="140"/>
      <c r="S592" s="140"/>
      <c r="T592" s="140"/>
      <c r="U592" s="353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</row>
    <row r="593" spans="10:33" s="27" customFormat="1" ht="13.5">
      <c r="J593" s="28"/>
      <c r="R593" s="140"/>
      <c r="S593" s="140"/>
      <c r="T593" s="140"/>
      <c r="U593" s="353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</row>
    <row r="594" spans="10:33" s="27" customFormat="1" ht="13.5">
      <c r="J594" s="28"/>
      <c r="R594" s="140"/>
      <c r="S594" s="140"/>
      <c r="T594" s="140"/>
      <c r="U594" s="353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</row>
    <row r="595" spans="10:33" s="27" customFormat="1" ht="13.5">
      <c r="J595" s="28"/>
      <c r="R595" s="140"/>
      <c r="S595" s="140"/>
      <c r="T595" s="140"/>
      <c r="U595" s="353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</row>
    <row r="596" spans="10:33" s="27" customFormat="1" ht="13.5">
      <c r="J596" s="28"/>
      <c r="R596" s="140"/>
      <c r="S596" s="140"/>
      <c r="T596" s="140"/>
      <c r="U596" s="353"/>
      <c r="V596" s="140"/>
      <c r="W596" s="140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</row>
    <row r="597" spans="10:33" s="27" customFormat="1" ht="13.5">
      <c r="J597" s="28"/>
      <c r="R597" s="140"/>
      <c r="S597" s="140"/>
      <c r="T597" s="140"/>
      <c r="U597" s="353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</row>
    <row r="598" spans="10:33" s="27" customFormat="1" ht="13.5">
      <c r="J598" s="28"/>
      <c r="R598" s="140"/>
      <c r="S598" s="140"/>
      <c r="T598" s="140"/>
      <c r="U598" s="353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</row>
    <row r="599" spans="10:33" s="27" customFormat="1" ht="13.5">
      <c r="J599" s="28"/>
      <c r="R599" s="140"/>
      <c r="S599" s="140"/>
      <c r="T599" s="140"/>
      <c r="U599" s="353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</row>
    <row r="600" spans="10:33" s="27" customFormat="1" ht="13.5">
      <c r="J600" s="28"/>
      <c r="R600" s="140"/>
      <c r="S600" s="140"/>
      <c r="T600" s="140"/>
      <c r="U600" s="353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</row>
    <row r="601" spans="10:33" s="27" customFormat="1" ht="13.5">
      <c r="J601" s="28"/>
      <c r="R601" s="140"/>
      <c r="S601" s="140"/>
      <c r="T601" s="140"/>
      <c r="U601" s="353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</row>
    <row r="602" spans="10:33" s="27" customFormat="1" ht="13.5">
      <c r="J602" s="28"/>
      <c r="R602" s="140"/>
      <c r="S602" s="140"/>
      <c r="T602" s="140"/>
      <c r="U602" s="353"/>
      <c r="V602" s="140"/>
      <c r="W602" s="140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</row>
    <row r="603" spans="10:33" s="27" customFormat="1" ht="13.5">
      <c r="J603" s="28"/>
      <c r="R603" s="140"/>
      <c r="S603" s="140"/>
      <c r="T603" s="140"/>
      <c r="U603" s="353"/>
      <c r="V603" s="140"/>
      <c r="W603" s="140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</row>
    <row r="604" spans="10:33" s="27" customFormat="1" ht="13.5">
      <c r="J604" s="28"/>
      <c r="R604" s="140"/>
      <c r="S604" s="140"/>
      <c r="T604" s="140"/>
      <c r="U604" s="353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</row>
    <row r="605" spans="10:33" s="27" customFormat="1" ht="13.5">
      <c r="J605" s="28"/>
      <c r="R605" s="140"/>
      <c r="S605" s="140"/>
      <c r="T605" s="140"/>
      <c r="U605" s="353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</row>
    <row r="606" spans="10:33" s="27" customFormat="1" ht="13.5">
      <c r="J606" s="28"/>
      <c r="R606" s="140"/>
      <c r="S606" s="140"/>
      <c r="T606" s="140"/>
      <c r="U606" s="353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</row>
    <row r="607" spans="10:33" s="27" customFormat="1" ht="13.5">
      <c r="J607" s="28"/>
      <c r="R607" s="140"/>
      <c r="S607" s="140"/>
      <c r="T607" s="140"/>
      <c r="U607" s="353"/>
      <c r="V607" s="140"/>
      <c r="W607" s="140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</row>
    <row r="608" spans="10:33" s="27" customFormat="1" ht="13.5">
      <c r="J608" s="28"/>
      <c r="R608" s="140"/>
      <c r="S608" s="140"/>
      <c r="T608" s="140"/>
      <c r="U608" s="353"/>
      <c r="V608" s="140"/>
      <c r="W608" s="140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</row>
    <row r="609" spans="10:33" s="27" customFormat="1" ht="13.5">
      <c r="J609" s="28"/>
      <c r="R609" s="140"/>
      <c r="S609" s="140"/>
      <c r="T609" s="140"/>
      <c r="U609" s="353"/>
      <c r="V609" s="140"/>
      <c r="W609" s="140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</row>
    <row r="610" spans="10:33" s="27" customFormat="1" ht="13.5">
      <c r="J610" s="28"/>
      <c r="L610" s="24"/>
      <c r="M610" s="24"/>
      <c r="N610" s="24"/>
      <c r="O610" s="24"/>
      <c r="R610" s="140"/>
      <c r="S610" s="140"/>
      <c r="T610" s="140"/>
      <c r="U610" s="353"/>
      <c r="V610" s="140"/>
      <c r="W610" s="140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</row>
    <row r="611" spans="10:33" s="27" customFormat="1" ht="13.5">
      <c r="J611" s="28"/>
      <c r="L611" s="24"/>
      <c r="M611" s="24"/>
      <c r="N611" s="24"/>
      <c r="O611" s="24"/>
      <c r="R611" s="140"/>
      <c r="S611" s="140"/>
      <c r="T611" s="140"/>
      <c r="U611" s="353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</row>
    <row r="612" spans="10:33" s="27" customFormat="1" ht="13.5">
      <c r="J612" s="28"/>
      <c r="L612" s="24"/>
      <c r="M612" s="24"/>
      <c r="N612" s="24"/>
      <c r="O612" s="24"/>
      <c r="R612" s="140"/>
      <c r="S612" s="140"/>
      <c r="T612" s="140"/>
      <c r="U612" s="353"/>
      <c r="V612" s="140"/>
      <c r="W612" s="140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</row>
    <row r="613" spans="10:33" s="27" customFormat="1" ht="13.5">
      <c r="J613" s="28"/>
      <c r="L613" s="24"/>
      <c r="M613" s="24"/>
      <c r="N613" s="24"/>
      <c r="O613" s="24"/>
      <c r="R613" s="140"/>
      <c r="S613" s="140"/>
      <c r="T613" s="140"/>
      <c r="U613" s="353"/>
      <c r="V613" s="140"/>
      <c r="W613" s="140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</row>
    <row r="614" spans="10:33" s="27" customFormat="1" ht="13.5">
      <c r="J614" s="28"/>
      <c r="L614" s="24"/>
      <c r="M614" s="24"/>
      <c r="N614" s="24"/>
      <c r="O614" s="24"/>
      <c r="R614" s="140"/>
      <c r="S614" s="140"/>
      <c r="T614" s="140"/>
      <c r="U614" s="353"/>
      <c r="V614" s="140"/>
      <c r="W614" s="140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</row>
    <row r="615" spans="10:33" s="27" customFormat="1" ht="13.5">
      <c r="J615" s="28"/>
      <c r="L615" s="24"/>
      <c r="M615" s="24"/>
      <c r="N615" s="24"/>
      <c r="O615" s="24"/>
      <c r="R615" s="140"/>
      <c r="S615" s="140"/>
      <c r="T615" s="140"/>
      <c r="U615" s="353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</row>
    <row r="616" spans="10:33" s="27" customFormat="1" ht="13.5">
      <c r="J616" s="28"/>
      <c r="L616" s="24"/>
      <c r="M616" s="24"/>
      <c r="N616" s="24"/>
      <c r="O616" s="24"/>
      <c r="R616" s="140"/>
      <c r="S616" s="140"/>
      <c r="T616" s="140"/>
      <c r="U616" s="353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</row>
    <row r="617" spans="10:33" s="27" customFormat="1" ht="13.5">
      <c r="J617" s="28"/>
      <c r="L617" s="24"/>
      <c r="M617" s="24"/>
      <c r="N617" s="24"/>
      <c r="O617" s="24"/>
      <c r="R617" s="140"/>
      <c r="S617" s="140"/>
      <c r="T617" s="140"/>
      <c r="U617" s="353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</row>
    <row r="618" spans="10:33" s="27" customFormat="1" ht="13.5">
      <c r="J618" s="28"/>
      <c r="L618" s="24"/>
      <c r="M618" s="24"/>
      <c r="N618" s="24"/>
      <c r="O618" s="24"/>
      <c r="R618" s="140"/>
      <c r="S618" s="140"/>
      <c r="T618" s="140"/>
      <c r="U618" s="353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</row>
    <row r="619" spans="10:33" s="27" customFormat="1" ht="13.5">
      <c r="J619" s="28"/>
      <c r="L619" s="24"/>
      <c r="M619" s="24"/>
      <c r="N619" s="24"/>
      <c r="O619" s="24"/>
      <c r="R619" s="140"/>
      <c r="S619" s="140"/>
      <c r="T619" s="140"/>
      <c r="U619" s="353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</row>
    <row r="620" spans="10:33" s="27" customFormat="1" ht="13.5">
      <c r="J620" s="28"/>
      <c r="L620" s="24"/>
      <c r="M620" s="24"/>
      <c r="N620" s="24"/>
      <c r="O620" s="24"/>
      <c r="R620" s="140"/>
      <c r="S620" s="140"/>
      <c r="T620" s="140"/>
      <c r="U620" s="353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</row>
    <row r="621" spans="10:33" s="27" customFormat="1" ht="13.5">
      <c r="J621" s="28"/>
      <c r="L621" s="24"/>
      <c r="M621" s="24"/>
      <c r="N621" s="24"/>
      <c r="O621" s="24"/>
      <c r="R621" s="140"/>
      <c r="S621" s="140"/>
      <c r="T621" s="140"/>
      <c r="U621" s="353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</row>
    <row r="622" spans="10:33" s="27" customFormat="1" ht="13.5">
      <c r="J622" s="28"/>
      <c r="L622" s="24"/>
      <c r="M622" s="24"/>
      <c r="N622" s="24"/>
      <c r="O622" s="24"/>
      <c r="Q622" s="24"/>
      <c r="R622" s="140"/>
      <c r="S622" s="140"/>
      <c r="T622" s="140"/>
      <c r="U622" s="353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</row>
    <row r="623" spans="10:33" s="27" customFormat="1" ht="13.5">
      <c r="J623" s="28"/>
      <c r="L623" s="24"/>
      <c r="M623" s="24"/>
      <c r="N623" s="24"/>
      <c r="O623" s="24"/>
      <c r="Q623" s="24"/>
      <c r="R623" s="140"/>
      <c r="S623" s="140"/>
      <c r="T623" s="140"/>
      <c r="U623" s="353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</row>
    <row r="624" spans="10:33" s="27" customFormat="1" ht="13.5">
      <c r="J624" s="28"/>
      <c r="L624" s="24"/>
      <c r="M624" s="24"/>
      <c r="N624" s="24"/>
      <c r="O624" s="24"/>
      <c r="Q624" s="24"/>
      <c r="R624" s="140"/>
      <c r="S624" s="140"/>
      <c r="T624" s="140"/>
      <c r="U624" s="353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</row>
    <row r="625" spans="10:33" s="27" customFormat="1" ht="13.5">
      <c r="J625" s="28"/>
      <c r="L625" s="24"/>
      <c r="M625" s="24"/>
      <c r="N625" s="24"/>
      <c r="O625" s="24"/>
      <c r="Q625" s="24"/>
      <c r="R625" s="140"/>
      <c r="S625" s="140"/>
      <c r="T625" s="140"/>
      <c r="U625" s="353"/>
      <c r="V625" s="140"/>
      <c r="W625" s="140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</row>
    <row r="626" spans="10:33" s="27" customFormat="1" ht="13.5">
      <c r="J626" s="28"/>
      <c r="L626" s="24"/>
      <c r="M626" s="24"/>
      <c r="N626" s="24"/>
      <c r="O626" s="24"/>
      <c r="Q626" s="24"/>
      <c r="R626" s="140"/>
      <c r="S626" s="140"/>
      <c r="T626" s="140"/>
      <c r="U626" s="353"/>
      <c r="V626" s="140"/>
      <c r="W626" s="140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</row>
    <row r="627" spans="10:33" s="27" customFormat="1" ht="13.5">
      <c r="J627" s="28"/>
      <c r="L627" s="24"/>
      <c r="M627" s="24"/>
      <c r="N627" s="24"/>
      <c r="O627" s="24"/>
      <c r="Q627" s="24"/>
      <c r="R627" s="140"/>
      <c r="S627" s="140"/>
      <c r="T627" s="140"/>
      <c r="U627" s="353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</row>
    <row r="628" spans="10:33" s="27" customFormat="1" ht="13.5">
      <c r="J628" s="28"/>
      <c r="L628" s="24"/>
      <c r="M628" s="24"/>
      <c r="N628" s="24"/>
      <c r="O628" s="24"/>
      <c r="Q628" s="24"/>
      <c r="R628" s="140"/>
      <c r="S628" s="140"/>
      <c r="T628" s="140"/>
      <c r="U628" s="353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</row>
    <row r="629" spans="10:33" s="27" customFormat="1" ht="13.5">
      <c r="J629" s="28"/>
      <c r="L629" s="24"/>
      <c r="M629" s="24"/>
      <c r="N629" s="24"/>
      <c r="O629" s="24"/>
      <c r="Q629" s="24"/>
      <c r="R629" s="140"/>
      <c r="S629" s="140"/>
      <c r="T629" s="140"/>
      <c r="U629" s="353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</row>
    <row r="630" spans="10:33" s="27" customFormat="1" ht="13.5">
      <c r="J630" s="28"/>
      <c r="L630" s="24"/>
      <c r="M630" s="24"/>
      <c r="N630" s="24"/>
      <c r="O630" s="24"/>
      <c r="Q630" s="24"/>
      <c r="R630" s="140"/>
      <c r="S630" s="140"/>
      <c r="T630" s="140"/>
      <c r="U630" s="353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</row>
    <row r="631" spans="10:33" s="27" customFormat="1" ht="13.5">
      <c r="J631" s="28"/>
      <c r="L631" s="24"/>
      <c r="M631" s="24"/>
      <c r="N631" s="24"/>
      <c r="O631" s="24"/>
      <c r="Q631" s="24"/>
      <c r="R631" s="140"/>
      <c r="S631" s="140"/>
      <c r="T631" s="140"/>
      <c r="U631" s="353"/>
      <c r="V631" s="140"/>
      <c r="W631" s="140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</row>
    <row r="632" spans="10:33" s="27" customFormat="1" ht="13.5">
      <c r="J632" s="28"/>
      <c r="L632" s="24"/>
      <c r="M632" s="24"/>
      <c r="N632" s="24"/>
      <c r="O632" s="24"/>
      <c r="Q632" s="24"/>
      <c r="R632" s="140"/>
      <c r="S632" s="140"/>
      <c r="T632" s="140"/>
      <c r="U632" s="353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</row>
    <row r="633" spans="10:33" s="27" customFormat="1" ht="13.5">
      <c r="J633" s="28"/>
      <c r="L633" s="24"/>
      <c r="M633" s="24"/>
      <c r="N633" s="24"/>
      <c r="O633" s="24"/>
      <c r="Q633" s="24"/>
      <c r="R633" s="140"/>
      <c r="S633" s="140"/>
      <c r="T633" s="140"/>
      <c r="U633" s="353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</row>
    <row r="634" spans="10:33" s="27" customFormat="1" ht="13.5">
      <c r="J634" s="28"/>
      <c r="L634" s="24"/>
      <c r="M634" s="24"/>
      <c r="N634" s="24"/>
      <c r="O634" s="24"/>
      <c r="Q634" s="24"/>
      <c r="R634" s="140"/>
      <c r="S634" s="140"/>
      <c r="T634" s="140"/>
      <c r="U634" s="353"/>
      <c r="V634" s="140"/>
      <c r="W634" s="140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</row>
    <row r="635" spans="10:33" s="27" customFormat="1" ht="13.5">
      <c r="J635" s="28"/>
      <c r="L635" s="24"/>
      <c r="M635" s="24"/>
      <c r="N635" s="24"/>
      <c r="O635" s="24"/>
      <c r="Q635" s="24"/>
      <c r="R635" s="140"/>
      <c r="S635" s="140"/>
      <c r="T635" s="140"/>
      <c r="U635" s="353"/>
      <c r="V635" s="140"/>
      <c r="W635" s="140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</row>
    <row r="636" spans="10:33" s="27" customFormat="1" ht="13.5">
      <c r="J636" s="28"/>
      <c r="L636" s="24"/>
      <c r="M636" s="24"/>
      <c r="N636" s="24"/>
      <c r="O636" s="24"/>
      <c r="Q636" s="24"/>
      <c r="R636" s="140"/>
      <c r="S636" s="140"/>
      <c r="T636" s="140"/>
      <c r="U636" s="353"/>
      <c r="V636" s="140"/>
      <c r="W636" s="140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</row>
    <row r="637" spans="10:33" s="27" customFormat="1" ht="13.5">
      <c r="J637" s="28"/>
      <c r="L637" s="24"/>
      <c r="M637" s="24"/>
      <c r="N637" s="24"/>
      <c r="O637" s="24"/>
      <c r="Q637" s="24"/>
      <c r="R637" s="140"/>
      <c r="S637" s="140"/>
      <c r="T637" s="140"/>
      <c r="U637" s="353"/>
      <c r="V637" s="140"/>
      <c r="W637" s="140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0"/>
      <c r="S638" s="140"/>
      <c r="T638" s="140"/>
      <c r="U638" s="353"/>
      <c r="V638" s="140"/>
      <c r="W638" s="140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0"/>
      <c r="S639" s="140"/>
      <c r="T639" s="140"/>
      <c r="U639" s="353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0"/>
      <c r="S640" s="140"/>
      <c r="T640" s="140"/>
      <c r="U640" s="353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0"/>
      <c r="S641" s="140"/>
      <c r="T641" s="140"/>
      <c r="U641" s="353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0"/>
      <c r="S642" s="140"/>
      <c r="T642" s="140"/>
      <c r="U642" s="353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0"/>
      <c r="S643" s="140"/>
      <c r="T643" s="140"/>
      <c r="U643" s="353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0"/>
      <c r="S644" s="140"/>
      <c r="T644" s="140"/>
      <c r="U644" s="353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0"/>
      <c r="S645" s="140"/>
      <c r="T645" s="140"/>
      <c r="U645" s="353"/>
      <c r="V645" s="140"/>
      <c r="W645" s="140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0"/>
      <c r="S646" s="140"/>
      <c r="T646" s="140"/>
      <c r="U646" s="353"/>
      <c r="V646" s="140"/>
      <c r="W646" s="140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0"/>
      <c r="S647" s="140"/>
      <c r="T647" s="140"/>
      <c r="U647" s="353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0"/>
      <c r="S648" s="140"/>
      <c r="T648" s="140"/>
      <c r="U648" s="353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0"/>
      <c r="S649" s="140"/>
      <c r="T649" s="140"/>
      <c r="U649" s="353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43" t="s">
        <v>332</v>
      </c>
      <c r="B1" s="243" t="s">
        <v>333</v>
      </c>
      <c r="C1" s="243" t="s">
        <v>334</v>
      </c>
    </row>
    <row r="2" spans="1:3">
      <c r="A2" s="244">
        <v>60</v>
      </c>
      <c r="B2" s="244">
        <v>17</v>
      </c>
      <c r="C2" s="245">
        <v>4.1666666666666664E-2</v>
      </c>
    </row>
    <row r="3" spans="1:3">
      <c r="A3" s="246">
        <v>75</v>
      </c>
      <c r="B3" s="246">
        <v>18</v>
      </c>
      <c r="C3" s="247">
        <v>5.2083333333333336E-2</v>
      </c>
    </row>
    <row r="4" spans="1:3">
      <c r="A4" s="244">
        <v>90</v>
      </c>
      <c r="B4" s="244">
        <v>19</v>
      </c>
      <c r="C4" s="245">
        <v>6.25E-2</v>
      </c>
    </row>
    <row r="5" spans="1:3">
      <c r="A5" s="246">
        <v>105</v>
      </c>
      <c r="B5" s="246">
        <v>20</v>
      </c>
      <c r="C5" s="247">
        <v>7.2916666666666671E-2</v>
      </c>
    </row>
    <row r="6" spans="1:3">
      <c r="A6" s="244">
        <v>120</v>
      </c>
      <c r="B6" s="244">
        <v>21</v>
      </c>
      <c r="C6" s="245">
        <v>8.3333333333333329E-2</v>
      </c>
    </row>
    <row r="7" spans="1:3">
      <c r="A7" s="246">
        <v>140</v>
      </c>
      <c r="B7" s="246">
        <v>22</v>
      </c>
      <c r="C7" s="247">
        <v>9.7222222222222224E-2</v>
      </c>
    </row>
    <row r="8" spans="1:3">
      <c r="A8" s="244">
        <v>160</v>
      </c>
      <c r="B8" s="244">
        <v>23</v>
      </c>
      <c r="C8" s="245">
        <v>0.1111111111111111</v>
      </c>
    </row>
    <row r="9" spans="1:3">
      <c r="A9" s="246">
        <v>180</v>
      </c>
      <c r="B9" s="246">
        <v>24</v>
      </c>
      <c r="C9" s="247">
        <v>0.125</v>
      </c>
    </row>
    <row r="10" spans="1:3">
      <c r="A10" s="244">
        <v>240</v>
      </c>
      <c r="B10" s="244">
        <v>25</v>
      </c>
      <c r="C10" s="245">
        <v>0.16666666666666666</v>
      </c>
    </row>
    <row r="11" spans="1:3">
      <c r="A11" s="246">
        <v>300</v>
      </c>
      <c r="B11" s="246">
        <v>26</v>
      </c>
      <c r="C11" s="247">
        <v>0.20833333333333334</v>
      </c>
    </row>
    <row r="12" spans="1:3">
      <c r="A12" s="244">
        <v>360</v>
      </c>
      <c r="B12" s="244">
        <v>27</v>
      </c>
      <c r="C12" s="245">
        <v>0.25</v>
      </c>
    </row>
    <row r="13" spans="1:3">
      <c r="A13" s="246">
        <v>420</v>
      </c>
      <c r="B13" s="246">
        <v>28</v>
      </c>
      <c r="C13" s="247">
        <v>0.29166666666666669</v>
      </c>
    </row>
    <row r="14" spans="1:3">
      <c r="A14" s="244">
        <v>480</v>
      </c>
      <c r="B14" s="244">
        <v>29</v>
      </c>
      <c r="C14" s="245">
        <v>0.33333333333333331</v>
      </c>
    </row>
    <row r="15" spans="1:3">
      <c r="A15" s="246">
        <v>540</v>
      </c>
      <c r="B15" s="246">
        <v>30</v>
      </c>
      <c r="C15" s="247">
        <v>0.375</v>
      </c>
    </row>
    <row r="16" spans="1:3">
      <c r="A16" s="244">
        <v>600</v>
      </c>
      <c r="B16" s="244">
        <v>31</v>
      </c>
      <c r="C16" s="245">
        <v>0.41666666666666669</v>
      </c>
    </row>
    <row r="17" spans="1:3">
      <c r="A17" s="246">
        <v>660</v>
      </c>
      <c r="B17" s="246">
        <v>32</v>
      </c>
      <c r="C17" s="247">
        <v>0.45833333333333331</v>
      </c>
    </row>
    <row r="18" spans="1:3">
      <c r="A18" s="244">
        <v>720</v>
      </c>
      <c r="B18" s="244">
        <v>33</v>
      </c>
      <c r="C18" s="245">
        <v>0.5</v>
      </c>
    </row>
    <row r="19" spans="1:3">
      <c r="A19" s="246">
        <v>780</v>
      </c>
      <c r="B19" s="246">
        <v>34</v>
      </c>
      <c r="C19" s="247">
        <v>0.54166666666666663</v>
      </c>
    </row>
    <row r="20" spans="1:3">
      <c r="A20" s="244">
        <v>840</v>
      </c>
      <c r="B20" s="244">
        <v>35</v>
      </c>
      <c r="C20" s="245">
        <v>0.58333333333333337</v>
      </c>
    </row>
    <row r="21" spans="1:3">
      <c r="A21" s="246">
        <v>900</v>
      </c>
      <c r="B21" s="246">
        <v>36</v>
      </c>
      <c r="C21" s="247">
        <v>0.625</v>
      </c>
    </row>
    <row r="22" spans="1:3">
      <c r="A22" s="244">
        <v>960</v>
      </c>
      <c r="B22" s="244">
        <v>37</v>
      </c>
      <c r="C22" s="245">
        <v>0.66666666666666663</v>
      </c>
    </row>
    <row r="23" spans="1:3">
      <c r="A23" s="246">
        <v>1020</v>
      </c>
      <c r="B23" s="246">
        <v>38</v>
      </c>
      <c r="C23" s="247">
        <v>0.70833333333333337</v>
      </c>
    </row>
    <row r="24" spans="1:3">
      <c r="A24" s="244">
        <v>1080</v>
      </c>
      <c r="B24" s="244">
        <v>39</v>
      </c>
      <c r="C24" s="245">
        <v>0.75</v>
      </c>
    </row>
    <row r="25" spans="1:3">
      <c r="A25" s="246">
        <v>1140</v>
      </c>
      <c r="B25" s="246">
        <v>40</v>
      </c>
      <c r="C25" s="247">
        <v>0.79166666666666663</v>
      </c>
    </row>
    <row r="26" spans="1:3">
      <c r="A26" s="244">
        <v>1200</v>
      </c>
      <c r="B26" s="244">
        <v>41</v>
      </c>
      <c r="C26" s="245">
        <v>0.83333333333333337</v>
      </c>
    </row>
    <row r="27" spans="1:3">
      <c r="A27" s="246">
        <v>1260</v>
      </c>
      <c r="B27" s="246">
        <v>42</v>
      </c>
      <c r="C27" s="247">
        <v>0.875</v>
      </c>
    </row>
    <row r="28" spans="1:3">
      <c r="A28" s="244">
        <v>1320</v>
      </c>
      <c r="B28" s="244">
        <v>43</v>
      </c>
      <c r="C28" s="245">
        <v>0.91666666666666663</v>
      </c>
    </row>
    <row r="29" spans="1:3">
      <c r="A29" s="246">
        <v>1380</v>
      </c>
      <c r="B29" s="246">
        <v>44</v>
      </c>
      <c r="C29" s="247">
        <v>0.95833333333333337</v>
      </c>
    </row>
    <row r="30" spans="1:3">
      <c r="A30" s="244">
        <v>1440</v>
      </c>
      <c r="B30" s="244">
        <v>45</v>
      </c>
      <c r="C30" s="245">
        <v>1</v>
      </c>
    </row>
    <row r="31" spans="1:3">
      <c r="A31" s="246">
        <v>1500</v>
      </c>
      <c r="B31" s="246">
        <v>46</v>
      </c>
      <c r="C31" s="247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1" zoomScaleNormal="100" zoomScaleSheetLayoutView="85" workbookViewId="0">
      <selection activeCell="G98" sqref="G9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4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32" customWidth="1"/>
    <col min="23" max="23" width="12.375" style="332" customWidth="1"/>
    <col min="24" max="24" width="5.375" style="332" customWidth="1"/>
    <col min="25" max="25" width="8.375" style="332" customWidth="1"/>
    <col min="26" max="26" width="9.875" style="332" customWidth="1"/>
    <col min="27" max="27" width="12.625" style="332" customWidth="1"/>
    <col min="28" max="28" width="6.375" style="333" customWidth="1"/>
    <col min="29" max="29" width="9" style="332" customWidth="1"/>
    <col min="30" max="30" width="8" style="332" customWidth="1"/>
    <col min="31" max="31" width="10.25" style="332" hidden="1" customWidth="1"/>
    <col min="32" max="33" width="10.125" style="332" bestFit="1" customWidth="1"/>
    <col min="34" max="16384" width="9" style="24"/>
  </cols>
  <sheetData>
    <row r="1" spans="1:38" s="27" customFormat="1" ht="31.5" customHeight="1" thickBot="1">
      <c r="A1" s="54" t="s">
        <v>181</v>
      </c>
      <c r="B1" s="55"/>
      <c r="C1" s="55"/>
      <c r="D1" s="55"/>
      <c r="E1" s="55"/>
      <c r="F1" s="55"/>
      <c r="G1" s="55"/>
      <c r="H1" s="55"/>
      <c r="I1" s="55"/>
      <c r="J1" s="55"/>
      <c r="K1" s="117"/>
      <c r="L1" s="35" t="s">
        <v>182</v>
      </c>
      <c r="M1" s="36">
        <f>P1-R1</f>
        <v>-6.6232403948339886</v>
      </c>
      <c r="N1" s="614" t="s">
        <v>183</v>
      </c>
      <c r="O1" s="614"/>
      <c r="P1" s="334">
        <f>StepTest!G41</f>
        <v>25.45</v>
      </c>
      <c r="Q1" s="335" t="s">
        <v>184</v>
      </c>
      <c r="R1" s="336">
        <f>G35</f>
        <v>32.073240394833988</v>
      </c>
      <c r="S1" s="337">
        <f>D7/2000</f>
        <v>0.125</v>
      </c>
      <c r="T1" s="338">
        <v>1.6301789923648391</v>
      </c>
      <c r="U1" s="140"/>
      <c r="V1" s="117" t="s">
        <v>13</v>
      </c>
      <c r="W1" s="117" t="s">
        <v>28</v>
      </c>
      <c r="X1" s="117" t="s">
        <v>158</v>
      </c>
      <c r="Y1" s="117" t="s">
        <v>32</v>
      </c>
      <c r="Z1" s="117" t="s">
        <v>159</v>
      </c>
      <c r="AA1" s="117" t="s">
        <v>39</v>
      </c>
      <c r="AB1" s="118" t="s">
        <v>12</v>
      </c>
      <c r="AC1" s="117" t="s">
        <v>12</v>
      </c>
      <c r="AD1" s="140"/>
      <c r="AE1" s="140"/>
      <c r="AF1" s="140"/>
      <c r="AG1" s="140"/>
    </row>
    <row r="2" spans="1:38" s="27" customFormat="1" ht="21.6" customHeight="1" thickBot="1">
      <c r="A2" s="429" t="str">
        <f>StepTest!A4</f>
        <v>조 사 명</v>
      </c>
      <c r="B2" s="430"/>
      <c r="C2" s="431" t="str">
        <f>StepTest!C4</f>
        <v>벌곡 한삼천등 8지구 소규모수도시설 지하수영향조사 및 사후관리 용역</v>
      </c>
      <c r="D2" s="432"/>
      <c r="E2" s="432"/>
      <c r="F2" s="432"/>
      <c r="G2" s="432"/>
      <c r="H2" s="432"/>
      <c r="I2" s="432"/>
      <c r="J2" s="433"/>
      <c r="K2" s="117"/>
      <c r="N2" s="140"/>
      <c r="O2" s="140" t="s">
        <v>185</v>
      </c>
      <c r="P2" s="339">
        <f>G8</f>
        <v>42.8</v>
      </c>
      <c r="Q2" s="140"/>
      <c r="R2" s="140"/>
      <c r="S2" s="140"/>
      <c r="T2" s="140">
        <v>44</v>
      </c>
      <c r="U2" s="320">
        <f>B10</f>
        <v>150</v>
      </c>
      <c r="V2" s="320">
        <f>U2</f>
        <v>150</v>
      </c>
      <c r="W2" s="507">
        <f>T1</f>
        <v>1.6301789923648391</v>
      </c>
      <c r="X2" s="140">
        <f>StepTest!U4</f>
        <v>0.125</v>
      </c>
      <c r="Y2" s="140">
        <f>Input!A45</f>
        <v>5.0000000000000001E-4</v>
      </c>
      <c r="Z2" s="140">
        <f>E10</f>
        <v>6.9444444444444447E-4</v>
      </c>
      <c r="AA2" s="321">
        <f>D10</f>
        <v>1</v>
      </c>
      <c r="AB2" s="322">
        <f t="shared" ref="AB2:AB65" si="0">AC2+AD$2</f>
        <v>29.444515902142701</v>
      </c>
      <c r="AC2" s="150">
        <f>1.6*V2/(4*PI()*W2)*LOG10((2.25*W2*Z2)/(X2*X2*Y2))</f>
        <v>29.444515902142701</v>
      </c>
      <c r="AD2" s="147">
        <v>0</v>
      </c>
      <c r="AE2" s="321">
        <f>AA2</f>
        <v>1</v>
      </c>
      <c r="AF2" s="150">
        <f t="shared" ref="AF2:AF14" si="1">AC2-$P$3-O3</f>
        <v>2.9256377634303292</v>
      </c>
      <c r="AG2" s="150">
        <f>AC2</f>
        <v>29.444515902142701</v>
      </c>
    </row>
    <row r="3" spans="1:38" s="27" customFormat="1" ht="21.6" customHeight="1">
      <c r="A3" s="434" t="str">
        <f>StepTest!A5</f>
        <v>지 구 명</v>
      </c>
      <c r="B3" s="56"/>
      <c r="C3" s="57" t="str">
        <f>StepTest!C5</f>
        <v>시묘리 352-1</v>
      </c>
      <c r="D3" s="58"/>
      <c r="E3" s="58"/>
      <c r="F3" s="59"/>
      <c r="G3" s="58"/>
      <c r="H3" s="60" t="str">
        <f>StepTest!H5</f>
        <v>공  번 : W - 1</v>
      </c>
      <c r="I3" s="60"/>
      <c r="J3" s="435"/>
      <c r="K3" s="117"/>
      <c r="L3" s="506" t="s">
        <v>48</v>
      </c>
      <c r="M3" s="30">
        <f t="shared" ref="M3:M10" si="2">Q17</f>
        <v>0.8</v>
      </c>
      <c r="N3" s="39"/>
      <c r="O3" s="113">
        <v>-0.80112184173567391</v>
      </c>
      <c r="P3" s="115">
        <v>27.319999980448046</v>
      </c>
      <c r="V3" s="320">
        <f>V2</f>
        <v>150</v>
      </c>
      <c r="W3" s="140">
        <f>W$2</f>
        <v>1.6301789923648391</v>
      </c>
      <c r="X3" s="140">
        <f>X2</f>
        <v>0.125</v>
      </c>
      <c r="Y3" s="140">
        <f>Y$2</f>
        <v>5.0000000000000001E-4</v>
      </c>
      <c r="Z3" s="140">
        <f t="shared" ref="Z3:Z66" si="3">E11</f>
        <v>1.3888888888888889E-3</v>
      </c>
      <c r="AA3" s="321">
        <f t="shared" ref="AA3:AA66" si="4">D11</f>
        <v>2</v>
      </c>
      <c r="AB3" s="322">
        <f t="shared" si="0"/>
        <v>32.971275507308704</v>
      </c>
      <c r="AC3" s="150">
        <f t="shared" ref="AC3:AC33" si="5">1.6*V3/(4*PI()*W3)*LOG10((2.25*W3*Z3)/(X3*X3*Y3))</f>
        <v>32.971275507308704</v>
      </c>
      <c r="AD3" s="150">
        <f>AB69</f>
        <v>62.91999998044804</v>
      </c>
      <c r="AE3" s="321">
        <f t="shared" ref="AE3:AE66" si="6">AA3</f>
        <v>2</v>
      </c>
      <c r="AF3" s="150">
        <f t="shared" si="1"/>
        <v>5.6512755268606583</v>
      </c>
      <c r="AG3" s="150">
        <f t="shared" ref="AG3:AG16" si="7">AC3</f>
        <v>32.971275507308704</v>
      </c>
    </row>
    <row r="4" spans="1:38" s="27" customFormat="1" ht="21.6" customHeight="1">
      <c r="A4" s="434" t="str">
        <f>StepTest!A6</f>
        <v>위    치</v>
      </c>
      <c r="B4" s="56"/>
      <c r="C4" s="57" t="str">
        <f>StepTest!C6</f>
        <v>논산시 은진면 시묘리 352-1</v>
      </c>
      <c r="D4" s="60"/>
      <c r="E4" s="60"/>
      <c r="F4" s="58"/>
      <c r="G4" s="58"/>
      <c r="H4" s="58"/>
      <c r="I4" s="58"/>
      <c r="J4" s="436"/>
      <c r="K4" s="117"/>
      <c r="L4" s="506" t="s">
        <v>186</v>
      </c>
      <c r="M4" s="30">
        <f t="shared" si="2"/>
        <v>1.41</v>
      </c>
      <c r="N4" s="39"/>
      <c r="O4" s="114"/>
      <c r="P4" s="114"/>
      <c r="V4" s="320">
        <f t="shared" ref="V4:V67" si="8">V3</f>
        <v>150</v>
      </c>
      <c r="W4" s="140">
        <f t="shared" ref="W4:W67" si="9">W$2</f>
        <v>1.6301789923648391</v>
      </c>
      <c r="X4" s="140">
        <f t="shared" ref="X4:X67" si="10">X3</f>
        <v>0.125</v>
      </c>
      <c r="Y4" s="140">
        <f t="shared" ref="Y4:Y67" si="11">Y$2</f>
        <v>5.0000000000000001E-4</v>
      </c>
      <c r="Z4" s="140">
        <f t="shared" si="3"/>
        <v>2.0833333333333333E-3</v>
      </c>
      <c r="AA4" s="321">
        <f t="shared" si="4"/>
        <v>3</v>
      </c>
      <c r="AB4" s="322">
        <f t="shared" si="0"/>
        <v>35.034297625388959</v>
      </c>
      <c r="AC4" s="150">
        <f>1.6*V4/(4*PI()*W4)*LOG10((2.25*W4*Z4)/(X4*X4*Y4))</f>
        <v>35.034297625388959</v>
      </c>
      <c r="AD4" s="150">
        <f>AC69</f>
        <v>62.91999998044804</v>
      </c>
      <c r="AE4" s="321">
        <f t="shared" si="6"/>
        <v>3</v>
      </c>
      <c r="AF4" s="150">
        <f t="shared" si="1"/>
        <v>7.7142976449409133</v>
      </c>
      <c r="AG4" s="150">
        <f t="shared" si="7"/>
        <v>35.034297625388959</v>
      </c>
    </row>
    <row r="5" spans="1:38" s="27" customFormat="1" ht="21.6" customHeight="1">
      <c r="A5" s="434" t="str">
        <f>StepTest!A7</f>
        <v>조 사 자</v>
      </c>
      <c r="B5" s="56"/>
      <c r="C5" s="61" t="str">
        <f>StepTest!C7</f>
        <v>(주)환일</v>
      </c>
      <c r="D5" s="437"/>
      <c r="E5" s="58"/>
      <c r="F5" s="62" t="s">
        <v>169</v>
      </c>
      <c r="G5" s="63">
        <f>Input!I50</f>
        <v>60</v>
      </c>
      <c r="H5" s="64"/>
      <c r="I5" s="64"/>
      <c r="J5" s="438"/>
      <c r="K5" s="117"/>
      <c r="L5" s="506" t="s">
        <v>187</v>
      </c>
      <c r="M5" s="30">
        <f t="shared" si="2"/>
        <v>1.35</v>
      </c>
      <c r="N5" s="39"/>
      <c r="O5" s="114"/>
      <c r="P5" s="114"/>
      <c r="V5" s="320">
        <f t="shared" si="8"/>
        <v>150</v>
      </c>
      <c r="W5" s="140">
        <f t="shared" si="9"/>
        <v>1.6301789923648391</v>
      </c>
      <c r="X5" s="140">
        <f t="shared" si="10"/>
        <v>0.125</v>
      </c>
      <c r="Y5" s="140">
        <f t="shared" si="11"/>
        <v>5.0000000000000001E-4</v>
      </c>
      <c r="Z5" s="140">
        <f t="shared" si="3"/>
        <v>2.7777777777777779E-3</v>
      </c>
      <c r="AA5" s="321">
        <f t="shared" si="4"/>
        <v>4</v>
      </c>
      <c r="AB5" s="322">
        <f t="shared" si="0"/>
        <v>36.49803511247471</v>
      </c>
      <c r="AC5" s="150">
        <f t="shared" si="5"/>
        <v>36.49803511247471</v>
      </c>
      <c r="AD5" s="150">
        <f>AF69</f>
        <v>35.599999999999994</v>
      </c>
      <c r="AE5" s="321">
        <f t="shared" si="6"/>
        <v>4</v>
      </c>
      <c r="AF5" s="150">
        <f t="shared" si="1"/>
        <v>9.1780351320266647</v>
      </c>
      <c r="AG5" s="150">
        <f t="shared" si="7"/>
        <v>36.49803511247471</v>
      </c>
    </row>
    <row r="6" spans="1:38" s="27" customFormat="1" ht="21.6" customHeight="1">
      <c r="A6" s="434" t="str">
        <f>StepTest!A8</f>
        <v>수중모타</v>
      </c>
      <c r="B6" s="56"/>
      <c r="C6" s="615">
        <f>StepTest!C8</f>
        <v>5</v>
      </c>
      <c r="D6" s="615"/>
      <c r="E6" s="616"/>
      <c r="F6" s="62" t="s">
        <v>165</v>
      </c>
      <c r="G6" s="63">
        <f>Input!I51</f>
        <v>245</v>
      </c>
      <c r="H6" s="64"/>
      <c r="I6" s="64"/>
      <c r="J6" s="438"/>
      <c r="K6" s="117">
        <v>0.2</v>
      </c>
      <c r="L6" s="116">
        <v>0.2</v>
      </c>
      <c r="M6" s="30">
        <f t="shared" si="2"/>
        <v>0.69</v>
      </c>
      <c r="N6" s="39"/>
      <c r="O6" s="114"/>
      <c r="P6" s="114"/>
      <c r="V6" s="320">
        <f t="shared" si="8"/>
        <v>150</v>
      </c>
      <c r="W6" s="140">
        <f t="shared" si="9"/>
        <v>1.6301789923648391</v>
      </c>
      <c r="X6" s="140">
        <f t="shared" si="10"/>
        <v>0.125</v>
      </c>
      <c r="Y6" s="140">
        <f t="shared" si="11"/>
        <v>5.0000000000000001E-4</v>
      </c>
      <c r="Z6" s="140">
        <f t="shared" si="3"/>
        <v>3.472222222222222E-3</v>
      </c>
      <c r="AA6" s="321">
        <f t="shared" si="4"/>
        <v>5</v>
      </c>
      <c r="AB6" s="322">
        <f t="shared" si="0"/>
        <v>37.633398113291506</v>
      </c>
      <c r="AC6" s="150">
        <f t="shared" si="5"/>
        <v>37.633398113291506</v>
      </c>
      <c r="AD6" s="140"/>
      <c r="AE6" s="321">
        <f t="shared" si="6"/>
        <v>5</v>
      </c>
      <c r="AF6" s="150">
        <f t="shared" si="1"/>
        <v>10.31339813284346</v>
      </c>
      <c r="AG6" s="150">
        <f t="shared" si="7"/>
        <v>37.633398113291506</v>
      </c>
      <c r="AL6" s="27">
        <f>10*(2.54/2/100)</f>
        <v>0.127</v>
      </c>
    </row>
    <row r="7" spans="1:38" s="27" customFormat="1" ht="21.6" customHeight="1">
      <c r="A7" s="434" t="str">
        <f>StepTest!A9</f>
        <v>우물현황</v>
      </c>
      <c r="B7" s="56"/>
      <c r="C7" s="65" t="str">
        <f>StepTest!C9</f>
        <v>직     경</v>
      </c>
      <c r="D7" s="66">
        <f>StepTest!D9</f>
        <v>250</v>
      </c>
      <c r="E7" s="67"/>
      <c r="F7" s="68" t="s">
        <v>168</v>
      </c>
      <c r="G7" s="69">
        <f>StepTest!G9</f>
        <v>88</v>
      </c>
      <c r="H7" s="58"/>
      <c r="I7" s="58"/>
      <c r="J7" s="436"/>
      <c r="K7" s="117"/>
      <c r="M7" s="30">
        <f t="shared" si="2"/>
        <v>-0.28999999999999998</v>
      </c>
      <c r="N7" s="39"/>
      <c r="O7" s="114"/>
      <c r="P7" s="114"/>
      <c r="V7" s="320">
        <f t="shared" si="8"/>
        <v>150</v>
      </c>
      <c r="W7" s="140">
        <f t="shared" si="9"/>
        <v>1.6301789923648391</v>
      </c>
      <c r="X7" s="140">
        <f t="shared" si="10"/>
        <v>0.125</v>
      </c>
      <c r="Y7" s="140">
        <f t="shared" si="11"/>
        <v>5.0000000000000001E-4</v>
      </c>
      <c r="Z7" s="140">
        <f t="shared" si="3"/>
        <v>6.9444444444444441E-3</v>
      </c>
      <c r="AA7" s="321">
        <f t="shared" si="4"/>
        <v>10</v>
      </c>
      <c r="AB7" s="322">
        <f t="shared" si="0"/>
        <v>41.160157718457505</v>
      </c>
      <c r="AC7" s="150">
        <f t="shared" si="5"/>
        <v>41.160157718457505</v>
      </c>
      <c r="AD7" s="140"/>
      <c r="AE7" s="321">
        <f t="shared" si="6"/>
        <v>10</v>
      </c>
      <c r="AF7" s="150">
        <f t="shared" si="1"/>
        <v>13.840157738009459</v>
      </c>
      <c r="AG7" s="150">
        <f t="shared" si="7"/>
        <v>41.160157718457505</v>
      </c>
      <c r="AL7" s="27">
        <f>AL6*2</f>
        <v>0.254</v>
      </c>
    </row>
    <row r="8" spans="1:38" s="27" customFormat="1" ht="21.6" customHeight="1">
      <c r="A8" s="434" t="str">
        <f>StepTest!A10</f>
        <v>양수시험</v>
      </c>
      <c r="B8" s="56"/>
      <c r="C8" s="70" t="s">
        <v>188</v>
      </c>
      <c r="D8" s="71">
        <f>StepTest!D10</f>
        <v>7.2</v>
      </c>
      <c r="E8" s="67"/>
      <c r="F8" s="68" t="s">
        <v>189</v>
      </c>
      <c r="G8" s="72">
        <f>F77</f>
        <v>42.8</v>
      </c>
      <c r="H8" s="64">
        <f>Input!C40</f>
        <v>150</v>
      </c>
      <c r="I8" s="64"/>
      <c r="J8" s="439"/>
      <c r="K8" s="340">
        <f>Input!M50</f>
        <v>35.599999999999994</v>
      </c>
      <c r="L8" s="158">
        <f>G10-K11</f>
        <v>0.20000000000000018</v>
      </c>
      <c r="M8" s="30">
        <f t="shared" si="2"/>
        <v>-7.37</v>
      </c>
      <c r="N8" s="39"/>
      <c r="O8" s="114"/>
      <c r="P8" s="114"/>
      <c r="V8" s="320">
        <f t="shared" si="8"/>
        <v>150</v>
      </c>
      <c r="W8" s="140">
        <f t="shared" si="9"/>
        <v>1.6301789923648391</v>
      </c>
      <c r="X8" s="140">
        <f t="shared" si="10"/>
        <v>0.125</v>
      </c>
      <c r="Y8" s="140">
        <f t="shared" si="11"/>
        <v>5.0000000000000001E-4</v>
      </c>
      <c r="Z8" s="140">
        <f t="shared" si="3"/>
        <v>1.0416666666666666E-2</v>
      </c>
      <c r="AA8" s="321">
        <f t="shared" si="4"/>
        <v>15</v>
      </c>
      <c r="AB8" s="322">
        <f t="shared" si="0"/>
        <v>43.223179836537767</v>
      </c>
      <c r="AC8" s="150">
        <f t="shared" si="5"/>
        <v>43.223179836537767</v>
      </c>
      <c r="AD8" s="140"/>
      <c r="AE8" s="321">
        <f t="shared" si="6"/>
        <v>15</v>
      </c>
      <c r="AF8" s="150">
        <f t="shared" si="1"/>
        <v>15.903179856089722</v>
      </c>
      <c r="AG8" s="150">
        <f t="shared" si="7"/>
        <v>43.223179836537767</v>
      </c>
    </row>
    <row r="9" spans="1:38" s="27" customFormat="1" ht="21.6" customHeight="1">
      <c r="A9" s="440" t="s">
        <v>170</v>
      </c>
      <c r="B9" s="73" t="s">
        <v>171</v>
      </c>
      <c r="C9" s="70" t="s">
        <v>190</v>
      </c>
      <c r="D9" s="617" t="s">
        <v>173</v>
      </c>
      <c r="E9" s="617"/>
      <c r="F9" s="73" t="s">
        <v>174</v>
      </c>
      <c r="G9" s="73" t="s">
        <v>175</v>
      </c>
      <c r="H9" s="74"/>
      <c r="I9" s="74"/>
      <c r="J9" s="441"/>
      <c r="K9" s="341">
        <f>G8-D8</f>
        <v>35.599999999999994</v>
      </c>
      <c r="M9" s="30">
        <f t="shared" si="2"/>
        <v>-15.91</v>
      </c>
      <c r="N9" s="39"/>
      <c r="O9" s="114"/>
      <c r="P9" s="114"/>
      <c r="V9" s="320">
        <f t="shared" si="8"/>
        <v>150</v>
      </c>
      <c r="W9" s="140">
        <f t="shared" si="9"/>
        <v>1.6301789923648391</v>
      </c>
      <c r="X9" s="140">
        <f t="shared" si="10"/>
        <v>0.125</v>
      </c>
      <c r="Y9" s="140">
        <f t="shared" si="11"/>
        <v>5.0000000000000001E-4</v>
      </c>
      <c r="Z9" s="140">
        <f t="shared" si="3"/>
        <v>1.3888888888888888E-2</v>
      </c>
      <c r="AA9" s="321">
        <f t="shared" si="4"/>
        <v>20</v>
      </c>
      <c r="AB9" s="322">
        <f t="shared" si="0"/>
        <v>44.686917323623511</v>
      </c>
      <c r="AC9" s="150">
        <f t="shared" si="5"/>
        <v>44.686917323623511</v>
      </c>
      <c r="AD9" s="140"/>
      <c r="AE9" s="321">
        <f t="shared" si="6"/>
        <v>20</v>
      </c>
      <c r="AF9" s="150">
        <f t="shared" si="1"/>
        <v>17.366917343175466</v>
      </c>
      <c r="AG9" s="150">
        <f t="shared" si="7"/>
        <v>44.686917323623511</v>
      </c>
    </row>
    <row r="10" spans="1:38" s="27" customFormat="1" ht="21" customHeight="1">
      <c r="A10" s="442">
        <v>1</v>
      </c>
      <c r="B10" s="75">
        <f>Input!C26</f>
        <v>150</v>
      </c>
      <c r="C10" s="76">
        <v>45768.479166666664</v>
      </c>
      <c r="D10" s="77">
        <v>1</v>
      </c>
      <c r="E10" s="67">
        <f>D10/1440</f>
        <v>6.9444444444444447E-4</v>
      </c>
      <c r="F10" s="78">
        <f>G10+D$8</f>
        <v>10.12563776343033</v>
      </c>
      <c r="G10" s="79">
        <f>AF2</f>
        <v>2.9256377634303292</v>
      </c>
      <c r="H10" s="80"/>
      <c r="I10" s="80"/>
      <c r="J10" s="443"/>
      <c r="K10" s="342">
        <f>K8-K9</f>
        <v>0</v>
      </c>
      <c r="L10" s="38">
        <f>K10+Q17</f>
        <v>0.8</v>
      </c>
      <c r="M10" s="30">
        <f t="shared" si="2"/>
        <v>-25.06</v>
      </c>
      <c r="N10" s="39"/>
      <c r="O10" s="114"/>
      <c r="P10" s="114"/>
      <c r="V10" s="320">
        <f t="shared" si="8"/>
        <v>150</v>
      </c>
      <c r="W10" s="140">
        <f t="shared" si="9"/>
        <v>1.6301789923648391</v>
      </c>
      <c r="X10" s="140">
        <f t="shared" si="10"/>
        <v>0.125</v>
      </c>
      <c r="Y10" s="140">
        <f t="shared" si="11"/>
        <v>5.0000000000000001E-4</v>
      </c>
      <c r="Z10" s="140">
        <f t="shared" si="3"/>
        <v>1.7361111111111112E-2</v>
      </c>
      <c r="AA10" s="321">
        <f t="shared" si="4"/>
        <v>25</v>
      </c>
      <c r="AB10" s="322">
        <f t="shared" si="0"/>
        <v>45.822280324440307</v>
      </c>
      <c r="AC10" s="150">
        <f t="shared" si="5"/>
        <v>45.822280324440307</v>
      </c>
      <c r="AD10" s="140"/>
      <c r="AE10" s="321">
        <f t="shared" si="6"/>
        <v>25</v>
      </c>
      <c r="AF10" s="150">
        <f t="shared" si="1"/>
        <v>18.502280343992261</v>
      </c>
      <c r="AG10" s="150">
        <f t="shared" si="7"/>
        <v>45.822280324440307</v>
      </c>
    </row>
    <row r="11" spans="1:38" s="27" customFormat="1" ht="21" customHeight="1">
      <c r="A11" s="442"/>
      <c r="B11" s="74"/>
      <c r="C11" s="76"/>
      <c r="D11" s="77">
        <v>2</v>
      </c>
      <c r="E11" s="67">
        <f t="shared" ref="E11:E74" si="12">D11/1440</f>
        <v>1.3888888888888889E-3</v>
      </c>
      <c r="F11" s="78">
        <f t="shared" ref="F11:F62" si="13">G11+D$8</f>
        <v>12.851275526860658</v>
      </c>
      <c r="G11" s="78">
        <f>AF3</f>
        <v>5.6512755268606583</v>
      </c>
      <c r="H11" s="80"/>
      <c r="I11" s="80"/>
      <c r="J11" s="443"/>
      <c r="K11" s="146">
        <f>G11-G10</f>
        <v>2.725637763430329</v>
      </c>
      <c r="L11" s="38" t="s">
        <v>21</v>
      </c>
      <c r="N11" s="39"/>
      <c r="O11" s="114"/>
      <c r="V11" s="320">
        <f t="shared" si="8"/>
        <v>150</v>
      </c>
      <c r="W11" s="140">
        <f t="shared" si="9"/>
        <v>1.6301789923648391</v>
      </c>
      <c r="X11" s="140">
        <f t="shared" si="10"/>
        <v>0.125</v>
      </c>
      <c r="Y11" s="140">
        <f t="shared" si="11"/>
        <v>5.0000000000000001E-4</v>
      </c>
      <c r="Z11" s="140">
        <f t="shared" si="3"/>
        <v>2.0833333333333332E-2</v>
      </c>
      <c r="AA11" s="321">
        <f t="shared" si="4"/>
        <v>30</v>
      </c>
      <c r="AB11" s="322">
        <f t="shared" si="0"/>
        <v>46.749939441703766</v>
      </c>
      <c r="AC11" s="150">
        <f t="shared" si="5"/>
        <v>46.749939441703766</v>
      </c>
      <c r="AD11" s="140"/>
      <c r="AE11" s="321">
        <f t="shared" si="6"/>
        <v>30</v>
      </c>
      <c r="AF11" s="150">
        <f t="shared" si="1"/>
        <v>19.429939461255721</v>
      </c>
      <c r="AG11" s="150">
        <f t="shared" si="7"/>
        <v>46.749939441703766</v>
      </c>
    </row>
    <row r="12" spans="1:38" s="27" customFormat="1" ht="21" customHeight="1">
      <c r="A12" s="442"/>
      <c r="B12" s="74"/>
      <c r="C12" s="76">
        <f>$C$10+D12/1440</f>
        <v>45768.481249999997</v>
      </c>
      <c r="D12" s="77">
        <v>3</v>
      </c>
      <c r="E12" s="67">
        <f t="shared" si="12"/>
        <v>2.0833333333333333E-3</v>
      </c>
      <c r="F12" s="78">
        <f t="shared" si="13"/>
        <v>14.914297644940913</v>
      </c>
      <c r="G12" s="78">
        <f t="shared" ref="G12:G74" si="14">AF4</f>
        <v>7.7142976449409133</v>
      </c>
      <c r="H12" s="80"/>
      <c r="I12" s="80"/>
      <c r="J12" s="443"/>
      <c r="K12" s="146">
        <f t="shared" ref="K12:K47" si="15">G12-G11</f>
        <v>2.063022118080255</v>
      </c>
      <c r="L12" s="38" t="s">
        <v>21</v>
      </c>
      <c r="N12" s="39"/>
      <c r="O12" s="114"/>
      <c r="V12" s="320">
        <f t="shared" si="8"/>
        <v>150</v>
      </c>
      <c r="W12" s="140">
        <f t="shared" si="9"/>
        <v>1.6301789923648391</v>
      </c>
      <c r="X12" s="140">
        <f t="shared" si="10"/>
        <v>0.125</v>
      </c>
      <c r="Y12" s="140">
        <f t="shared" si="11"/>
        <v>5.0000000000000001E-4</v>
      </c>
      <c r="Z12" s="140">
        <f t="shared" si="3"/>
        <v>2.4305555555555556E-2</v>
      </c>
      <c r="AA12" s="321">
        <f t="shared" si="4"/>
        <v>35</v>
      </c>
      <c r="AB12" s="322">
        <f t="shared" si="0"/>
        <v>47.534264049768211</v>
      </c>
      <c r="AC12" s="150">
        <f t="shared" si="5"/>
        <v>47.534264049768211</v>
      </c>
      <c r="AD12" s="140"/>
      <c r="AE12" s="321">
        <f t="shared" si="6"/>
        <v>35</v>
      </c>
      <c r="AF12" s="150">
        <f t="shared" si="1"/>
        <v>20.214264069320166</v>
      </c>
      <c r="AG12" s="150">
        <f t="shared" si="7"/>
        <v>47.534264049768211</v>
      </c>
    </row>
    <row r="13" spans="1:38" s="27" customFormat="1" ht="21" customHeight="1">
      <c r="A13" s="442"/>
      <c r="B13" s="74"/>
      <c r="C13" s="76"/>
      <c r="D13" s="77">
        <v>4</v>
      </c>
      <c r="E13" s="67">
        <f t="shared" si="12"/>
        <v>2.7777777777777779E-3</v>
      </c>
      <c r="F13" s="78">
        <f t="shared" si="13"/>
        <v>16.378035132026664</v>
      </c>
      <c r="G13" s="78">
        <f t="shared" si="14"/>
        <v>9.1780351320266647</v>
      </c>
      <c r="H13" s="80"/>
      <c r="I13" s="80"/>
      <c r="J13" s="443"/>
      <c r="K13" s="146">
        <f t="shared" si="15"/>
        <v>1.4637374870857514</v>
      </c>
      <c r="L13" s="38" t="s">
        <v>21</v>
      </c>
      <c r="M13" s="116">
        <v>0</v>
      </c>
      <c r="N13" s="39"/>
      <c r="O13" s="114"/>
      <c r="V13" s="320">
        <f t="shared" si="8"/>
        <v>150</v>
      </c>
      <c r="W13" s="140">
        <f t="shared" si="9"/>
        <v>1.6301789923648391</v>
      </c>
      <c r="X13" s="140">
        <f t="shared" si="10"/>
        <v>0.125</v>
      </c>
      <c r="Y13" s="140">
        <f t="shared" si="11"/>
        <v>5.0000000000000001E-4</v>
      </c>
      <c r="Z13" s="140">
        <f t="shared" si="3"/>
        <v>2.7777777777777776E-2</v>
      </c>
      <c r="AA13" s="321">
        <f t="shared" si="4"/>
        <v>40</v>
      </c>
      <c r="AB13" s="322">
        <f t="shared" si="0"/>
        <v>48.213676928789511</v>
      </c>
      <c r="AC13" s="150">
        <f t="shared" si="5"/>
        <v>48.213676928789511</v>
      </c>
      <c r="AD13" s="140"/>
      <c r="AE13" s="321">
        <f t="shared" si="6"/>
        <v>40</v>
      </c>
      <c r="AF13" s="150">
        <f t="shared" si="1"/>
        <v>20.893676948341465</v>
      </c>
      <c r="AG13" s="150">
        <f t="shared" si="7"/>
        <v>48.213676928789511</v>
      </c>
    </row>
    <row r="14" spans="1:38" s="27" customFormat="1" ht="21" customHeight="1">
      <c r="A14" s="442"/>
      <c r="B14" s="74"/>
      <c r="C14" s="76"/>
      <c r="D14" s="77">
        <v>5</v>
      </c>
      <c r="E14" s="67">
        <f t="shared" si="12"/>
        <v>3.472222222222222E-3</v>
      </c>
      <c r="F14" s="78">
        <f t="shared" si="13"/>
        <v>17.513398132843459</v>
      </c>
      <c r="G14" s="78">
        <f t="shared" si="14"/>
        <v>10.31339813284346</v>
      </c>
      <c r="H14" s="80"/>
      <c r="I14" s="80"/>
      <c r="J14" s="443"/>
      <c r="K14" s="146">
        <f t="shared" si="15"/>
        <v>1.1353630008167954</v>
      </c>
      <c r="L14" s="38" t="s">
        <v>21</v>
      </c>
      <c r="N14" s="39"/>
      <c r="O14" s="114"/>
      <c r="V14" s="320">
        <f t="shared" si="8"/>
        <v>150</v>
      </c>
      <c r="W14" s="140">
        <f t="shared" si="9"/>
        <v>1.6301789923648391</v>
      </c>
      <c r="X14" s="140">
        <f t="shared" si="10"/>
        <v>0.125</v>
      </c>
      <c r="Y14" s="140">
        <f t="shared" si="11"/>
        <v>5.0000000000000001E-4</v>
      </c>
      <c r="Z14" s="140">
        <f t="shared" si="3"/>
        <v>3.125E-2</v>
      </c>
      <c r="AA14" s="321">
        <f t="shared" si="4"/>
        <v>45</v>
      </c>
      <c r="AB14" s="322">
        <f t="shared" si="0"/>
        <v>48.812961559784036</v>
      </c>
      <c r="AC14" s="150">
        <f t="shared" si="5"/>
        <v>48.812961559784036</v>
      </c>
      <c r="AD14" s="140"/>
      <c r="AE14" s="321">
        <f t="shared" si="6"/>
        <v>45</v>
      </c>
      <c r="AF14" s="150">
        <f t="shared" si="1"/>
        <v>21.49296157933599</v>
      </c>
      <c r="AG14" s="150">
        <f t="shared" si="7"/>
        <v>48.812961559784036</v>
      </c>
    </row>
    <row r="15" spans="1:38" s="27" customFormat="1" ht="21" customHeight="1" thickBot="1">
      <c r="A15" s="442"/>
      <c r="B15" s="437"/>
      <c r="C15" s="76"/>
      <c r="D15" s="77">
        <v>10</v>
      </c>
      <c r="E15" s="67">
        <f t="shared" si="12"/>
        <v>6.9444444444444441E-3</v>
      </c>
      <c r="F15" s="78">
        <f t="shared" si="13"/>
        <v>21.040157738009459</v>
      </c>
      <c r="G15" s="78">
        <f t="shared" si="14"/>
        <v>13.840157738009459</v>
      </c>
      <c r="H15" s="80"/>
      <c r="I15" s="80"/>
      <c r="J15" s="443"/>
      <c r="K15" s="146">
        <f t="shared" si="15"/>
        <v>3.5267596051659993</v>
      </c>
      <c r="L15" s="38" t="s">
        <v>21</v>
      </c>
      <c r="N15" s="40"/>
      <c r="O15" s="28"/>
      <c r="V15" s="320">
        <f t="shared" si="8"/>
        <v>150</v>
      </c>
      <c r="W15" s="140">
        <f t="shared" si="9"/>
        <v>1.6301789923648391</v>
      </c>
      <c r="X15" s="140">
        <f t="shared" si="10"/>
        <v>0.125</v>
      </c>
      <c r="Y15" s="140">
        <f t="shared" si="11"/>
        <v>5.0000000000000001E-4</v>
      </c>
      <c r="Z15" s="140">
        <f t="shared" si="3"/>
        <v>3.4722222222222224E-2</v>
      </c>
      <c r="AA15" s="321">
        <f t="shared" si="4"/>
        <v>50</v>
      </c>
      <c r="AB15" s="322">
        <f t="shared" si="0"/>
        <v>49.349039929606306</v>
      </c>
      <c r="AC15" s="150">
        <f t="shared" si="5"/>
        <v>49.349039929606306</v>
      </c>
      <c r="AD15" s="140"/>
      <c r="AE15" s="321">
        <f t="shared" si="6"/>
        <v>50</v>
      </c>
      <c r="AF15" s="150">
        <f>AC15-$P$3</f>
        <v>22.02903994915826</v>
      </c>
      <c r="AG15" s="150">
        <f t="shared" si="7"/>
        <v>49.349039929606306</v>
      </c>
    </row>
    <row r="16" spans="1:38" s="27" customFormat="1" ht="21" customHeight="1">
      <c r="A16" s="442"/>
      <c r="B16" s="74"/>
      <c r="C16" s="76"/>
      <c r="D16" s="77">
        <v>15</v>
      </c>
      <c r="E16" s="67">
        <f t="shared" si="12"/>
        <v>1.0416666666666666E-2</v>
      </c>
      <c r="F16" s="78">
        <f t="shared" si="13"/>
        <v>23.103179856089721</v>
      </c>
      <c r="G16" s="78">
        <f t="shared" si="14"/>
        <v>15.903179856089722</v>
      </c>
      <c r="H16" s="80"/>
      <c r="I16" s="80"/>
      <c r="J16" s="443"/>
      <c r="K16" s="146">
        <f t="shared" si="15"/>
        <v>2.0630221180802621</v>
      </c>
      <c r="L16" s="503" t="s">
        <v>244</v>
      </c>
      <c r="M16" s="504" t="s">
        <v>178</v>
      </c>
      <c r="N16" s="504" t="s">
        <v>179</v>
      </c>
      <c r="O16" s="504" t="s">
        <v>242</v>
      </c>
      <c r="P16" s="504" t="s">
        <v>243</v>
      </c>
      <c r="Q16" s="505" t="s">
        <v>245</v>
      </c>
      <c r="V16" s="320">
        <f t="shared" si="8"/>
        <v>150</v>
      </c>
      <c r="W16" s="140">
        <f t="shared" si="9"/>
        <v>1.6301789923648391</v>
      </c>
      <c r="X16" s="140">
        <f t="shared" si="10"/>
        <v>0.125</v>
      </c>
      <c r="Y16" s="140">
        <f t="shared" si="11"/>
        <v>5.0000000000000001E-4</v>
      </c>
      <c r="Z16" s="140">
        <f t="shared" si="3"/>
        <v>3.8194444444444448E-2</v>
      </c>
      <c r="AA16" s="321">
        <f t="shared" si="4"/>
        <v>55</v>
      </c>
      <c r="AB16" s="322">
        <f t="shared" si="0"/>
        <v>49.833981802735565</v>
      </c>
      <c r="AC16" s="150">
        <f t="shared" si="5"/>
        <v>49.833981802735565</v>
      </c>
      <c r="AD16" s="140"/>
      <c r="AE16" s="321">
        <f t="shared" si="6"/>
        <v>55</v>
      </c>
      <c r="AF16" s="150">
        <f>AC16-$P$3</f>
        <v>22.513981822287519</v>
      </c>
      <c r="AG16" s="150">
        <f t="shared" si="7"/>
        <v>49.833981802735565</v>
      </c>
    </row>
    <row r="17" spans="1:33" s="27" customFormat="1" ht="21" customHeight="1">
      <c r="A17" s="442"/>
      <c r="B17" s="74"/>
      <c r="C17" s="76"/>
      <c r="D17" s="77">
        <v>20</v>
      </c>
      <c r="E17" s="67">
        <f t="shared" si="12"/>
        <v>1.3888888888888888E-2</v>
      </c>
      <c r="F17" s="78">
        <f t="shared" si="13"/>
        <v>24.566917343175465</v>
      </c>
      <c r="G17" s="78">
        <f t="shared" si="14"/>
        <v>17.366917343175466</v>
      </c>
      <c r="H17" s="80"/>
      <c r="I17" s="80"/>
      <c r="J17" s="443"/>
      <c r="K17" s="146">
        <f t="shared" si="15"/>
        <v>1.4637374870857442</v>
      </c>
      <c r="L17" s="359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4.9079999999999999E-2</v>
      </c>
      <c r="P17" s="221">
        <f>INT(N17/O17*100)/100</f>
        <v>2.12</v>
      </c>
      <c r="Q17" s="360">
        <f>INT((G10-P17)*100)/100</f>
        <v>0.8</v>
      </c>
      <c r="V17" s="320">
        <f t="shared" si="8"/>
        <v>150</v>
      </c>
      <c r="W17" s="140">
        <f t="shared" si="9"/>
        <v>1.6301789923648391</v>
      </c>
      <c r="X17" s="140">
        <f t="shared" si="10"/>
        <v>0.125</v>
      </c>
      <c r="Y17" s="140">
        <f t="shared" si="11"/>
        <v>5.0000000000000001E-4</v>
      </c>
      <c r="Z17" s="140">
        <f t="shared" si="3"/>
        <v>4.1666666666666664E-2</v>
      </c>
      <c r="AA17" s="321">
        <f t="shared" si="4"/>
        <v>60</v>
      </c>
      <c r="AB17" s="322">
        <f t="shared" si="0"/>
        <v>50.276699046869773</v>
      </c>
      <c r="AC17" s="150">
        <f t="shared" si="5"/>
        <v>50.276699046869773</v>
      </c>
      <c r="AD17" s="140"/>
      <c r="AE17" s="321">
        <f t="shared" si="6"/>
        <v>60</v>
      </c>
      <c r="AF17" s="150">
        <f>AC17-$P$3</f>
        <v>22.956699066421727</v>
      </c>
      <c r="AG17" s="140"/>
    </row>
    <row r="18" spans="1:33" s="27" customFormat="1" ht="21" customHeight="1">
      <c r="A18" s="442"/>
      <c r="B18" s="74"/>
      <c r="C18" s="76"/>
      <c r="D18" s="77">
        <v>25</v>
      </c>
      <c r="E18" s="67">
        <f t="shared" si="12"/>
        <v>1.7361111111111112E-2</v>
      </c>
      <c r="F18" s="78">
        <f t="shared" si="13"/>
        <v>25.70228034399226</v>
      </c>
      <c r="G18" s="78">
        <f t="shared" si="14"/>
        <v>18.502280343992261</v>
      </c>
      <c r="H18" s="80"/>
      <c r="I18" s="80"/>
      <c r="J18" s="443"/>
      <c r="K18" s="146">
        <f t="shared" si="15"/>
        <v>1.1353630008167954</v>
      </c>
      <c r="L18" s="359">
        <f t="shared" ref="L18:L31" si="16">D11</f>
        <v>2</v>
      </c>
      <c r="M18" s="221">
        <f>M17</f>
        <v>0.1041</v>
      </c>
      <c r="N18" s="221">
        <f>L18*M18</f>
        <v>0.2082</v>
      </c>
      <c r="O18" s="221">
        <f>O17</f>
        <v>4.9079999999999999E-2</v>
      </c>
      <c r="P18" s="221">
        <f>INT(N18/O18*100)/100</f>
        <v>4.24</v>
      </c>
      <c r="Q18" s="360">
        <f t="shared" ref="Q18:Q27" si="17">INT((G11-P18)*100)/100</f>
        <v>1.41</v>
      </c>
      <c r="V18" s="320">
        <f t="shared" si="8"/>
        <v>150</v>
      </c>
      <c r="W18" s="140">
        <f t="shared" si="9"/>
        <v>1.6301789923648391</v>
      </c>
      <c r="X18" s="140">
        <f t="shared" si="10"/>
        <v>0.125</v>
      </c>
      <c r="Y18" s="140">
        <f t="shared" si="11"/>
        <v>5.0000000000000001E-4</v>
      </c>
      <c r="Z18" s="140">
        <f t="shared" si="3"/>
        <v>5.2083333333333336E-2</v>
      </c>
      <c r="AA18" s="321">
        <f t="shared" si="4"/>
        <v>75</v>
      </c>
      <c r="AB18" s="322">
        <f t="shared" si="0"/>
        <v>51.412062047686568</v>
      </c>
      <c r="AC18" s="150">
        <f t="shared" si="5"/>
        <v>51.412062047686568</v>
      </c>
      <c r="AD18" s="140"/>
      <c r="AE18" s="321">
        <f t="shared" si="6"/>
        <v>75</v>
      </c>
      <c r="AF18" s="150">
        <f>AC18-$P$3</f>
        <v>24.092062067238523</v>
      </c>
      <c r="AG18" s="140"/>
    </row>
    <row r="19" spans="1:33" s="27" customFormat="1" ht="21" customHeight="1">
      <c r="A19" s="442"/>
      <c r="B19" s="74"/>
      <c r="C19" s="76"/>
      <c r="D19" s="77">
        <v>30</v>
      </c>
      <c r="E19" s="67">
        <f t="shared" si="12"/>
        <v>2.0833333333333332E-2</v>
      </c>
      <c r="F19" s="78">
        <f t="shared" si="13"/>
        <v>26.62993946125572</v>
      </c>
      <c r="G19" s="78">
        <f t="shared" si="14"/>
        <v>19.429939461255721</v>
      </c>
      <c r="H19" s="80"/>
      <c r="I19" s="80"/>
      <c r="J19" s="443"/>
      <c r="K19" s="146">
        <f t="shared" si="15"/>
        <v>0.92765911726345962</v>
      </c>
      <c r="L19" s="359">
        <f t="shared" si="16"/>
        <v>3</v>
      </c>
      <c r="M19" s="221">
        <f>M18</f>
        <v>0.1041</v>
      </c>
      <c r="N19" s="221">
        <f t="shared" ref="N19:N27" si="18">L19*M19</f>
        <v>0.31230000000000002</v>
      </c>
      <c r="O19" s="221">
        <f t="shared" ref="O19:O31" si="19">O18</f>
        <v>4.9079999999999999E-2</v>
      </c>
      <c r="P19" s="221">
        <f>INT(N19/O19*100)/100</f>
        <v>6.36</v>
      </c>
      <c r="Q19" s="360">
        <f t="shared" si="17"/>
        <v>1.35</v>
      </c>
      <c r="V19" s="320">
        <f t="shared" si="8"/>
        <v>150</v>
      </c>
      <c r="W19" s="140">
        <f t="shared" si="9"/>
        <v>1.6301789923648391</v>
      </c>
      <c r="X19" s="140">
        <f t="shared" si="10"/>
        <v>0.125</v>
      </c>
      <c r="Y19" s="140">
        <f t="shared" si="11"/>
        <v>5.0000000000000001E-4</v>
      </c>
      <c r="Z19" s="140">
        <f t="shared" si="3"/>
        <v>6.25E-2</v>
      </c>
      <c r="AA19" s="321">
        <f t="shared" si="4"/>
        <v>90</v>
      </c>
      <c r="AB19" s="322">
        <f t="shared" si="0"/>
        <v>52.339721164950042</v>
      </c>
      <c r="AC19" s="150">
        <f t="shared" si="5"/>
        <v>52.339721164950042</v>
      </c>
      <c r="AD19" s="140"/>
      <c r="AE19" s="321">
        <f t="shared" si="6"/>
        <v>90</v>
      </c>
      <c r="AF19" s="150">
        <f>AC19-$P$3</f>
        <v>25.019721184501996</v>
      </c>
      <c r="AG19" s="140"/>
    </row>
    <row r="20" spans="1:33" s="27" customFormat="1" ht="21" customHeight="1">
      <c r="A20" s="442"/>
      <c r="B20" s="74"/>
      <c r="C20" s="76"/>
      <c r="D20" s="77">
        <v>35</v>
      </c>
      <c r="E20" s="67">
        <f t="shared" si="12"/>
        <v>2.4305555555555556E-2</v>
      </c>
      <c r="F20" s="78">
        <f>G20+D$8</f>
        <v>27.414264069320165</v>
      </c>
      <c r="G20" s="78">
        <f t="shared" si="14"/>
        <v>20.214264069320166</v>
      </c>
      <c r="H20" s="80"/>
      <c r="I20" s="80"/>
      <c r="J20" s="443"/>
      <c r="K20" s="146">
        <f t="shared" si="15"/>
        <v>0.78432460806444482</v>
      </c>
      <c r="L20" s="359">
        <f t="shared" si="16"/>
        <v>4</v>
      </c>
      <c r="M20" s="221">
        <f>M19</f>
        <v>0.1041</v>
      </c>
      <c r="N20" s="221">
        <f>L20*M20</f>
        <v>0.41639999999999999</v>
      </c>
      <c r="O20" s="221">
        <f>O19</f>
        <v>4.9079999999999999E-2</v>
      </c>
      <c r="P20" s="221">
        <f>INT(N20/O20*100)/100</f>
        <v>8.48</v>
      </c>
      <c r="Q20" s="360">
        <f t="shared" si="17"/>
        <v>0.69</v>
      </c>
      <c r="V20" s="320">
        <f t="shared" si="8"/>
        <v>150</v>
      </c>
      <c r="W20" s="140">
        <f t="shared" si="9"/>
        <v>1.6301789923648391</v>
      </c>
      <c r="X20" s="140">
        <f t="shared" si="10"/>
        <v>0.125</v>
      </c>
      <c r="Y20" s="140">
        <f t="shared" si="11"/>
        <v>5.0000000000000001E-4</v>
      </c>
      <c r="Z20" s="140">
        <f t="shared" si="3"/>
        <v>7.2916666666666671E-2</v>
      </c>
      <c r="AA20" s="321">
        <f t="shared" si="4"/>
        <v>105</v>
      </c>
      <c r="AB20" s="322">
        <f t="shared" si="0"/>
        <v>53.12404577301448</v>
      </c>
      <c r="AC20" s="150">
        <f t="shared" si="5"/>
        <v>53.12404577301448</v>
      </c>
      <c r="AD20" s="140"/>
      <c r="AE20" s="321">
        <f t="shared" si="6"/>
        <v>105</v>
      </c>
      <c r="AF20" s="150">
        <f t="shared" ref="AF20:AF69" si="20">AC20-$P$3</f>
        <v>25.804045792566434</v>
      </c>
      <c r="AG20" s="140"/>
    </row>
    <row r="21" spans="1:33" s="27" customFormat="1" ht="21" customHeight="1">
      <c r="A21" s="442"/>
      <c r="B21" s="74"/>
      <c r="C21" s="76"/>
      <c r="D21" s="77">
        <v>40</v>
      </c>
      <c r="E21" s="67">
        <f t="shared" si="12"/>
        <v>2.7777777777777776E-2</v>
      </c>
      <c r="F21" s="78">
        <f t="shared" si="13"/>
        <v>28.093676948341464</v>
      </c>
      <c r="G21" s="78">
        <f t="shared" si="14"/>
        <v>20.893676948341465</v>
      </c>
      <c r="H21" s="80"/>
      <c r="I21" s="80"/>
      <c r="J21" s="443"/>
      <c r="K21" s="146">
        <f t="shared" si="15"/>
        <v>0.67941287902129943</v>
      </c>
      <c r="L21" s="359">
        <f t="shared" si="16"/>
        <v>5</v>
      </c>
      <c r="M21" s="221">
        <f>M20</f>
        <v>0.1041</v>
      </c>
      <c r="N21" s="221">
        <f t="shared" si="18"/>
        <v>0.52049999999999996</v>
      </c>
      <c r="O21" s="221">
        <f t="shared" si="19"/>
        <v>4.9079999999999999E-2</v>
      </c>
      <c r="P21" s="221">
        <f>INT(N21/O21*100)/100</f>
        <v>10.6</v>
      </c>
      <c r="Q21" s="360">
        <f t="shared" si="17"/>
        <v>-0.28999999999999998</v>
      </c>
      <c r="V21" s="320">
        <f t="shared" si="8"/>
        <v>150</v>
      </c>
      <c r="W21" s="140">
        <f t="shared" si="9"/>
        <v>1.6301789923648391</v>
      </c>
      <c r="X21" s="140">
        <f t="shared" si="10"/>
        <v>0.125</v>
      </c>
      <c r="Y21" s="140">
        <f t="shared" si="11"/>
        <v>5.0000000000000001E-4</v>
      </c>
      <c r="Z21" s="140">
        <f t="shared" si="3"/>
        <v>8.3333333333333329E-2</v>
      </c>
      <c r="AA21" s="321">
        <f t="shared" si="4"/>
        <v>120</v>
      </c>
      <c r="AB21" s="322">
        <f t="shared" si="0"/>
        <v>53.803458652035779</v>
      </c>
      <c r="AC21" s="150">
        <f t="shared" si="5"/>
        <v>53.803458652035779</v>
      </c>
      <c r="AD21" s="140"/>
      <c r="AE21" s="321">
        <f t="shared" si="6"/>
        <v>120</v>
      </c>
      <c r="AF21" s="150">
        <f t="shared" si="20"/>
        <v>26.483458671587734</v>
      </c>
      <c r="AG21" s="140"/>
    </row>
    <row r="22" spans="1:33" s="27" customFormat="1" ht="21" customHeight="1">
      <c r="A22" s="442"/>
      <c r="B22" s="74"/>
      <c r="C22" s="76"/>
      <c r="D22" s="77">
        <v>45</v>
      </c>
      <c r="E22" s="67">
        <f t="shared" si="12"/>
        <v>3.125E-2</v>
      </c>
      <c r="F22" s="78">
        <f t="shared" si="13"/>
        <v>28.692961579335989</v>
      </c>
      <c r="G22" s="78">
        <f t="shared" si="14"/>
        <v>21.49296157933599</v>
      </c>
      <c r="H22" s="80"/>
      <c r="I22" s="80"/>
      <c r="J22" s="443"/>
      <c r="K22" s="146">
        <f t="shared" si="15"/>
        <v>0.599284630994525</v>
      </c>
      <c r="L22" s="359">
        <f t="shared" si="16"/>
        <v>10</v>
      </c>
      <c r="M22" s="221">
        <f t="shared" ref="M22:M31" si="21">M21</f>
        <v>0.1041</v>
      </c>
      <c r="N22" s="221">
        <f>L22*M22</f>
        <v>1.0409999999999999</v>
      </c>
      <c r="O22" s="221">
        <f>O21</f>
        <v>4.9079999999999999E-2</v>
      </c>
      <c r="P22" s="221">
        <f t="shared" ref="P22:P27" si="22">INT(N22/O22*100)/100</f>
        <v>21.21</v>
      </c>
      <c r="Q22" s="360">
        <f t="shared" si="17"/>
        <v>-7.37</v>
      </c>
      <c r="V22" s="320">
        <f t="shared" si="8"/>
        <v>150</v>
      </c>
      <c r="W22" s="140">
        <f t="shared" si="9"/>
        <v>1.6301789923648391</v>
      </c>
      <c r="X22" s="140">
        <f t="shared" si="10"/>
        <v>0.125</v>
      </c>
      <c r="Y22" s="140">
        <f t="shared" si="11"/>
        <v>5.0000000000000001E-4</v>
      </c>
      <c r="Z22" s="140">
        <f t="shared" si="3"/>
        <v>9.7222222222222224E-2</v>
      </c>
      <c r="AA22" s="321">
        <f t="shared" si="4"/>
        <v>140</v>
      </c>
      <c r="AB22" s="322">
        <f t="shared" si="0"/>
        <v>54.587783260100224</v>
      </c>
      <c r="AC22" s="150">
        <f t="shared" si="5"/>
        <v>54.587783260100224</v>
      </c>
      <c r="AD22" s="140"/>
      <c r="AE22" s="321">
        <f t="shared" si="6"/>
        <v>140</v>
      </c>
      <c r="AF22" s="150">
        <f t="shared" si="20"/>
        <v>27.267783279652178</v>
      </c>
      <c r="AG22" s="140"/>
    </row>
    <row r="23" spans="1:33" s="27" customFormat="1" ht="21" customHeight="1">
      <c r="A23" s="442"/>
      <c r="B23" s="74"/>
      <c r="C23" s="76"/>
      <c r="D23" s="77">
        <v>50</v>
      </c>
      <c r="E23" s="67">
        <f t="shared" si="12"/>
        <v>3.4722222222222224E-2</v>
      </c>
      <c r="F23" s="78">
        <f t="shared" si="13"/>
        <v>29.22903994915826</v>
      </c>
      <c r="G23" s="78">
        <f t="shared" si="14"/>
        <v>22.02903994915826</v>
      </c>
      <c r="H23" s="80"/>
      <c r="I23" s="80"/>
      <c r="J23" s="443"/>
      <c r="K23" s="146">
        <f t="shared" si="15"/>
        <v>0.53607836982227042</v>
      </c>
      <c r="L23" s="359">
        <f t="shared" si="16"/>
        <v>15</v>
      </c>
      <c r="M23" s="221">
        <f t="shared" si="21"/>
        <v>0.1041</v>
      </c>
      <c r="N23" s="221">
        <f t="shared" si="18"/>
        <v>1.5614999999999999</v>
      </c>
      <c r="O23" s="221">
        <f t="shared" si="19"/>
        <v>4.9079999999999999E-2</v>
      </c>
      <c r="P23" s="221">
        <f t="shared" si="22"/>
        <v>31.81</v>
      </c>
      <c r="Q23" s="360">
        <f t="shared" si="17"/>
        <v>-15.91</v>
      </c>
      <c r="V23" s="320">
        <f t="shared" si="8"/>
        <v>150</v>
      </c>
      <c r="W23" s="140">
        <f t="shared" si="9"/>
        <v>1.6301789923648391</v>
      </c>
      <c r="X23" s="140">
        <f t="shared" si="10"/>
        <v>0.125</v>
      </c>
      <c r="Y23" s="140">
        <f t="shared" si="11"/>
        <v>5.0000000000000001E-4</v>
      </c>
      <c r="Z23" s="140">
        <f t="shared" si="3"/>
        <v>0.1111111111111111</v>
      </c>
      <c r="AA23" s="321">
        <f t="shared" si="4"/>
        <v>160</v>
      </c>
      <c r="AB23" s="322">
        <f t="shared" si="0"/>
        <v>55.267196139121516</v>
      </c>
      <c r="AC23" s="150">
        <f t="shared" si="5"/>
        <v>55.267196139121516</v>
      </c>
      <c r="AD23" s="140"/>
      <c r="AE23" s="321">
        <f t="shared" si="6"/>
        <v>160</v>
      </c>
      <c r="AF23" s="150">
        <f t="shared" si="20"/>
        <v>27.947196158673471</v>
      </c>
      <c r="AG23" s="140"/>
    </row>
    <row r="24" spans="1:33" s="27" customFormat="1" ht="21" customHeight="1">
      <c r="A24" s="442"/>
      <c r="B24" s="74"/>
      <c r="C24" s="76"/>
      <c r="D24" s="77">
        <v>55</v>
      </c>
      <c r="E24" s="67">
        <f t="shared" si="12"/>
        <v>3.8194444444444448E-2</v>
      </c>
      <c r="F24" s="78">
        <f t="shared" si="13"/>
        <v>29.713981822287518</v>
      </c>
      <c r="G24" s="78">
        <f t="shared" si="14"/>
        <v>22.513981822287519</v>
      </c>
      <c r="H24" s="80"/>
      <c r="I24" s="80"/>
      <c r="J24" s="443"/>
      <c r="K24" s="146">
        <f t="shared" si="15"/>
        <v>0.48494187312925874</v>
      </c>
      <c r="L24" s="359">
        <f t="shared" si="16"/>
        <v>20</v>
      </c>
      <c r="M24" s="221">
        <f t="shared" si="21"/>
        <v>0.1041</v>
      </c>
      <c r="N24" s="221">
        <f t="shared" si="18"/>
        <v>2.0819999999999999</v>
      </c>
      <c r="O24" s="221">
        <f t="shared" si="19"/>
        <v>4.9079999999999999E-2</v>
      </c>
      <c r="P24" s="221">
        <f t="shared" si="22"/>
        <v>42.42</v>
      </c>
      <c r="Q24" s="360">
        <f t="shared" si="17"/>
        <v>-25.06</v>
      </c>
      <c r="V24" s="320">
        <f t="shared" si="8"/>
        <v>150</v>
      </c>
      <c r="W24" s="140">
        <f t="shared" si="9"/>
        <v>1.6301789923648391</v>
      </c>
      <c r="X24" s="140">
        <f t="shared" si="10"/>
        <v>0.125</v>
      </c>
      <c r="Y24" s="140">
        <f t="shared" si="11"/>
        <v>5.0000000000000001E-4</v>
      </c>
      <c r="Z24" s="140">
        <f t="shared" si="3"/>
        <v>0.125</v>
      </c>
      <c r="AA24" s="321">
        <f t="shared" si="4"/>
        <v>180</v>
      </c>
      <c r="AB24" s="322">
        <f t="shared" si="0"/>
        <v>55.866480770116034</v>
      </c>
      <c r="AC24" s="150">
        <f t="shared" si="5"/>
        <v>55.866480770116034</v>
      </c>
      <c r="AD24" s="140"/>
      <c r="AE24" s="321">
        <f t="shared" si="6"/>
        <v>180</v>
      </c>
      <c r="AF24" s="150">
        <f t="shared" si="20"/>
        <v>28.546480789667989</v>
      </c>
      <c r="AG24" s="140"/>
    </row>
    <row r="25" spans="1:33" s="27" customFormat="1" ht="21" customHeight="1">
      <c r="A25" s="442"/>
      <c r="B25" s="74"/>
      <c r="C25" s="76">
        <f>$C$10+D25/1440</f>
        <v>45768.520833333328</v>
      </c>
      <c r="D25" s="77">
        <v>60</v>
      </c>
      <c r="E25" s="67">
        <f t="shared" si="12"/>
        <v>4.1666666666666664E-2</v>
      </c>
      <c r="F25" s="78">
        <f t="shared" si="13"/>
        <v>30.156699066421726</v>
      </c>
      <c r="G25" s="78">
        <f t="shared" si="14"/>
        <v>22.956699066421727</v>
      </c>
      <c r="H25" s="80"/>
      <c r="I25" s="80"/>
      <c r="J25" s="443"/>
      <c r="K25" s="146">
        <f t="shared" si="15"/>
        <v>0.44271724413420799</v>
      </c>
      <c r="L25" s="359">
        <f t="shared" si="16"/>
        <v>25</v>
      </c>
      <c r="M25" s="221">
        <f t="shared" si="21"/>
        <v>0.1041</v>
      </c>
      <c r="N25" s="221">
        <f t="shared" si="18"/>
        <v>2.6025</v>
      </c>
      <c r="O25" s="221">
        <f t="shared" si="19"/>
        <v>4.9079999999999999E-2</v>
      </c>
      <c r="P25" s="221">
        <f t="shared" si="22"/>
        <v>53.02</v>
      </c>
      <c r="Q25" s="360">
        <f t="shared" si="17"/>
        <v>-34.520000000000003</v>
      </c>
      <c r="V25" s="320">
        <f t="shared" si="8"/>
        <v>150</v>
      </c>
      <c r="W25" s="140">
        <f t="shared" si="9"/>
        <v>1.6301789923648391</v>
      </c>
      <c r="X25" s="140">
        <f t="shared" si="10"/>
        <v>0.125</v>
      </c>
      <c r="Y25" s="140">
        <f t="shared" si="11"/>
        <v>5.0000000000000001E-4</v>
      </c>
      <c r="Z25" s="140">
        <f t="shared" si="3"/>
        <v>0.16666666666666666</v>
      </c>
      <c r="AA25" s="321">
        <f t="shared" si="4"/>
        <v>240</v>
      </c>
      <c r="AB25" s="322">
        <f t="shared" si="0"/>
        <v>57.330218257201771</v>
      </c>
      <c r="AC25" s="150">
        <f t="shared" si="5"/>
        <v>57.330218257201771</v>
      </c>
      <c r="AD25" s="140"/>
      <c r="AE25" s="321">
        <f t="shared" si="6"/>
        <v>240</v>
      </c>
      <c r="AF25" s="150">
        <f t="shared" si="20"/>
        <v>30.010218276753726</v>
      </c>
      <c r="AG25" s="140"/>
    </row>
    <row r="26" spans="1:33" s="27" customFormat="1" ht="21" customHeight="1">
      <c r="A26" s="442"/>
      <c r="B26" s="74"/>
      <c r="C26" s="76"/>
      <c r="D26" s="77">
        <v>75</v>
      </c>
      <c r="E26" s="67">
        <f t="shared" si="12"/>
        <v>5.2083333333333336E-2</v>
      </c>
      <c r="F26" s="78">
        <f t="shared" si="13"/>
        <v>31.292062067238522</v>
      </c>
      <c r="G26" s="78">
        <f t="shared" si="14"/>
        <v>24.092062067238523</v>
      </c>
      <c r="H26" s="80"/>
      <c r="I26" s="80"/>
      <c r="J26" s="443"/>
      <c r="K26" s="146">
        <f t="shared" si="15"/>
        <v>1.1353630008167954</v>
      </c>
      <c r="L26" s="359">
        <f t="shared" si="16"/>
        <v>30</v>
      </c>
      <c r="M26" s="221">
        <f t="shared" si="21"/>
        <v>0.1041</v>
      </c>
      <c r="N26" s="221">
        <f t="shared" si="18"/>
        <v>3.1229999999999998</v>
      </c>
      <c r="O26" s="221">
        <f t="shared" si="19"/>
        <v>4.9079999999999999E-2</v>
      </c>
      <c r="P26" s="221">
        <f t="shared" si="22"/>
        <v>63.63</v>
      </c>
      <c r="Q26" s="360">
        <f t="shared" si="17"/>
        <v>-44.21</v>
      </c>
      <c r="V26" s="320">
        <f t="shared" si="8"/>
        <v>150</v>
      </c>
      <c r="W26" s="140">
        <f t="shared" si="9"/>
        <v>1.6301789923648391</v>
      </c>
      <c r="X26" s="140">
        <f t="shared" si="10"/>
        <v>0.125</v>
      </c>
      <c r="Y26" s="140">
        <f t="shared" si="11"/>
        <v>5.0000000000000001E-4</v>
      </c>
      <c r="Z26" s="140">
        <f t="shared" si="3"/>
        <v>0.20833333333333334</v>
      </c>
      <c r="AA26" s="321">
        <f t="shared" si="4"/>
        <v>300</v>
      </c>
      <c r="AB26" s="322">
        <f t="shared" si="0"/>
        <v>58.465581258018581</v>
      </c>
      <c r="AC26" s="150">
        <f t="shared" si="5"/>
        <v>58.465581258018581</v>
      </c>
      <c r="AD26" s="140"/>
      <c r="AE26" s="321">
        <f t="shared" si="6"/>
        <v>300</v>
      </c>
      <c r="AF26" s="150">
        <f t="shared" si="20"/>
        <v>31.145581277570535</v>
      </c>
      <c r="AG26" s="140"/>
    </row>
    <row r="27" spans="1:33" s="27" customFormat="1" ht="21" customHeight="1">
      <c r="A27" s="442"/>
      <c r="B27" s="74"/>
      <c r="C27" s="76"/>
      <c r="D27" s="77">
        <v>90</v>
      </c>
      <c r="E27" s="67">
        <f t="shared" si="12"/>
        <v>6.25E-2</v>
      </c>
      <c r="F27" s="78">
        <f t="shared" si="13"/>
        <v>32.219721184501999</v>
      </c>
      <c r="G27" s="78">
        <f t="shared" si="14"/>
        <v>25.019721184501996</v>
      </c>
      <c r="H27" s="80"/>
      <c r="I27" s="80"/>
      <c r="J27" s="443"/>
      <c r="K27" s="146">
        <f t="shared" si="15"/>
        <v>0.92765911726347383</v>
      </c>
      <c r="L27" s="359">
        <f t="shared" si="16"/>
        <v>35</v>
      </c>
      <c r="M27" s="221">
        <f t="shared" si="21"/>
        <v>0.1041</v>
      </c>
      <c r="N27" s="221">
        <f t="shared" si="18"/>
        <v>3.6435</v>
      </c>
      <c r="O27" s="221">
        <f t="shared" si="19"/>
        <v>4.9079999999999999E-2</v>
      </c>
      <c r="P27" s="221">
        <f t="shared" si="22"/>
        <v>74.23</v>
      </c>
      <c r="Q27" s="360">
        <f t="shared" si="17"/>
        <v>-54.02</v>
      </c>
      <c r="V27" s="320">
        <f t="shared" si="8"/>
        <v>150</v>
      </c>
      <c r="W27" s="140">
        <f t="shared" si="9"/>
        <v>1.6301789923648391</v>
      </c>
      <c r="X27" s="140">
        <f t="shared" si="10"/>
        <v>0.125</v>
      </c>
      <c r="Y27" s="140">
        <f t="shared" si="11"/>
        <v>5.0000000000000001E-4</v>
      </c>
      <c r="Z27" s="140">
        <f t="shared" si="3"/>
        <v>0.25</v>
      </c>
      <c r="AA27" s="321">
        <f t="shared" si="4"/>
        <v>360</v>
      </c>
      <c r="AB27" s="322">
        <f t="shared" si="0"/>
        <v>59.393240375282033</v>
      </c>
      <c r="AC27" s="150">
        <f t="shared" si="5"/>
        <v>59.393240375282033</v>
      </c>
      <c r="AD27" s="140"/>
      <c r="AE27" s="321">
        <f t="shared" si="6"/>
        <v>360</v>
      </c>
      <c r="AF27" s="150">
        <f t="shared" si="20"/>
        <v>32.073240394833988</v>
      </c>
      <c r="AG27" s="140"/>
    </row>
    <row r="28" spans="1:33" s="27" customFormat="1" ht="21" customHeight="1">
      <c r="A28" s="442"/>
      <c r="B28" s="74"/>
      <c r="C28" s="76"/>
      <c r="D28" s="77">
        <v>105</v>
      </c>
      <c r="E28" s="67">
        <f t="shared" si="12"/>
        <v>7.2916666666666671E-2</v>
      </c>
      <c r="F28" s="78">
        <f t="shared" si="13"/>
        <v>33.004045792566437</v>
      </c>
      <c r="G28" s="78">
        <f t="shared" si="14"/>
        <v>25.804045792566434</v>
      </c>
      <c r="H28" s="80"/>
      <c r="I28" s="80"/>
      <c r="J28" s="443"/>
      <c r="K28" s="146">
        <f t="shared" si="15"/>
        <v>0.78432460806443771</v>
      </c>
      <c r="L28" s="359">
        <f t="shared" si="16"/>
        <v>40</v>
      </c>
      <c r="M28" s="221">
        <f t="shared" si="21"/>
        <v>0.1041</v>
      </c>
      <c r="N28" s="221">
        <f>L28*M28</f>
        <v>4.1639999999999997</v>
      </c>
      <c r="O28" s="221">
        <f t="shared" si="19"/>
        <v>4.9079999999999999E-2</v>
      </c>
      <c r="P28" s="221">
        <f>INT(N28/O28*100)/100</f>
        <v>84.84</v>
      </c>
      <c r="Q28" s="360">
        <f>INT((G21-P28)*100)/100</f>
        <v>-63.95</v>
      </c>
      <c r="S28"/>
      <c r="V28" s="320">
        <f t="shared" si="8"/>
        <v>150</v>
      </c>
      <c r="W28" s="140">
        <f t="shared" si="9"/>
        <v>1.6301789923648391</v>
      </c>
      <c r="X28" s="140">
        <f t="shared" si="10"/>
        <v>0.125</v>
      </c>
      <c r="Y28" s="140">
        <f t="shared" si="11"/>
        <v>5.0000000000000001E-4</v>
      </c>
      <c r="Z28" s="140">
        <f t="shared" si="3"/>
        <v>0.29166666666666669</v>
      </c>
      <c r="AA28" s="323">
        <f t="shared" si="4"/>
        <v>420</v>
      </c>
      <c r="AB28" s="322">
        <f t="shared" si="0"/>
        <v>60.177564983346485</v>
      </c>
      <c r="AC28" s="150">
        <f t="shared" si="5"/>
        <v>60.177564983346485</v>
      </c>
      <c r="AD28" s="140"/>
      <c r="AE28" s="321">
        <f t="shared" si="6"/>
        <v>420</v>
      </c>
      <c r="AF28" s="150">
        <f t="shared" si="20"/>
        <v>32.85756500289844</v>
      </c>
      <c r="AG28" s="140"/>
    </row>
    <row r="29" spans="1:33" s="27" customFormat="1" ht="21" customHeight="1">
      <c r="A29" s="442"/>
      <c r="B29" s="74"/>
      <c r="C29" s="76"/>
      <c r="D29" s="77">
        <v>120</v>
      </c>
      <c r="E29" s="67">
        <f t="shared" si="12"/>
        <v>8.3333333333333329E-2</v>
      </c>
      <c r="F29" s="78">
        <f t="shared" si="13"/>
        <v>33.683458671587736</v>
      </c>
      <c r="G29" s="78">
        <f t="shared" si="14"/>
        <v>26.483458671587734</v>
      </c>
      <c r="H29" s="80"/>
      <c r="I29" s="80"/>
      <c r="J29" s="443"/>
      <c r="K29" s="146">
        <f t="shared" si="15"/>
        <v>0.67941287902129943</v>
      </c>
      <c r="L29" s="359">
        <f t="shared" si="16"/>
        <v>45</v>
      </c>
      <c r="M29" s="221">
        <f t="shared" si="21"/>
        <v>0.1041</v>
      </c>
      <c r="N29" s="221">
        <f>L29*M29</f>
        <v>4.6844999999999999</v>
      </c>
      <c r="O29" s="221">
        <f t="shared" si="19"/>
        <v>4.9079999999999999E-2</v>
      </c>
      <c r="P29" s="221">
        <f>INT(N29/O29*100)/100</f>
        <v>95.44</v>
      </c>
      <c r="Q29" s="360">
        <f>INT((G22-P29)*100)/100</f>
        <v>-73.95</v>
      </c>
      <c r="V29" s="320">
        <f t="shared" si="8"/>
        <v>150</v>
      </c>
      <c r="W29" s="140">
        <f t="shared" si="9"/>
        <v>1.6301789923648391</v>
      </c>
      <c r="X29" s="140">
        <f t="shared" si="10"/>
        <v>0.125</v>
      </c>
      <c r="Y29" s="140">
        <f t="shared" si="11"/>
        <v>5.0000000000000001E-4</v>
      </c>
      <c r="Z29" s="140">
        <f t="shared" si="3"/>
        <v>0.33333333333333331</v>
      </c>
      <c r="AA29" s="321">
        <f t="shared" si="4"/>
        <v>480</v>
      </c>
      <c r="AB29" s="322">
        <f t="shared" si="0"/>
        <v>60.856977862367778</v>
      </c>
      <c r="AC29" s="150">
        <f t="shared" si="5"/>
        <v>60.856977862367778</v>
      </c>
      <c r="AD29" s="140"/>
      <c r="AE29" s="321">
        <f t="shared" si="6"/>
        <v>480</v>
      </c>
      <c r="AF29" s="150">
        <f t="shared" si="20"/>
        <v>33.536977881919732</v>
      </c>
      <c r="AG29" s="140"/>
    </row>
    <row r="30" spans="1:33" s="27" customFormat="1" ht="21" customHeight="1">
      <c r="A30" s="442" t="s">
        <v>4</v>
      </c>
      <c r="B30" s="74" t="s">
        <v>4</v>
      </c>
      <c r="C30" s="76" t="s">
        <v>4</v>
      </c>
      <c r="D30" s="77">
        <v>140</v>
      </c>
      <c r="E30" s="67">
        <f t="shared" si="12"/>
        <v>9.7222222222222224E-2</v>
      </c>
      <c r="F30" s="78">
        <f t="shared" si="13"/>
        <v>34.467783279652181</v>
      </c>
      <c r="G30" s="78">
        <f t="shared" si="14"/>
        <v>27.267783279652178</v>
      </c>
      <c r="H30" s="80"/>
      <c r="I30" s="80"/>
      <c r="J30" s="443"/>
      <c r="K30" s="146">
        <f t="shared" si="15"/>
        <v>0.78432460806444482</v>
      </c>
      <c r="L30" s="359">
        <f t="shared" si="16"/>
        <v>50</v>
      </c>
      <c r="M30" s="221">
        <f t="shared" si="21"/>
        <v>0.1041</v>
      </c>
      <c r="N30" s="221">
        <f>L30*M30</f>
        <v>5.2050000000000001</v>
      </c>
      <c r="O30" s="221">
        <f t="shared" si="19"/>
        <v>4.9079999999999999E-2</v>
      </c>
      <c r="P30" s="221">
        <f>INT(N30/O30*100)/100</f>
        <v>106.05</v>
      </c>
      <c r="Q30" s="360">
        <f>INT((G23-P30)*100)/100</f>
        <v>-84.03</v>
      </c>
      <c r="V30" s="320">
        <f t="shared" si="8"/>
        <v>150</v>
      </c>
      <c r="W30" s="140">
        <f t="shared" si="9"/>
        <v>1.6301789923648391</v>
      </c>
      <c r="X30" s="140">
        <f t="shared" si="10"/>
        <v>0.125</v>
      </c>
      <c r="Y30" s="140">
        <f t="shared" si="11"/>
        <v>5.0000000000000001E-4</v>
      </c>
      <c r="Z30" s="140">
        <f t="shared" si="3"/>
        <v>0.375</v>
      </c>
      <c r="AA30" s="323">
        <f t="shared" si="4"/>
        <v>540</v>
      </c>
      <c r="AB30" s="322">
        <f t="shared" si="0"/>
        <v>61.456262493362303</v>
      </c>
      <c r="AC30" s="150">
        <f t="shared" si="5"/>
        <v>61.456262493362303</v>
      </c>
      <c r="AD30" s="140"/>
      <c r="AE30" s="321">
        <f t="shared" si="6"/>
        <v>540</v>
      </c>
      <c r="AF30" s="150">
        <f t="shared" si="20"/>
        <v>34.136262512914257</v>
      </c>
      <c r="AG30" s="140"/>
    </row>
    <row r="31" spans="1:33" s="27" customFormat="1" ht="21" customHeight="1" thickBot="1">
      <c r="A31" s="442"/>
      <c r="B31" s="74"/>
      <c r="C31" s="76"/>
      <c r="D31" s="77">
        <v>160</v>
      </c>
      <c r="E31" s="67">
        <f t="shared" si="12"/>
        <v>0.1111111111111111</v>
      </c>
      <c r="F31" s="78">
        <f t="shared" si="13"/>
        <v>35.147196158673474</v>
      </c>
      <c r="G31" s="78">
        <f t="shared" si="14"/>
        <v>27.947196158673471</v>
      </c>
      <c r="H31" s="80"/>
      <c r="I31" s="80"/>
      <c r="J31" s="443"/>
      <c r="K31" s="146">
        <f t="shared" si="15"/>
        <v>0.67941287902129233</v>
      </c>
      <c r="L31" s="361">
        <f t="shared" si="16"/>
        <v>55</v>
      </c>
      <c r="M31" s="362">
        <f t="shared" si="21"/>
        <v>0.1041</v>
      </c>
      <c r="N31" s="362">
        <f>L31*M31</f>
        <v>5.7255000000000003</v>
      </c>
      <c r="O31" s="362">
        <f t="shared" si="19"/>
        <v>4.9079999999999999E-2</v>
      </c>
      <c r="P31" s="362">
        <f>INT(N31/O31*100)/100</f>
        <v>116.65</v>
      </c>
      <c r="Q31" s="363">
        <f>INT((G24-P31)*100)/100</f>
        <v>-94.14</v>
      </c>
      <c r="V31" s="320">
        <f t="shared" si="8"/>
        <v>150</v>
      </c>
      <c r="W31" s="140">
        <f t="shared" si="9"/>
        <v>1.6301789923648391</v>
      </c>
      <c r="X31" s="140">
        <f t="shared" si="10"/>
        <v>0.125</v>
      </c>
      <c r="Y31" s="140">
        <f t="shared" si="11"/>
        <v>5.0000000000000001E-4</v>
      </c>
      <c r="Z31" s="140">
        <f t="shared" si="3"/>
        <v>0.41666666666666669</v>
      </c>
      <c r="AA31" s="321">
        <f t="shared" si="4"/>
        <v>600</v>
      </c>
      <c r="AB31" s="322">
        <f t="shared" si="0"/>
        <v>61.99234086318458</v>
      </c>
      <c r="AC31" s="150">
        <f t="shared" si="5"/>
        <v>61.99234086318458</v>
      </c>
      <c r="AD31" s="140"/>
      <c r="AE31" s="321">
        <f t="shared" si="6"/>
        <v>600</v>
      </c>
      <c r="AF31" s="150">
        <f t="shared" si="20"/>
        <v>34.672340882736535</v>
      </c>
      <c r="AG31" s="140"/>
    </row>
    <row r="32" spans="1:33" s="27" customFormat="1" ht="21" customHeight="1">
      <c r="A32" s="442"/>
      <c r="B32" s="74"/>
      <c r="C32" s="76"/>
      <c r="D32" s="77">
        <v>180</v>
      </c>
      <c r="E32" s="67">
        <f t="shared" si="12"/>
        <v>0.125</v>
      </c>
      <c r="F32" s="78">
        <f t="shared" si="13"/>
        <v>35.746480789667991</v>
      </c>
      <c r="G32" s="78">
        <f t="shared" si="14"/>
        <v>28.546480789667989</v>
      </c>
      <c r="H32" s="80"/>
      <c r="I32" s="80"/>
      <c r="J32" s="443"/>
      <c r="K32" s="146">
        <f t="shared" si="15"/>
        <v>0.5992846309945179</v>
      </c>
      <c r="L32" s="41" t="s">
        <v>21</v>
      </c>
      <c r="O32" s="42"/>
      <c r="V32" s="320">
        <f t="shared" si="8"/>
        <v>150</v>
      </c>
      <c r="W32" s="140">
        <f t="shared" si="9"/>
        <v>1.6301789923648391</v>
      </c>
      <c r="X32" s="140">
        <f t="shared" si="10"/>
        <v>0.125</v>
      </c>
      <c r="Y32" s="140">
        <f t="shared" si="11"/>
        <v>5.0000000000000001E-4</v>
      </c>
      <c r="Z32" s="140">
        <f t="shared" si="3"/>
        <v>0.45833333333333331</v>
      </c>
      <c r="AA32" s="323">
        <f t="shared" si="4"/>
        <v>660</v>
      </c>
      <c r="AB32" s="322">
        <f t="shared" si="0"/>
        <v>62.477282736313832</v>
      </c>
      <c r="AC32" s="150">
        <f t="shared" si="5"/>
        <v>62.477282736313832</v>
      </c>
      <c r="AD32" s="140"/>
      <c r="AE32" s="321">
        <f t="shared" si="6"/>
        <v>660</v>
      </c>
      <c r="AF32" s="150">
        <f t="shared" si="20"/>
        <v>35.157282755865786</v>
      </c>
      <c r="AG32" s="140"/>
    </row>
    <row r="33" spans="1:33" s="27" customFormat="1" ht="21" customHeight="1">
      <c r="A33" s="442"/>
      <c r="B33" s="74"/>
      <c r="C33" s="76">
        <f>$C$10+D33/1440</f>
        <v>45768.645833333328</v>
      </c>
      <c r="D33" s="77">
        <f t="shared" ref="D33:D76" si="23">D32+60</f>
        <v>240</v>
      </c>
      <c r="E33" s="67">
        <f t="shared" si="12"/>
        <v>0.16666666666666666</v>
      </c>
      <c r="F33" s="78">
        <f t="shared" si="13"/>
        <v>37.210218276753729</v>
      </c>
      <c r="G33" s="78">
        <f t="shared" si="14"/>
        <v>30.010218276753726</v>
      </c>
      <c r="H33" s="80"/>
      <c r="I33" s="80"/>
      <c r="J33" s="443"/>
      <c r="K33" s="146">
        <f t="shared" si="15"/>
        <v>1.4637374870857371</v>
      </c>
      <c r="L33" s="38" t="s">
        <v>21</v>
      </c>
      <c r="O33" s="42"/>
      <c r="V33" s="320">
        <f t="shared" si="8"/>
        <v>150</v>
      </c>
      <c r="W33" s="140">
        <f t="shared" si="9"/>
        <v>1.6301789923648391</v>
      </c>
      <c r="X33" s="140">
        <f t="shared" si="10"/>
        <v>0.125</v>
      </c>
      <c r="Y33" s="140">
        <f t="shared" si="11"/>
        <v>5.0000000000000001E-4</v>
      </c>
      <c r="Z33" s="140">
        <f t="shared" si="3"/>
        <v>0.5</v>
      </c>
      <c r="AA33" s="321">
        <f t="shared" si="4"/>
        <v>720</v>
      </c>
      <c r="AB33" s="322">
        <f t="shared" si="0"/>
        <v>62.91999998044804</v>
      </c>
      <c r="AC33" s="150">
        <f t="shared" si="5"/>
        <v>62.91999998044804</v>
      </c>
      <c r="AD33" s="140"/>
      <c r="AE33" s="321">
        <f t="shared" si="6"/>
        <v>720</v>
      </c>
      <c r="AF33" s="150">
        <f t="shared" si="20"/>
        <v>35.599999999999994</v>
      </c>
      <c r="AG33" s="140"/>
    </row>
    <row r="34" spans="1:33" s="27" customFormat="1" ht="21" customHeight="1">
      <c r="A34" s="442"/>
      <c r="B34" s="74"/>
      <c r="C34" s="76"/>
      <c r="D34" s="77">
        <f t="shared" si="23"/>
        <v>300</v>
      </c>
      <c r="E34" s="67">
        <f t="shared" si="12"/>
        <v>0.20833333333333334</v>
      </c>
      <c r="F34" s="78">
        <f t="shared" si="13"/>
        <v>38.345581277570538</v>
      </c>
      <c r="G34" s="78">
        <f t="shared" si="14"/>
        <v>31.145581277570535</v>
      </c>
      <c r="H34" s="80"/>
      <c r="I34" s="80"/>
      <c r="J34" s="443"/>
      <c r="K34" s="146">
        <f t="shared" si="15"/>
        <v>1.1353630008168096</v>
      </c>
      <c r="L34" s="38" t="s">
        <v>21</v>
      </c>
      <c r="P34" s="42"/>
      <c r="V34" s="320">
        <f t="shared" si="8"/>
        <v>150</v>
      </c>
      <c r="W34" s="140">
        <f t="shared" si="9"/>
        <v>1.6301789923648391</v>
      </c>
      <c r="X34" s="140">
        <f t="shared" si="10"/>
        <v>0.125</v>
      </c>
      <c r="Y34" s="140">
        <f t="shared" si="11"/>
        <v>5.0000000000000001E-4</v>
      </c>
      <c r="Z34" s="140">
        <f t="shared" si="3"/>
        <v>0.54166666666666663</v>
      </c>
      <c r="AA34" s="323">
        <f t="shared" si="4"/>
        <v>780</v>
      </c>
      <c r="AB34" s="322">
        <f t="shared" si="0"/>
        <v>62.91999998044804</v>
      </c>
      <c r="AC34" s="150">
        <f t="shared" ref="AC34" si="24">AC33</f>
        <v>62.91999998044804</v>
      </c>
      <c r="AD34" s="140"/>
      <c r="AE34" s="321">
        <f t="shared" si="6"/>
        <v>780</v>
      </c>
      <c r="AF34" s="150">
        <f t="shared" si="20"/>
        <v>35.599999999999994</v>
      </c>
      <c r="AG34" s="140"/>
    </row>
    <row r="35" spans="1:33" s="27" customFormat="1" ht="21" customHeight="1">
      <c r="A35" s="442" t="s">
        <v>4</v>
      </c>
      <c r="B35" s="74" t="s">
        <v>4</v>
      </c>
      <c r="C35" s="76" t="s">
        <v>4</v>
      </c>
      <c r="D35" s="77">
        <f t="shared" si="23"/>
        <v>360</v>
      </c>
      <c r="E35" s="67">
        <f t="shared" si="12"/>
        <v>0.25</v>
      </c>
      <c r="F35" s="78">
        <f t="shared" si="13"/>
        <v>39.273240394833991</v>
      </c>
      <c r="G35" s="78">
        <f t="shared" si="14"/>
        <v>32.073240394833988</v>
      </c>
      <c r="H35" s="80"/>
      <c r="I35" s="80"/>
      <c r="J35" s="443"/>
      <c r="K35" s="146">
        <f t="shared" si="15"/>
        <v>0.92765911726345252</v>
      </c>
      <c r="L35" s="38" t="s">
        <v>21</v>
      </c>
      <c r="O35" s="42"/>
      <c r="V35" s="320">
        <f t="shared" si="8"/>
        <v>150</v>
      </c>
      <c r="W35" s="140">
        <f t="shared" si="9"/>
        <v>1.6301789923648391</v>
      </c>
      <c r="X35" s="140">
        <f t="shared" si="10"/>
        <v>0.125</v>
      </c>
      <c r="Y35" s="140">
        <f t="shared" si="11"/>
        <v>5.0000000000000001E-4</v>
      </c>
      <c r="Z35" s="140">
        <f t="shared" si="3"/>
        <v>0.58333333333333337</v>
      </c>
      <c r="AA35" s="321">
        <f t="shared" si="4"/>
        <v>840</v>
      </c>
      <c r="AB35" s="322">
        <f t="shared" si="0"/>
        <v>62.91999998044804</v>
      </c>
      <c r="AC35" s="150">
        <f t="shared" ref="AC35:AC38" si="25">AC34</f>
        <v>62.91999998044804</v>
      </c>
      <c r="AD35" s="140"/>
      <c r="AE35" s="321">
        <f t="shared" si="6"/>
        <v>840</v>
      </c>
      <c r="AF35" s="150">
        <f t="shared" si="20"/>
        <v>35.599999999999994</v>
      </c>
      <c r="AG35" s="140"/>
    </row>
    <row r="36" spans="1:33" s="27" customFormat="1" ht="21" customHeight="1">
      <c r="A36" s="442"/>
      <c r="B36" s="74"/>
      <c r="C36" s="76"/>
      <c r="D36" s="77">
        <f t="shared" si="23"/>
        <v>420</v>
      </c>
      <c r="E36" s="67">
        <f t="shared" si="12"/>
        <v>0.29166666666666669</v>
      </c>
      <c r="F36" s="78">
        <f t="shared" si="13"/>
        <v>40.057565002898443</v>
      </c>
      <c r="G36" s="78">
        <f t="shared" si="14"/>
        <v>32.85756500289844</v>
      </c>
      <c r="H36" s="80"/>
      <c r="I36" s="80"/>
      <c r="J36" s="443"/>
      <c r="K36" s="146">
        <f t="shared" si="15"/>
        <v>0.78432460806445192</v>
      </c>
      <c r="L36" s="38" t="s">
        <v>21</v>
      </c>
      <c r="V36" s="320">
        <f t="shared" si="8"/>
        <v>150</v>
      </c>
      <c r="W36" s="140">
        <f t="shared" si="9"/>
        <v>1.6301789923648391</v>
      </c>
      <c r="X36" s="140">
        <f t="shared" si="10"/>
        <v>0.125</v>
      </c>
      <c r="Y36" s="140">
        <f t="shared" si="11"/>
        <v>5.0000000000000001E-4</v>
      </c>
      <c r="Z36" s="140">
        <f t="shared" si="3"/>
        <v>0.625</v>
      </c>
      <c r="AA36" s="323">
        <f t="shared" si="4"/>
        <v>900</v>
      </c>
      <c r="AB36" s="322">
        <f t="shared" si="0"/>
        <v>62.91999998044804</v>
      </c>
      <c r="AC36" s="150">
        <f t="shared" si="25"/>
        <v>62.91999998044804</v>
      </c>
      <c r="AD36" s="140"/>
      <c r="AE36" s="321">
        <f t="shared" si="6"/>
        <v>900</v>
      </c>
      <c r="AF36" s="150">
        <f t="shared" si="20"/>
        <v>35.599999999999994</v>
      </c>
      <c r="AG36" s="140"/>
    </row>
    <row r="37" spans="1:33" s="27" customFormat="1" ht="21" customHeight="1">
      <c r="A37" s="442"/>
      <c r="B37" s="74"/>
      <c r="C37" s="76"/>
      <c r="D37" s="77">
        <f t="shared" si="23"/>
        <v>480</v>
      </c>
      <c r="E37" s="67">
        <f t="shared" si="12"/>
        <v>0.33333333333333331</v>
      </c>
      <c r="F37" s="78">
        <f t="shared" si="13"/>
        <v>40.736977881919735</v>
      </c>
      <c r="G37" s="78">
        <f t="shared" si="14"/>
        <v>33.536977881919732</v>
      </c>
      <c r="H37" s="80"/>
      <c r="I37" s="80"/>
      <c r="J37" s="443"/>
      <c r="K37" s="146">
        <f t="shared" si="15"/>
        <v>0.67941287902129233</v>
      </c>
      <c r="L37" s="38" t="s">
        <v>21</v>
      </c>
      <c r="V37" s="320">
        <f t="shared" si="8"/>
        <v>150</v>
      </c>
      <c r="W37" s="140">
        <f t="shared" si="9"/>
        <v>1.6301789923648391</v>
      </c>
      <c r="X37" s="140">
        <f t="shared" si="10"/>
        <v>0.125</v>
      </c>
      <c r="Y37" s="140">
        <f t="shared" si="11"/>
        <v>5.0000000000000001E-4</v>
      </c>
      <c r="Z37" s="140">
        <f t="shared" si="3"/>
        <v>0.66666666666666663</v>
      </c>
      <c r="AA37" s="321">
        <f t="shared" si="4"/>
        <v>960</v>
      </c>
      <c r="AB37" s="322">
        <f t="shared" si="0"/>
        <v>62.91999998044804</v>
      </c>
      <c r="AC37" s="150">
        <f t="shared" si="25"/>
        <v>62.91999998044804</v>
      </c>
      <c r="AD37" s="140">
        <v>37</v>
      </c>
      <c r="AE37" s="321">
        <f t="shared" si="6"/>
        <v>960</v>
      </c>
      <c r="AF37" s="150">
        <f t="shared" si="20"/>
        <v>35.599999999999994</v>
      </c>
      <c r="AG37" s="140"/>
    </row>
    <row r="38" spans="1:33" s="27" customFormat="1" ht="21" customHeight="1">
      <c r="A38" s="442"/>
      <c r="B38" s="74"/>
      <c r="C38" s="76"/>
      <c r="D38" s="77">
        <f t="shared" si="23"/>
        <v>540</v>
      </c>
      <c r="E38" s="67">
        <f t="shared" si="12"/>
        <v>0.375</v>
      </c>
      <c r="F38" s="78">
        <f t="shared" si="13"/>
        <v>41.33626251291426</v>
      </c>
      <c r="G38" s="78">
        <f t="shared" si="14"/>
        <v>34.136262512914257</v>
      </c>
      <c r="H38" s="80"/>
      <c r="I38" s="80"/>
      <c r="J38" s="443"/>
      <c r="K38" s="146">
        <f t="shared" si="15"/>
        <v>0.599284630994525</v>
      </c>
      <c r="L38" s="38" t="s">
        <v>21</v>
      </c>
      <c r="V38" s="320">
        <f t="shared" si="8"/>
        <v>150</v>
      </c>
      <c r="W38" s="140">
        <f t="shared" si="9"/>
        <v>1.6301789923648391</v>
      </c>
      <c r="X38" s="140">
        <f t="shared" si="10"/>
        <v>0.125</v>
      </c>
      <c r="Y38" s="140">
        <f t="shared" si="11"/>
        <v>5.0000000000000001E-4</v>
      </c>
      <c r="Z38" s="140">
        <f t="shared" si="3"/>
        <v>0.70833333333333337</v>
      </c>
      <c r="AA38" s="321">
        <f t="shared" si="4"/>
        <v>1020</v>
      </c>
      <c r="AB38" s="322">
        <f t="shared" si="0"/>
        <v>62.91999998044804</v>
      </c>
      <c r="AC38" s="150">
        <f t="shared" si="25"/>
        <v>62.91999998044804</v>
      </c>
      <c r="AD38" s="141" t="s">
        <v>40</v>
      </c>
      <c r="AE38" s="321">
        <f t="shared" si="6"/>
        <v>1020</v>
      </c>
      <c r="AF38" s="150">
        <f t="shared" si="20"/>
        <v>35.599999999999994</v>
      </c>
      <c r="AG38" s="140"/>
    </row>
    <row r="39" spans="1:33" s="27" customFormat="1" ht="21" customHeight="1">
      <c r="A39" s="442"/>
      <c r="B39" s="74"/>
      <c r="C39" s="76">
        <f>$C$10+D39/1440</f>
        <v>45768.895833333328</v>
      </c>
      <c r="D39" s="77">
        <f t="shared" si="23"/>
        <v>600</v>
      </c>
      <c r="E39" s="67">
        <f t="shared" si="12"/>
        <v>0.41666666666666669</v>
      </c>
      <c r="F39" s="78">
        <f t="shared" si="13"/>
        <v>41.872340882736538</v>
      </c>
      <c r="G39" s="78">
        <f t="shared" si="14"/>
        <v>34.672340882736535</v>
      </c>
      <c r="H39" s="80"/>
      <c r="I39" s="80"/>
      <c r="J39" s="443"/>
      <c r="K39" s="146">
        <f t="shared" si="15"/>
        <v>0.53607836982227752</v>
      </c>
      <c r="L39" s="38" t="s">
        <v>21</v>
      </c>
      <c r="V39" s="320">
        <f t="shared" si="8"/>
        <v>150</v>
      </c>
      <c r="W39" s="140">
        <f t="shared" si="9"/>
        <v>1.6301789923648391</v>
      </c>
      <c r="X39" s="140">
        <f t="shared" si="10"/>
        <v>0.125</v>
      </c>
      <c r="Y39" s="140">
        <f t="shared" si="11"/>
        <v>5.0000000000000001E-4</v>
      </c>
      <c r="Z39" s="140">
        <f t="shared" si="3"/>
        <v>0.75</v>
      </c>
      <c r="AA39" s="321">
        <f t="shared" si="4"/>
        <v>1080</v>
      </c>
      <c r="AB39" s="322">
        <f t="shared" si="0"/>
        <v>62.91999998044804</v>
      </c>
      <c r="AC39" s="150">
        <f t="shared" ref="AC39:AC40" si="26">AC38</f>
        <v>62.91999998044804</v>
      </c>
      <c r="AD39" s="43">
        <v>39</v>
      </c>
      <c r="AE39" s="321">
        <f t="shared" si="6"/>
        <v>1080</v>
      </c>
      <c r="AF39" s="150">
        <f t="shared" si="20"/>
        <v>35.599999999999994</v>
      </c>
      <c r="AG39" s="140"/>
    </row>
    <row r="40" spans="1:33" s="27" customFormat="1" ht="21" customHeight="1">
      <c r="A40" s="442" t="s">
        <v>4</v>
      </c>
      <c r="B40" s="74" t="s">
        <v>4</v>
      </c>
      <c r="C40" s="76" t="s">
        <v>4</v>
      </c>
      <c r="D40" s="77">
        <f t="shared" si="23"/>
        <v>660</v>
      </c>
      <c r="E40" s="67">
        <f t="shared" si="12"/>
        <v>0.45833333333333331</v>
      </c>
      <c r="F40" s="78">
        <f t="shared" si="13"/>
        <v>42.357282755865789</v>
      </c>
      <c r="G40" s="78">
        <f t="shared" si="14"/>
        <v>35.157282755865786</v>
      </c>
      <c r="H40" s="80"/>
      <c r="I40" s="80"/>
      <c r="J40" s="443"/>
      <c r="K40" s="146">
        <f t="shared" si="15"/>
        <v>0.48494187312925163</v>
      </c>
      <c r="L40" s="38" t="s">
        <v>21</v>
      </c>
      <c r="V40" s="320">
        <f t="shared" si="8"/>
        <v>150</v>
      </c>
      <c r="W40" s="140">
        <f t="shared" si="9"/>
        <v>1.6301789923648391</v>
      </c>
      <c r="X40" s="140">
        <f t="shared" si="10"/>
        <v>0.125</v>
      </c>
      <c r="Y40" s="140">
        <f t="shared" si="11"/>
        <v>5.0000000000000001E-4</v>
      </c>
      <c r="Z40" s="140">
        <f t="shared" si="3"/>
        <v>0.79166666666666663</v>
      </c>
      <c r="AA40" s="321">
        <f t="shared" si="4"/>
        <v>1140</v>
      </c>
      <c r="AB40" s="322">
        <f t="shared" si="0"/>
        <v>62.91999998044804</v>
      </c>
      <c r="AC40" s="150">
        <f t="shared" si="26"/>
        <v>62.91999998044804</v>
      </c>
      <c r="AD40" s="43">
        <v>40</v>
      </c>
      <c r="AE40" s="321">
        <f t="shared" si="6"/>
        <v>1140</v>
      </c>
      <c r="AF40" s="150">
        <f t="shared" si="20"/>
        <v>35.599999999999994</v>
      </c>
      <c r="AG40" s="140"/>
    </row>
    <row r="41" spans="1:33" s="27" customFormat="1" ht="21" customHeight="1">
      <c r="A41" s="442"/>
      <c r="B41" s="74"/>
      <c r="C41" s="76"/>
      <c r="D41" s="77">
        <f t="shared" si="23"/>
        <v>720</v>
      </c>
      <c r="E41" s="67">
        <f t="shared" si="12"/>
        <v>0.5</v>
      </c>
      <c r="F41" s="78">
        <f t="shared" si="13"/>
        <v>42.8</v>
      </c>
      <c r="G41" s="78">
        <f t="shared" si="14"/>
        <v>35.599999999999994</v>
      </c>
      <c r="H41" s="80"/>
      <c r="I41" s="80"/>
      <c r="J41" s="443"/>
      <c r="K41" s="146">
        <f t="shared" si="15"/>
        <v>0.44271724413420799</v>
      </c>
      <c r="L41" s="38" t="s">
        <v>21</v>
      </c>
      <c r="V41" s="324">
        <f t="shared" si="8"/>
        <v>150</v>
      </c>
      <c r="W41" s="325">
        <f t="shared" si="9"/>
        <v>1.6301789923648391</v>
      </c>
      <c r="X41" s="325">
        <f t="shared" si="10"/>
        <v>0.125</v>
      </c>
      <c r="Y41" s="325">
        <f t="shared" si="11"/>
        <v>5.0000000000000001E-4</v>
      </c>
      <c r="Z41" s="325">
        <f t="shared" si="3"/>
        <v>0.83333333333333337</v>
      </c>
      <c r="AA41" s="326">
        <f t="shared" si="4"/>
        <v>1200</v>
      </c>
      <c r="AB41" s="327">
        <f t="shared" si="0"/>
        <v>62.91999998044804</v>
      </c>
      <c r="AC41" s="150">
        <f t="shared" ref="AC41:AC46" si="27">AC40</f>
        <v>62.91999998044804</v>
      </c>
      <c r="AD41" s="44">
        <v>41</v>
      </c>
      <c r="AE41" s="321">
        <f t="shared" si="6"/>
        <v>1200</v>
      </c>
      <c r="AF41" s="150">
        <f t="shared" si="20"/>
        <v>35.599999999999994</v>
      </c>
      <c r="AG41" s="140"/>
    </row>
    <row r="42" spans="1:33" s="27" customFormat="1" ht="21" customHeight="1">
      <c r="A42" s="442"/>
      <c r="B42" s="74"/>
      <c r="C42" s="76"/>
      <c r="D42" s="77">
        <f t="shared" si="23"/>
        <v>780</v>
      </c>
      <c r="E42" s="67">
        <f t="shared" si="12"/>
        <v>0.54166666666666663</v>
      </c>
      <c r="F42" s="78">
        <f t="shared" si="13"/>
        <v>42.8</v>
      </c>
      <c r="G42" s="78">
        <f t="shared" si="14"/>
        <v>35.599999999999994</v>
      </c>
      <c r="H42" s="80"/>
      <c r="I42" s="80"/>
      <c r="J42" s="443"/>
      <c r="K42" s="146">
        <f t="shared" si="15"/>
        <v>0</v>
      </c>
      <c r="L42" s="38" t="s">
        <v>21</v>
      </c>
      <c r="V42" s="320">
        <f t="shared" si="8"/>
        <v>150</v>
      </c>
      <c r="W42" s="140">
        <f t="shared" si="9"/>
        <v>1.6301789923648391</v>
      </c>
      <c r="X42" s="140">
        <f t="shared" si="10"/>
        <v>0.125</v>
      </c>
      <c r="Y42" s="140">
        <f t="shared" si="11"/>
        <v>5.0000000000000001E-4</v>
      </c>
      <c r="Z42" s="140">
        <f t="shared" si="3"/>
        <v>0.875</v>
      </c>
      <c r="AA42" s="321">
        <f t="shared" si="4"/>
        <v>1260</v>
      </c>
      <c r="AB42" s="322">
        <f t="shared" si="0"/>
        <v>62.91999998044804</v>
      </c>
      <c r="AC42" s="150">
        <f t="shared" si="27"/>
        <v>62.91999998044804</v>
      </c>
      <c r="AD42" s="43">
        <v>42</v>
      </c>
      <c r="AE42" s="321">
        <f t="shared" si="6"/>
        <v>1260</v>
      </c>
      <c r="AF42" s="150">
        <f t="shared" si="20"/>
        <v>35.599999999999994</v>
      </c>
      <c r="AG42" s="140"/>
    </row>
    <row r="43" spans="1:33" s="27" customFormat="1" ht="21" customHeight="1">
      <c r="A43" s="442"/>
      <c r="B43" s="74"/>
      <c r="C43" s="76"/>
      <c r="D43" s="77">
        <f t="shared" si="23"/>
        <v>840</v>
      </c>
      <c r="E43" s="67">
        <f t="shared" si="12"/>
        <v>0.58333333333333337</v>
      </c>
      <c r="F43" s="78">
        <f t="shared" si="13"/>
        <v>42.8</v>
      </c>
      <c r="G43" s="78">
        <f t="shared" si="14"/>
        <v>35.599999999999994</v>
      </c>
      <c r="H43" s="80"/>
      <c r="I43" s="80"/>
      <c r="J43" s="443"/>
      <c r="K43" s="146">
        <f t="shared" si="15"/>
        <v>0</v>
      </c>
      <c r="L43" s="38" t="s">
        <v>21</v>
      </c>
      <c r="V43" s="324">
        <f t="shared" si="8"/>
        <v>150</v>
      </c>
      <c r="W43" s="325">
        <f t="shared" si="9"/>
        <v>1.6301789923648391</v>
      </c>
      <c r="X43" s="325">
        <f t="shared" si="10"/>
        <v>0.125</v>
      </c>
      <c r="Y43" s="325">
        <f t="shared" si="11"/>
        <v>5.0000000000000001E-4</v>
      </c>
      <c r="Z43" s="325">
        <f t="shared" si="3"/>
        <v>0.91666666666666663</v>
      </c>
      <c r="AA43" s="326">
        <f t="shared" si="4"/>
        <v>1320</v>
      </c>
      <c r="AB43" s="327">
        <f t="shared" si="0"/>
        <v>62.91999998044804</v>
      </c>
      <c r="AC43" s="150">
        <f t="shared" si="27"/>
        <v>62.91999998044804</v>
      </c>
      <c r="AD43" s="44">
        <v>43</v>
      </c>
      <c r="AE43" s="321">
        <f t="shared" si="6"/>
        <v>1320</v>
      </c>
      <c r="AF43" s="150">
        <f t="shared" si="20"/>
        <v>35.599999999999994</v>
      </c>
      <c r="AG43" s="140"/>
    </row>
    <row r="44" spans="1:33" s="27" customFormat="1" ht="21" customHeight="1">
      <c r="A44" s="442"/>
      <c r="B44" s="74"/>
      <c r="C44" s="76"/>
      <c r="D44" s="77">
        <f t="shared" si="23"/>
        <v>900</v>
      </c>
      <c r="E44" s="67">
        <f t="shared" si="12"/>
        <v>0.625</v>
      </c>
      <c r="F44" s="78">
        <f t="shared" si="13"/>
        <v>42.8</v>
      </c>
      <c r="G44" s="78">
        <f t="shared" si="14"/>
        <v>35.599999999999994</v>
      </c>
      <c r="H44" s="80"/>
      <c r="I44" s="80"/>
      <c r="J44" s="443"/>
      <c r="K44" s="146">
        <f t="shared" si="15"/>
        <v>0</v>
      </c>
      <c r="L44" s="38" t="s">
        <v>21</v>
      </c>
      <c r="V44" s="320">
        <f t="shared" si="8"/>
        <v>150</v>
      </c>
      <c r="W44" s="140">
        <f t="shared" si="9"/>
        <v>1.6301789923648391</v>
      </c>
      <c r="X44" s="140">
        <f t="shared" si="10"/>
        <v>0.125</v>
      </c>
      <c r="Y44" s="140">
        <f t="shared" si="11"/>
        <v>5.0000000000000001E-4</v>
      </c>
      <c r="Z44" s="140">
        <f t="shared" si="3"/>
        <v>0.95833333333333337</v>
      </c>
      <c r="AA44" s="321">
        <f t="shared" si="4"/>
        <v>1380</v>
      </c>
      <c r="AB44" s="322">
        <f t="shared" si="0"/>
        <v>62.91999998044804</v>
      </c>
      <c r="AC44" s="150">
        <f t="shared" si="27"/>
        <v>62.91999998044804</v>
      </c>
      <c r="AD44" s="43">
        <v>44</v>
      </c>
      <c r="AE44" s="321">
        <f t="shared" si="6"/>
        <v>1380</v>
      </c>
      <c r="AF44" s="150">
        <f t="shared" si="20"/>
        <v>35.599999999999994</v>
      </c>
      <c r="AG44" s="140"/>
    </row>
    <row r="45" spans="1:33" s="27" customFormat="1" ht="21" customHeight="1">
      <c r="A45" s="442" t="s">
        <v>4</v>
      </c>
      <c r="B45" s="74" t="s">
        <v>4</v>
      </c>
      <c r="C45" s="76">
        <f>$C$10+D45/1440</f>
        <v>45769.145833333328</v>
      </c>
      <c r="D45" s="77">
        <f t="shared" si="23"/>
        <v>960</v>
      </c>
      <c r="E45" s="67">
        <f t="shared" si="12"/>
        <v>0.66666666666666663</v>
      </c>
      <c r="F45" s="78">
        <f t="shared" si="13"/>
        <v>42.8</v>
      </c>
      <c r="G45" s="78">
        <f t="shared" si="14"/>
        <v>35.599999999999994</v>
      </c>
      <c r="H45" s="80"/>
      <c r="I45" s="80"/>
      <c r="J45" s="443"/>
      <c r="K45" s="146">
        <f t="shared" si="15"/>
        <v>0</v>
      </c>
      <c r="L45" s="38" t="s">
        <v>21</v>
      </c>
      <c r="V45" s="324">
        <f t="shared" si="8"/>
        <v>150</v>
      </c>
      <c r="W45" s="325">
        <f t="shared" si="9"/>
        <v>1.6301789923648391</v>
      </c>
      <c r="X45" s="325">
        <f t="shared" si="10"/>
        <v>0.125</v>
      </c>
      <c r="Y45" s="325">
        <f t="shared" si="11"/>
        <v>5.0000000000000001E-4</v>
      </c>
      <c r="Z45" s="325">
        <f t="shared" si="3"/>
        <v>1</v>
      </c>
      <c r="AA45" s="326">
        <f t="shared" si="4"/>
        <v>1440</v>
      </c>
      <c r="AB45" s="327">
        <f t="shared" si="0"/>
        <v>62.91999998044804</v>
      </c>
      <c r="AC45" s="150">
        <f t="shared" si="27"/>
        <v>62.91999998044804</v>
      </c>
      <c r="AD45" s="44">
        <v>45</v>
      </c>
      <c r="AE45" s="321">
        <f t="shared" si="6"/>
        <v>1440</v>
      </c>
      <c r="AF45" s="150">
        <f t="shared" si="20"/>
        <v>35.599999999999994</v>
      </c>
      <c r="AG45" s="140"/>
    </row>
    <row r="46" spans="1:33" s="27" customFormat="1" ht="21" customHeight="1">
      <c r="A46" s="442"/>
      <c r="B46" s="74"/>
      <c r="C46" s="74"/>
      <c r="D46" s="81">
        <f t="shared" si="23"/>
        <v>1020</v>
      </c>
      <c r="E46" s="67">
        <f t="shared" si="12"/>
        <v>0.70833333333333337</v>
      </c>
      <c r="F46" s="78">
        <f t="shared" si="13"/>
        <v>42.8</v>
      </c>
      <c r="G46" s="78">
        <f t="shared" si="14"/>
        <v>35.599999999999994</v>
      </c>
      <c r="H46" s="80"/>
      <c r="I46" s="80"/>
      <c r="J46" s="443"/>
      <c r="K46" s="146">
        <f t="shared" si="15"/>
        <v>0</v>
      </c>
      <c r="L46" s="38" t="s">
        <v>21</v>
      </c>
      <c r="V46" s="320">
        <f t="shared" si="8"/>
        <v>150</v>
      </c>
      <c r="W46" s="140">
        <f t="shared" si="9"/>
        <v>1.6301789923648391</v>
      </c>
      <c r="X46" s="140">
        <f t="shared" si="10"/>
        <v>0.125</v>
      </c>
      <c r="Y46" s="140">
        <f t="shared" si="11"/>
        <v>5.0000000000000001E-4</v>
      </c>
      <c r="Z46" s="140">
        <f t="shared" si="3"/>
        <v>1.0416666666666667</v>
      </c>
      <c r="AA46" s="328">
        <f t="shared" si="4"/>
        <v>1500</v>
      </c>
      <c r="AB46" s="329">
        <f t="shared" si="0"/>
        <v>62.91999998044804</v>
      </c>
      <c r="AC46" s="150">
        <f t="shared" si="27"/>
        <v>62.91999998044804</v>
      </c>
      <c r="AD46" s="43">
        <v>46</v>
      </c>
      <c r="AE46" s="328">
        <f t="shared" si="6"/>
        <v>1500</v>
      </c>
      <c r="AF46" s="330">
        <f t="shared" si="20"/>
        <v>35.599999999999994</v>
      </c>
      <c r="AG46" s="140"/>
    </row>
    <row r="47" spans="1:33" s="27" customFormat="1" ht="21" customHeight="1">
      <c r="A47" s="442"/>
      <c r="B47" s="74"/>
      <c r="C47" s="76"/>
      <c r="D47" s="77">
        <f t="shared" si="23"/>
        <v>1080</v>
      </c>
      <c r="E47" s="67">
        <f t="shared" si="12"/>
        <v>0.75</v>
      </c>
      <c r="F47" s="78">
        <f t="shared" si="13"/>
        <v>42.8</v>
      </c>
      <c r="G47" s="78">
        <f t="shared" si="14"/>
        <v>35.599999999999994</v>
      </c>
      <c r="H47" s="80"/>
      <c r="I47" s="80"/>
      <c r="J47" s="443"/>
      <c r="K47" s="146">
        <f t="shared" si="15"/>
        <v>0</v>
      </c>
      <c r="L47" s="38" t="s">
        <v>21</v>
      </c>
      <c r="V47" s="320">
        <f t="shared" si="8"/>
        <v>150</v>
      </c>
      <c r="W47" s="140">
        <f t="shared" si="9"/>
        <v>1.6301789923648391</v>
      </c>
      <c r="X47" s="140">
        <f t="shared" si="10"/>
        <v>0.125</v>
      </c>
      <c r="Y47" s="140">
        <f t="shared" si="11"/>
        <v>5.0000000000000001E-4</v>
      </c>
      <c r="Z47" s="140">
        <f t="shared" si="3"/>
        <v>1.0833333333333333</v>
      </c>
      <c r="AA47" s="321">
        <f t="shared" si="4"/>
        <v>1560</v>
      </c>
      <c r="AB47" s="322">
        <f t="shared" si="0"/>
        <v>62.91999998044804</v>
      </c>
      <c r="AC47" s="150">
        <f t="shared" ref="AC47:AC69" si="28">AC46</f>
        <v>62.91999998044804</v>
      </c>
      <c r="AD47" s="140"/>
      <c r="AE47" s="321">
        <f t="shared" si="6"/>
        <v>1560</v>
      </c>
      <c r="AF47" s="150">
        <f t="shared" si="20"/>
        <v>35.599999999999994</v>
      </c>
      <c r="AG47" s="140"/>
    </row>
    <row r="48" spans="1:33" s="27" customFormat="1" ht="21" customHeight="1">
      <c r="A48" s="442"/>
      <c r="B48" s="74"/>
      <c r="C48" s="76"/>
      <c r="D48" s="77">
        <f t="shared" si="23"/>
        <v>1140</v>
      </c>
      <c r="E48" s="67">
        <f t="shared" si="12"/>
        <v>0.79166666666666663</v>
      </c>
      <c r="F48" s="78">
        <f t="shared" si="13"/>
        <v>42.8</v>
      </c>
      <c r="G48" s="78">
        <f t="shared" si="14"/>
        <v>35.599999999999994</v>
      </c>
      <c r="H48" s="80"/>
      <c r="I48" s="80"/>
      <c r="J48" s="443"/>
      <c r="K48" s="117" t="s">
        <v>21</v>
      </c>
      <c r="L48" s="38" t="s">
        <v>21</v>
      </c>
      <c r="V48" s="320">
        <f t="shared" si="8"/>
        <v>150</v>
      </c>
      <c r="W48" s="140">
        <f t="shared" si="9"/>
        <v>1.6301789923648391</v>
      </c>
      <c r="X48" s="140">
        <f t="shared" si="10"/>
        <v>0.125</v>
      </c>
      <c r="Y48" s="140">
        <f t="shared" si="11"/>
        <v>5.0000000000000001E-4</v>
      </c>
      <c r="Z48" s="140">
        <f t="shared" si="3"/>
        <v>1.125</v>
      </c>
      <c r="AA48" s="321">
        <f t="shared" si="4"/>
        <v>1620</v>
      </c>
      <c r="AB48" s="322">
        <f t="shared" si="0"/>
        <v>62.91999998044804</v>
      </c>
      <c r="AC48" s="150">
        <f t="shared" si="28"/>
        <v>62.91999998044804</v>
      </c>
      <c r="AD48" s="140"/>
      <c r="AE48" s="321">
        <f t="shared" si="6"/>
        <v>1620</v>
      </c>
      <c r="AF48" s="150">
        <f t="shared" si="20"/>
        <v>35.599999999999994</v>
      </c>
      <c r="AG48" s="140"/>
    </row>
    <row r="49" spans="1:33" s="27" customFormat="1" ht="21" customHeight="1">
      <c r="A49" s="442"/>
      <c r="B49" s="74"/>
      <c r="C49" s="76"/>
      <c r="D49" s="77">
        <f t="shared" si="23"/>
        <v>1200</v>
      </c>
      <c r="E49" s="67">
        <f t="shared" si="12"/>
        <v>0.83333333333333337</v>
      </c>
      <c r="F49" s="78">
        <f t="shared" si="13"/>
        <v>42.8</v>
      </c>
      <c r="G49" s="78">
        <f t="shared" si="14"/>
        <v>35.599999999999994</v>
      </c>
      <c r="H49" s="80"/>
      <c r="I49" s="80"/>
      <c r="J49" s="443"/>
      <c r="K49" s="117" t="s">
        <v>21</v>
      </c>
      <c r="L49" s="38" t="s">
        <v>21</v>
      </c>
      <c r="V49" s="320">
        <f t="shared" si="8"/>
        <v>150</v>
      </c>
      <c r="W49" s="140">
        <f t="shared" si="9"/>
        <v>1.6301789923648391</v>
      </c>
      <c r="X49" s="140">
        <f t="shared" si="10"/>
        <v>0.125</v>
      </c>
      <c r="Y49" s="140">
        <f t="shared" si="11"/>
        <v>5.0000000000000001E-4</v>
      </c>
      <c r="Z49" s="140">
        <f t="shared" si="3"/>
        <v>1.1666666666666667</v>
      </c>
      <c r="AA49" s="321">
        <f t="shared" si="4"/>
        <v>1680</v>
      </c>
      <c r="AB49" s="322">
        <f t="shared" si="0"/>
        <v>62.91999998044804</v>
      </c>
      <c r="AC49" s="150">
        <f t="shared" si="28"/>
        <v>62.91999998044804</v>
      </c>
      <c r="AD49" s="140"/>
      <c r="AE49" s="321">
        <f t="shared" si="6"/>
        <v>1680</v>
      </c>
      <c r="AF49" s="150">
        <f t="shared" si="20"/>
        <v>35.599999999999994</v>
      </c>
      <c r="AG49" s="140"/>
    </row>
    <row r="50" spans="1:33" s="27" customFormat="1" ht="21" customHeight="1">
      <c r="A50" s="442"/>
      <c r="B50" s="74"/>
      <c r="C50" s="76"/>
      <c r="D50" s="77">
        <f t="shared" si="23"/>
        <v>1260</v>
      </c>
      <c r="E50" s="67">
        <f t="shared" si="12"/>
        <v>0.875</v>
      </c>
      <c r="F50" s="78">
        <f t="shared" si="13"/>
        <v>42.8</v>
      </c>
      <c r="G50" s="78">
        <f t="shared" si="14"/>
        <v>35.599999999999994</v>
      </c>
      <c r="H50" s="80"/>
      <c r="I50" s="80"/>
      <c r="J50" s="443"/>
      <c r="K50" s="117" t="s">
        <v>21</v>
      </c>
      <c r="L50" s="38" t="s">
        <v>21</v>
      </c>
      <c r="V50" s="320">
        <f t="shared" si="8"/>
        <v>150</v>
      </c>
      <c r="W50" s="140">
        <f t="shared" si="9"/>
        <v>1.6301789923648391</v>
      </c>
      <c r="X50" s="140">
        <f t="shared" si="10"/>
        <v>0.125</v>
      </c>
      <c r="Y50" s="140">
        <f t="shared" si="11"/>
        <v>5.0000000000000001E-4</v>
      </c>
      <c r="Z50" s="140">
        <f t="shared" si="3"/>
        <v>1.2083333333333333</v>
      </c>
      <c r="AA50" s="321">
        <f t="shared" si="4"/>
        <v>1740</v>
      </c>
      <c r="AB50" s="322">
        <f t="shared" si="0"/>
        <v>62.91999998044804</v>
      </c>
      <c r="AC50" s="150">
        <f t="shared" si="28"/>
        <v>62.91999998044804</v>
      </c>
      <c r="AD50" s="140"/>
      <c r="AE50" s="321">
        <f t="shared" si="6"/>
        <v>1740</v>
      </c>
      <c r="AF50" s="150">
        <f t="shared" si="20"/>
        <v>35.599999999999994</v>
      </c>
      <c r="AG50" s="140"/>
    </row>
    <row r="51" spans="1:33" s="27" customFormat="1" ht="21" customHeight="1">
      <c r="A51" s="442"/>
      <c r="B51" s="74"/>
      <c r="C51" s="76">
        <f>$C$10+D51/1440</f>
        <v>45769.395833333328</v>
      </c>
      <c r="D51" s="77">
        <f t="shared" si="23"/>
        <v>1320</v>
      </c>
      <c r="E51" s="67">
        <f t="shared" si="12"/>
        <v>0.91666666666666663</v>
      </c>
      <c r="F51" s="78">
        <f t="shared" si="13"/>
        <v>42.8</v>
      </c>
      <c r="G51" s="78">
        <f t="shared" si="14"/>
        <v>35.599999999999994</v>
      </c>
      <c r="H51" s="80"/>
      <c r="I51" s="80"/>
      <c r="J51" s="443"/>
      <c r="K51" s="117" t="s">
        <v>21</v>
      </c>
      <c r="L51" s="38" t="s">
        <v>21</v>
      </c>
      <c r="V51" s="320">
        <f t="shared" si="8"/>
        <v>150</v>
      </c>
      <c r="W51" s="140">
        <f t="shared" si="9"/>
        <v>1.6301789923648391</v>
      </c>
      <c r="X51" s="140">
        <f t="shared" si="10"/>
        <v>0.125</v>
      </c>
      <c r="Y51" s="140">
        <f t="shared" si="11"/>
        <v>5.0000000000000001E-4</v>
      </c>
      <c r="Z51" s="140">
        <f t="shared" si="3"/>
        <v>1.25</v>
      </c>
      <c r="AA51" s="321">
        <f t="shared" si="4"/>
        <v>1800</v>
      </c>
      <c r="AB51" s="322">
        <f t="shared" si="0"/>
        <v>62.91999998044804</v>
      </c>
      <c r="AC51" s="150">
        <f t="shared" si="28"/>
        <v>62.91999998044804</v>
      </c>
      <c r="AD51" s="140"/>
      <c r="AE51" s="321">
        <f t="shared" si="6"/>
        <v>1800</v>
      </c>
      <c r="AF51" s="150">
        <f t="shared" si="20"/>
        <v>35.599999999999994</v>
      </c>
      <c r="AG51" s="140"/>
    </row>
    <row r="52" spans="1:33" s="27" customFormat="1" ht="21" customHeight="1">
      <c r="A52" s="442"/>
      <c r="B52" s="74"/>
      <c r="C52" s="76"/>
      <c r="D52" s="77">
        <f t="shared" si="23"/>
        <v>1380</v>
      </c>
      <c r="E52" s="67">
        <f t="shared" si="12"/>
        <v>0.95833333333333337</v>
      </c>
      <c r="F52" s="78">
        <f t="shared" si="13"/>
        <v>42.8</v>
      </c>
      <c r="G52" s="78">
        <f t="shared" si="14"/>
        <v>35.599999999999994</v>
      </c>
      <c r="H52" s="80"/>
      <c r="I52" s="80"/>
      <c r="J52" s="443"/>
      <c r="K52" s="117" t="s">
        <v>21</v>
      </c>
      <c r="L52" s="38" t="s">
        <v>21</v>
      </c>
      <c r="V52" s="320">
        <f t="shared" si="8"/>
        <v>150</v>
      </c>
      <c r="W52" s="140">
        <f t="shared" si="9"/>
        <v>1.6301789923648391</v>
      </c>
      <c r="X52" s="140">
        <f t="shared" si="10"/>
        <v>0.125</v>
      </c>
      <c r="Y52" s="140">
        <f t="shared" si="11"/>
        <v>5.0000000000000001E-4</v>
      </c>
      <c r="Z52" s="140">
        <f t="shared" si="3"/>
        <v>1.2916666666666667</v>
      </c>
      <c r="AA52" s="321">
        <f t="shared" si="4"/>
        <v>1860</v>
      </c>
      <c r="AB52" s="322">
        <f t="shared" si="0"/>
        <v>62.91999998044804</v>
      </c>
      <c r="AC52" s="150">
        <f t="shared" si="28"/>
        <v>62.91999998044804</v>
      </c>
      <c r="AD52" s="140"/>
      <c r="AE52" s="321">
        <f t="shared" si="6"/>
        <v>1860</v>
      </c>
      <c r="AF52" s="150">
        <f t="shared" si="20"/>
        <v>35.599999999999994</v>
      </c>
      <c r="AG52" s="140"/>
    </row>
    <row r="53" spans="1:33" s="27" customFormat="1" ht="21" customHeight="1">
      <c r="A53" s="442"/>
      <c r="B53" s="74"/>
      <c r="C53" s="76"/>
      <c r="D53" s="77">
        <f t="shared" si="23"/>
        <v>1440</v>
      </c>
      <c r="E53" s="67">
        <f t="shared" si="12"/>
        <v>1</v>
      </c>
      <c r="F53" s="78">
        <f t="shared" si="13"/>
        <v>42.8</v>
      </c>
      <c r="G53" s="78">
        <f t="shared" si="14"/>
        <v>35.599999999999994</v>
      </c>
      <c r="H53" s="80"/>
      <c r="I53" s="80"/>
      <c r="J53" s="443"/>
      <c r="K53" s="117" t="s">
        <v>21</v>
      </c>
      <c r="L53" s="38" t="s">
        <v>21</v>
      </c>
      <c r="V53" s="320">
        <f t="shared" si="8"/>
        <v>150</v>
      </c>
      <c r="W53" s="140">
        <f t="shared" si="9"/>
        <v>1.6301789923648391</v>
      </c>
      <c r="X53" s="140">
        <f t="shared" si="10"/>
        <v>0.125</v>
      </c>
      <c r="Y53" s="140">
        <f t="shared" si="11"/>
        <v>5.0000000000000001E-4</v>
      </c>
      <c r="Z53" s="140">
        <f t="shared" si="3"/>
        <v>1.3333333333333333</v>
      </c>
      <c r="AA53" s="321">
        <f t="shared" si="4"/>
        <v>1920</v>
      </c>
      <c r="AB53" s="322">
        <f t="shared" si="0"/>
        <v>62.91999998044804</v>
      </c>
      <c r="AC53" s="150">
        <f t="shared" si="28"/>
        <v>62.91999998044804</v>
      </c>
      <c r="AD53" s="140"/>
      <c r="AE53" s="321">
        <f t="shared" si="6"/>
        <v>1920</v>
      </c>
      <c r="AF53" s="150">
        <f t="shared" si="20"/>
        <v>35.599999999999994</v>
      </c>
      <c r="AG53" s="140"/>
    </row>
    <row r="54" spans="1:33" s="27" customFormat="1" ht="21" customHeight="1">
      <c r="A54" s="442"/>
      <c r="B54" s="74"/>
      <c r="C54" s="76"/>
      <c r="D54" s="77">
        <f t="shared" si="23"/>
        <v>1500</v>
      </c>
      <c r="E54" s="67">
        <f t="shared" si="12"/>
        <v>1.0416666666666667</v>
      </c>
      <c r="F54" s="78">
        <f t="shared" si="13"/>
        <v>42.8</v>
      </c>
      <c r="G54" s="78">
        <f t="shared" si="14"/>
        <v>35.599999999999994</v>
      </c>
      <c r="H54" s="80"/>
      <c r="I54" s="80"/>
      <c r="J54" s="443"/>
      <c r="K54" s="117" t="s">
        <v>21</v>
      </c>
      <c r="L54" s="38" t="s">
        <v>21</v>
      </c>
      <c r="V54" s="320">
        <f t="shared" si="8"/>
        <v>150</v>
      </c>
      <c r="W54" s="140">
        <f t="shared" si="9"/>
        <v>1.6301789923648391</v>
      </c>
      <c r="X54" s="140">
        <f t="shared" si="10"/>
        <v>0.125</v>
      </c>
      <c r="Y54" s="140">
        <f t="shared" si="11"/>
        <v>5.0000000000000001E-4</v>
      </c>
      <c r="Z54" s="140">
        <f t="shared" si="3"/>
        <v>1.375</v>
      </c>
      <c r="AA54" s="321">
        <f t="shared" si="4"/>
        <v>1980</v>
      </c>
      <c r="AB54" s="322">
        <f t="shared" si="0"/>
        <v>62.91999998044804</v>
      </c>
      <c r="AC54" s="150">
        <f t="shared" si="28"/>
        <v>62.91999998044804</v>
      </c>
      <c r="AD54" s="140"/>
      <c r="AE54" s="321">
        <f t="shared" si="6"/>
        <v>1980</v>
      </c>
      <c r="AF54" s="150">
        <f t="shared" si="20"/>
        <v>35.599999999999994</v>
      </c>
      <c r="AG54" s="140"/>
    </row>
    <row r="55" spans="1:33" s="27" customFormat="1" ht="21" customHeight="1">
      <c r="A55" s="442"/>
      <c r="B55" s="74"/>
      <c r="C55" s="76" t="s">
        <v>4</v>
      </c>
      <c r="D55" s="77">
        <f t="shared" si="23"/>
        <v>1560</v>
      </c>
      <c r="E55" s="67">
        <f t="shared" si="12"/>
        <v>1.0833333333333333</v>
      </c>
      <c r="F55" s="78">
        <f t="shared" si="13"/>
        <v>42.8</v>
      </c>
      <c r="G55" s="78">
        <f t="shared" si="14"/>
        <v>35.599999999999994</v>
      </c>
      <c r="H55" s="80"/>
      <c r="I55" s="80"/>
      <c r="J55" s="443"/>
      <c r="K55" s="117" t="s">
        <v>21</v>
      </c>
      <c r="L55" s="38" t="s">
        <v>21</v>
      </c>
      <c r="V55" s="320">
        <f t="shared" si="8"/>
        <v>150</v>
      </c>
      <c r="W55" s="140">
        <f t="shared" si="9"/>
        <v>1.6301789923648391</v>
      </c>
      <c r="X55" s="140">
        <f t="shared" si="10"/>
        <v>0.125</v>
      </c>
      <c r="Y55" s="140">
        <f t="shared" si="11"/>
        <v>5.0000000000000001E-4</v>
      </c>
      <c r="Z55" s="140">
        <f t="shared" si="3"/>
        <v>1.4166666666666667</v>
      </c>
      <c r="AA55" s="321">
        <f t="shared" si="4"/>
        <v>2040</v>
      </c>
      <c r="AB55" s="322">
        <f t="shared" si="0"/>
        <v>62.91999998044804</v>
      </c>
      <c r="AC55" s="150">
        <f t="shared" si="28"/>
        <v>62.91999998044804</v>
      </c>
      <c r="AD55" s="140"/>
      <c r="AE55" s="321">
        <f t="shared" si="6"/>
        <v>2040</v>
      </c>
      <c r="AF55" s="150">
        <f t="shared" si="20"/>
        <v>35.599999999999994</v>
      </c>
      <c r="AG55" s="140"/>
    </row>
    <row r="56" spans="1:33" s="27" customFormat="1" ht="21.6" customHeight="1">
      <c r="A56" s="442"/>
      <c r="B56" s="74"/>
      <c r="C56" s="76">
        <f>$C$10+D56/1440</f>
        <v>45769.604166666664</v>
      </c>
      <c r="D56" s="77">
        <f t="shared" si="23"/>
        <v>1620</v>
      </c>
      <c r="E56" s="67">
        <f t="shared" si="12"/>
        <v>1.125</v>
      </c>
      <c r="F56" s="78">
        <f t="shared" si="13"/>
        <v>42.8</v>
      </c>
      <c r="G56" s="78">
        <f t="shared" si="14"/>
        <v>35.599999999999994</v>
      </c>
      <c r="H56" s="80"/>
      <c r="I56" s="80"/>
      <c r="J56" s="443"/>
      <c r="K56" s="117" t="s">
        <v>21</v>
      </c>
      <c r="L56" s="38" t="s">
        <v>21</v>
      </c>
      <c r="V56" s="320">
        <f t="shared" si="8"/>
        <v>150</v>
      </c>
      <c r="W56" s="140">
        <f t="shared" si="9"/>
        <v>1.6301789923648391</v>
      </c>
      <c r="X56" s="140">
        <f t="shared" si="10"/>
        <v>0.125</v>
      </c>
      <c r="Y56" s="140">
        <f t="shared" si="11"/>
        <v>5.0000000000000001E-4</v>
      </c>
      <c r="Z56" s="140">
        <f t="shared" si="3"/>
        <v>1.4583333333333333</v>
      </c>
      <c r="AA56" s="321">
        <f t="shared" si="4"/>
        <v>2100</v>
      </c>
      <c r="AB56" s="322">
        <f t="shared" si="0"/>
        <v>62.91999998044804</v>
      </c>
      <c r="AC56" s="150">
        <f t="shared" si="28"/>
        <v>62.91999998044804</v>
      </c>
      <c r="AD56" s="140"/>
      <c r="AE56" s="321">
        <f t="shared" si="6"/>
        <v>2100</v>
      </c>
      <c r="AF56" s="150">
        <f t="shared" si="20"/>
        <v>35.599999999999994</v>
      </c>
      <c r="AG56" s="140"/>
    </row>
    <row r="57" spans="1:33" s="27" customFormat="1" ht="21.6" customHeight="1">
      <c r="A57" s="442"/>
      <c r="B57" s="74"/>
      <c r="C57" s="76"/>
      <c r="D57" s="77">
        <f t="shared" si="23"/>
        <v>1680</v>
      </c>
      <c r="E57" s="67">
        <f t="shared" si="12"/>
        <v>1.1666666666666667</v>
      </c>
      <c r="F57" s="78">
        <f t="shared" si="13"/>
        <v>42.8</v>
      </c>
      <c r="G57" s="78">
        <f t="shared" si="14"/>
        <v>35.599999999999994</v>
      </c>
      <c r="H57" s="80"/>
      <c r="I57" s="80"/>
      <c r="J57" s="443"/>
      <c r="K57" s="117" t="s">
        <v>21</v>
      </c>
      <c r="L57" s="38" t="s">
        <v>21</v>
      </c>
      <c r="V57" s="320">
        <f t="shared" si="8"/>
        <v>150</v>
      </c>
      <c r="W57" s="140">
        <f t="shared" si="9"/>
        <v>1.6301789923648391</v>
      </c>
      <c r="X57" s="140">
        <f t="shared" si="10"/>
        <v>0.125</v>
      </c>
      <c r="Y57" s="140">
        <f t="shared" si="11"/>
        <v>5.0000000000000001E-4</v>
      </c>
      <c r="Z57" s="140">
        <f t="shared" si="3"/>
        <v>1.5</v>
      </c>
      <c r="AA57" s="321">
        <f t="shared" si="4"/>
        <v>2160</v>
      </c>
      <c r="AB57" s="322">
        <f t="shared" si="0"/>
        <v>62.91999998044804</v>
      </c>
      <c r="AC57" s="150">
        <f t="shared" si="28"/>
        <v>62.91999998044804</v>
      </c>
      <c r="AD57" s="140"/>
      <c r="AE57" s="321">
        <f t="shared" si="6"/>
        <v>2160</v>
      </c>
      <c r="AF57" s="150">
        <f t="shared" si="20"/>
        <v>35.599999999999994</v>
      </c>
      <c r="AG57" s="140"/>
    </row>
    <row r="58" spans="1:33" s="27" customFormat="1" ht="21.6" customHeight="1">
      <c r="A58" s="442"/>
      <c r="B58" s="74"/>
      <c r="C58" s="76"/>
      <c r="D58" s="77">
        <f t="shared" si="23"/>
        <v>1740</v>
      </c>
      <c r="E58" s="67">
        <f t="shared" si="12"/>
        <v>1.2083333333333333</v>
      </c>
      <c r="F58" s="78">
        <f t="shared" si="13"/>
        <v>42.8</v>
      </c>
      <c r="G58" s="78">
        <f t="shared" si="14"/>
        <v>35.599999999999994</v>
      </c>
      <c r="H58" s="80"/>
      <c r="I58" s="80"/>
      <c r="J58" s="443"/>
      <c r="K58" s="117" t="s">
        <v>21</v>
      </c>
      <c r="L58" s="38" t="s">
        <v>21</v>
      </c>
      <c r="V58" s="320">
        <f t="shared" si="8"/>
        <v>150</v>
      </c>
      <c r="W58" s="140">
        <f t="shared" si="9"/>
        <v>1.6301789923648391</v>
      </c>
      <c r="X58" s="140">
        <f t="shared" si="10"/>
        <v>0.125</v>
      </c>
      <c r="Y58" s="140">
        <f t="shared" si="11"/>
        <v>5.0000000000000001E-4</v>
      </c>
      <c r="Z58" s="140">
        <f t="shared" si="3"/>
        <v>1.5416666666666667</v>
      </c>
      <c r="AA58" s="321">
        <f t="shared" si="4"/>
        <v>2220</v>
      </c>
      <c r="AB58" s="322">
        <f t="shared" si="0"/>
        <v>62.91999998044804</v>
      </c>
      <c r="AC58" s="150">
        <f t="shared" si="28"/>
        <v>62.91999998044804</v>
      </c>
      <c r="AD58" s="140"/>
      <c r="AE58" s="321">
        <f t="shared" si="6"/>
        <v>2220</v>
      </c>
      <c r="AF58" s="150">
        <f t="shared" si="20"/>
        <v>35.599999999999994</v>
      </c>
      <c r="AG58" s="140"/>
    </row>
    <row r="59" spans="1:33" s="27" customFormat="1" ht="21.6" customHeight="1">
      <c r="A59" s="442"/>
      <c r="B59" s="74"/>
      <c r="C59" s="76"/>
      <c r="D59" s="77">
        <f t="shared" si="23"/>
        <v>1800</v>
      </c>
      <c r="E59" s="67">
        <f t="shared" si="12"/>
        <v>1.25</v>
      </c>
      <c r="F59" s="78">
        <f t="shared" si="13"/>
        <v>42.8</v>
      </c>
      <c r="G59" s="78">
        <f t="shared" si="14"/>
        <v>35.599999999999994</v>
      </c>
      <c r="H59" s="80"/>
      <c r="I59" s="80"/>
      <c r="J59" s="443"/>
      <c r="K59" s="117" t="s">
        <v>21</v>
      </c>
      <c r="L59" s="38" t="s">
        <v>21</v>
      </c>
      <c r="V59" s="320">
        <f t="shared" si="8"/>
        <v>150</v>
      </c>
      <c r="W59" s="140">
        <f t="shared" si="9"/>
        <v>1.6301789923648391</v>
      </c>
      <c r="X59" s="140">
        <f t="shared" si="10"/>
        <v>0.125</v>
      </c>
      <c r="Y59" s="140">
        <f t="shared" si="11"/>
        <v>5.0000000000000001E-4</v>
      </c>
      <c r="Z59" s="140">
        <f t="shared" si="3"/>
        <v>1.5833333333333333</v>
      </c>
      <c r="AA59" s="321">
        <f t="shared" si="4"/>
        <v>2280</v>
      </c>
      <c r="AB59" s="322">
        <f t="shared" si="0"/>
        <v>62.91999998044804</v>
      </c>
      <c r="AC59" s="150">
        <f t="shared" si="28"/>
        <v>62.91999998044804</v>
      </c>
      <c r="AD59" s="140"/>
      <c r="AE59" s="321">
        <f t="shared" si="6"/>
        <v>2280</v>
      </c>
      <c r="AF59" s="150">
        <f t="shared" si="20"/>
        <v>35.599999999999994</v>
      </c>
      <c r="AG59" s="140"/>
    </row>
    <row r="60" spans="1:33" s="27" customFormat="1" ht="21.6" customHeight="1">
      <c r="A60" s="442"/>
      <c r="B60" s="74"/>
      <c r="C60" s="76"/>
      <c r="D60" s="77">
        <f t="shared" si="23"/>
        <v>1860</v>
      </c>
      <c r="E60" s="67">
        <f t="shared" si="12"/>
        <v>1.2916666666666667</v>
      </c>
      <c r="F60" s="78">
        <f t="shared" si="13"/>
        <v>42.8</v>
      </c>
      <c r="G60" s="78">
        <f t="shared" si="14"/>
        <v>35.599999999999994</v>
      </c>
      <c r="H60" s="80"/>
      <c r="I60" s="80"/>
      <c r="J60" s="443"/>
      <c r="K60" s="117" t="s">
        <v>21</v>
      </c>
      <c r="L60" s="38" t="s">
        <v>21</v>
      </c>
      <c r="V60" s="320">
        <f t="shared" si="8"/>
        <v>150</v>
      </c>
      <c r="W60" s="140">
        <f t="shared" si="9"/>
        <v>1.6301789923648391</v>
      </c>
      <c r="X60" s="140">
        <f t="shared" si="10"/>
        <v>0.125</v>
      </c>
      <c r="Y60" s="140">
        <f t="shared" si="11"/>
        <v>5.0000000000000001E-4</v>
      </c>
      <c r="Z60" s="140">
        <f t="shared" si="3"/>
        <v>1.625</v>
      </c>
      <c r="AA60" s="321">
        <f t="shared" si="4"/>
        <v>2340</v>
      </c>
      <c r="AB60" s="322">
        <f t="shared" si="0"/>
        <v>62.91999998044804</v>
      </c>
      <c r="AC60" s="150">
        <f t="shared" si="28"/>
        <v>62.91999998044804</v>
      </c>
      <c r="AD60" s="140"/>
      <c r="AE60" s="321">
        <f t="shared" si="6"/>
        <v>2340</v>
      </c>
      <c r="AF60" s="150">
        <f t="shared" si="20"/>
        <v>35.599999999999994</v>
      </c>
      <c r="AG60" s="140"/>
    </row>
    <row r="61" spans="1:33" s="27" customFormat="1" ht="21.6" customHeight="1">
      <c r="A61" s="442"/>
      <c r="B61" s="74"/>
      <c r="C61" s="76">
        <f>$C$10+D61/1440</f>
        <v>45769.8125</v>
      </c>
      <c r="D61" s="77">
        <f t="shared" si="23"/>
        <v>1920</v>
      </c>
      <c r="E61" s="67">
        <f t="shared" si="12"/>
        <v>1.3333333333333333</v>
      </c>
      <c r="F61" s="78">
        <f t="shared" si="13"/>
        <v>42.8</v>
      </c>
      <c r="G61" s="78">
        <f t="shared" si="14"/>
        <v>35.599999999999994</v>
      </c>
      <c r="H61" s="80"/>
      <c r="I61" s="80"/>
      <c r="J61" s="443"/>
      <c r="K61" s="117" t="s">
        <v>21</v>
      </c>
      <c r="L61" s="38" t="s">
        <v>21</v>
      </c>
      <c r="V61" s="320">
        <f t="shared" si="8"/>
        <v>150</v>
      </c>
      <c r="W61" s="140">
        <f t="shared" si="9"/>
        <v>1.6301789923648391</v>
      </c>
      <c r="X61" s="140">
        <f t="shared" si="10"/>
        <v>0.125</v>
      </c>
      <c r="Y61" s="140">
        <f t="shared" si="11"/>
        <v>5.0000000000000001E-4</v>
      </c>
      <c r="Z61" s="140">
        <f t="shared" si="3"/>
        <v>1.6666666666666667</v>
      </c>
      <c r="AA61" s="321">
        <f t="shared" si="4"/>
        <v>2400</v>
      </c>
      <c r="AB61" s="322">
        <f t="shared" si="0"/>
        <v>62.91999998044804</v>
      </c>
      <c r="AC61" s="150">
        <f t="shared" si="28"/>
        <v>62.91999998044804</v>
      </c>
      <c r="AD61" s="140"/>
      <c r="AE61" s="321">
        <f t="shared" si="6"/>
        <v>2400</v>
      </c>
      <c r="AF61" s="150">
        <f t="shared" si="20"/>
        <v>35.599999999999994</v>
      </c>
      <c r="AG61" s="140"/>
    </row>
    <row r="62" spans="1:33" s="27" customFormat="1" ht="21.6" customHeight="1">
      <c r="A62" s="442"/>
      <c r="B62" s="74"/>
      <c r="C62" s="76"/>
      <c r="D62" s="77">
        <f t="shared" si="23"/>
        <v>1980</v>
      </c>
      <c r="E62" s="67">
        <f t="shared" si="12"/>
        <v>1.375</v>
      </c>
      <c r="F62" s="78">
        <f t="shared" si="13"/>
        <v>42.8</v>
      </c>
      <c r="G62" s="78">
        <f t="shared" si="14"/>
        <v>35.599999999999994</v>
      </c>
      <c r="H62" s="80"/>
      <c r="I62" s="80"/>
      <c r="J62" s="443"/>
      <c r="K62" s="117" t="s">
        <v>21</v>
      </c>
      <c r="L62" s="38" t="s">
        <v>21</v>
      </c>
      <c r="V62" s="320">
        <f t="shared" si="8"/>
        <v>150</v>
      </c>
      <c r="W62" s="140">
        <f t="shared" si="9"/>
        <v>1.6301789923648391</v>
      </c>
      <c r="X62" s="140">
        <f t="shared" si="10"/>
        <v>0.125</v>
      </c>
      <c r="Y62" s="140">
        <f t="shared" si="11"/>
        <v>5.0000000000000001E-4</v>
      </c>
      <c r="Z62" s="140">
        <f t="shared" si="3"/>
        <v>1.7083333333333333</v>
      </c>
      <c r="AA62" s="321">
        <f t="shared" si="4"/>
        <v>2460</v>
      </c>
      <c r="AB62" s="322">
        <f t="shared" si="0"/>
        <v>62.91999998044804</v>
      </c>
      <c r="AC62" s="150">
        <f t="shared" si="28"/>
        <v>62.91999998044804</v>
      </c>
      <c r="AD62" s="140"/>
      <c r="AE62" s="321">
        <f t="shared" si="6"/>
        <v>2460</v>
      </c>
      <c r="AF62" s="150">
        <f t="shared" si="20"/>
        <v>35.599999999999994</v>
      </c>
      <c r="AG62" s="140"/>
    </row>
    <row r="63" spans="1:33" s="27" customFormat="1" ht="21.6" customHeight="1">
      <c r="A63" s="442"/>
      <c r="B63" s="74"/>
      <c r="C63" s="76"/>
      <c r="D63" s="77">
        <f t="shared" si="23"/>
        <v>2040</v>
      </c>
      <c r="E63" s="67">
        <f t="shared" si="12"/>
        <v>1.4166666666666667</v>
      </c>
      <c r="F63" s="78">
        <f>F62</f>
        <v>42.8</v>
      </c>
      <c r="G63" s="78">
        <f t="shared" si="14"/>
        <v>35.599999999999994</v>
      </c>
      <c r="H63" s="80"/>
      <c r="I63" s="80"/>
      <c r="J63" s="443"/>
      <c r="K63" s="117" t="s">
        <v>21</v>
      </c>
      <c r="L63" s="38" t="s">
        <v>21</v>
      </c>
      <c r="V63" s="320">
        <f t="shared" si="8"/>
        <v>150</v>
      </c>
      <c r="W63" s="140">
        <f t="shared" si="9"/>
        <v>1.6301789923648391</v>
      </c>
      <c r="X63" s="140">
        <f t="shared" si="10"/>
        <v>0.125</v>
      </c>
      <c r="Y63" s="140">
        <f t="shared" si="11"/>
        <v>5.0000000000000001E-4</v>
      </c>
      <c r="Z63" s="140">
        <f t="shared" si="3"/>
        <v>1.75</v>
      </c>
      <c r="AA63" s="321">
        <f t="shared" si="4"/>
        <v>2520</v>
      </c>
      <c r="AB63" s="322">
        <f t="shared" si="0"/>
        <v>62.91999998044804</v>
      </c>
      <c r="AC63" s="150">
        <f t="shared" si="28"/>
        <v>62.91999998044804</v>
      </c>
      <c r="AD63" s="140"/>
      <c r="AE63" s="321">
        <f t="shared" si="6"/>
        <v>2520</v>
      </c>
      <c r="AF63" s="150">
        <f t="shared" si="20"/>
        <v>35.599999999999994</v>
      </c>
      <c r="AG63" s="140"/>
    </row>
    <row r="64" spans="1:33" s="27" customFormat="1" ht="21.6" customHeight="1">
      <c r="A64" s="442"/>
      <c r="B64" s="74"/>
      <c r="C64" s="76"/>
      <c r="D64" s="77">
        <f t="shared" si="23"/>
        <v>2100</v>
      </c>
      <c r="E64" s="67">
        <f t="shared" si="12"/>
        <v>1.4583333333333333</v>
      </c>
      <c r="F64" s="78">
        <f t="shared" ref="F64:F77" si="29">F63</f>
        <v>42.8</v>
      </c>
      <c r="G64" s="78">
        <f t="shared" si="14"/>
        <v>35.599999999999994</v>
      </c>
      <c r="H64" s="80"/>
      <c r="I64" s="80"/>
      <c r="J64" s="443"/>
      <c r="K64" s="117" t="s">
        <v>21</v>
      </c>
      <c r="L64" s="38" t="s">
        <v>21</v>
      </c>
      <c r="V64" s="320">
        <f t="shared" si="8"/>
        <v>150</v>
      </c>
      <c r="W64" s="140">
        <f t="shared" si="9"/>
        <v>1.6301789923648391</v>
      </c>
      <c r="X64" s="140">
        <f t="shared" si="10"/>
        <v>0.125</v>
      </c>
      <c r="Y64" s="140">
        <f t="shared" si="11"/>
        <v>5.0000000000000001E-4</v>
      </c>
      <c r="Z64" s="140">
        <f t="shared" si="3"/>
        <v>1.7916666666666667</v>
      </c>
      <c r="AA64" s="321">
        <f t="shared" si="4"/>
        <v>2580</v>
      </c>
      <c r="AB64" s="322">
        <f t="shared" si="0"/>
        <v>62.91999998044804</v>
      </c>
      <c r="AC64" s="150">
        <f t="shared" si="28"/>
        <v>62.91999998044804</v>
      </c>
      <c r="AD64" s="140"/>
      <c r="AE64" s="321">
        <f t="shared" si="6"/>
        <v>2580</v>
      </c>
      <c r="AF64" s="150">
        <f t="shared" si="20"/>
        <v>35.599999999999994</v>
      </c>
      <c r="AG64" s="140"/>
    </row>
    <row r="65" spans="1:33" s="27" customFormat="1" ht="21.6" customHeight="1">
      <c r="A65" s="442"/>
      <c r="B65" s="74"/>
      <c r="C65" s="76"/>
      <c r="D65" s="77">
        <f t="shared" si="23"/>
        <v>2160</v>
      </c>
      <c r="E65" s="67">
        <f t="shared" si="12"/>
        <v>1.5</v>
      </c>
      <c r="F65" s="78">
        <f t="shared" si="29"/>
        <v>42.8</v>
      </c>
      <c r="G65" s="78">
        <f t="shared" si="14"/>
        <v>35.599999999999994</v>
      </c>
      <c r="H65" s="80"/>
      <c r="I65" s="80"/>
      <c r="J65" s="443"/>
      <c r="K65" s="117" t="s">
        <v>21</v>
      </c>
      <c r="L65" s="38" t="s">
        <v>21</v>
      </c>
      <c r="V65" s="320">
        <f t="shared" si="8"/>
        <v>150</v>
      </c>
      <c r="W65" s="140">
        <f t="shared" si="9"/>
        <v>1.6301789923648391</v>
      </c>
      <c r="X65" s="140">
        <f t="shared" si="10"/>
        <v>0.125</v>
      </c>
      <c r="Y65" s="140">
        <f t="shared" si="11"/>
        <v>5.0000000000000001E-4</v>
      </c>
      <c r="Z65" s="140">
        <f t="shared" si="3"/>
        <v>1.8333333333333333</v>
      </c>
      <c r="AA65" s="321">
        <f t="shared" si="4"/>
        <v>2640</v>
      </c>
      <c r="AB65" s="322">
        <f t="shared" si="0"/>
        <v>62.91999998044804</v>
      </c>
      <c r="AC65" s="150">
        <f t="shared" si="28"/>
        <v>62.91999998044804</v>
      </c>
      <c r="AD65" s="140"/>
      <c r="AE65" s="321">
        <f t="shared" si="6"/>
        <v>2640</v>
      </c>
      <c r="AF65" s="150">
        <f t="shared" si="20"/>
        <v>35.599999999999994</v>
      </c>
      <c r="AG65" s="140"/>
    </row>
    <row r="66" spans="1:33" s="27" customFormat="1" ht="21.6" customHeight="1">
      <c r="A66" s="442"/>
      <c r="B66" s="74"/>
      <c r="C66" s="76">
        <f>$C$10+D66/1440</f>
        <v>45770.020833333328</v>
      </c>
      <c r="D66" s="77">
        <f t="shared" si="23"/>
        <v>2220</v>
      </c>
      <c r="E66" s="67">
        <f t="shared" si="12"/>
        <v>1.5416666666666667</v>
      </c>
      <c r="F66" s="78">
        <f t="shared" si="29"/>
        <v>42.8</v>
      </c>
      <c r="G66" s="78">
        <f t="shared" si="14"/>
        <v>35.599999999999994</v>
      </c>
      <c r="H66" s="80"/>
      <c r="I66" s="80"/>
      <c r="J66" s="443"/>
      <c r="K66" s="117" t="s">
        <v>21</v>
      </c>
      <c r="L66" s="38" t="s">
        <v>21</v>
      </c>
      <c r="V66" s="320">
        <f t="shared" si="8"/>
        <v>150</v>
      </c>
      <c r="W66" s="140">
        <f t="shared" si="9"/>
        <v>1.6301789923648391</v>
      </c>
      <c r="X66" s="140">
        <f t="shared" si="10"/>
        <v>0.125</v>
      </c>
      <c r="Y66" s="140">
        <f t="shared" si="11"/>
        <v>5.0000000000000001E-4</v>
      </c>
      <c r="Z66" s="140">
        <f t="shared" si="3"/>
        <v>1.875</v>
      </c>
      <c r="AA66" s="321">
        <f t="shared" si="4"/>
        <v>2700</v>
      </c>
      <c r="AB66" s="322">
        <f>AC66+AD$2</f>
        <v>62.91999998044804</v>
      </c>
      <c r="AC66" s="150">
        <f t="shared" si="28"/>
        <v>62.91999998044804</v>
      </c>
      <c r="AD66" s="140"/>
      <c r="AE66" s="321">
        <f t="shared" si="6"/>
        <v>2700</v>
      </c>
      <c r="AF66" s="150">
        <f t="shared" si="20"/>
        <v>35.599999999999994</v>
      </c>
      <c r="AG66" s="140"/>
    </row>
    <row r="67" spans="1:33" s="27" customFormat="1" ht="21.6" customHeight="1">
      <c r="A67" s="442"/>
      <c r="B67" s="74"/>
      <c r="C67" s="76"/>
      <c r="D67" s="77">
        <f t="shared" si="23"/>
        <v>2280</v>
      </c>
      <c r="E67" s="67">
        <f t="shared" si="12"/>
        <v>1.5833333333333333</v>
      </c>
      <c r="F67" s="78">
        <f t="shared" si="29"/>
        <v>42.8</v>
      </c>
      <c r="G67" s="78">
        <f t="shared" si="14"/>
        <v>35.599999999999994</v>
      </c>
      <c r="H67" s="80"/>
      <c r="I67" s="80"/>
      <c r="J67" s="443"/>
      <c r="K67" s="117" t="s">
        <v>21</v>
      </c>
      <c r="L67" s="38" t="s">
        <v>21</v>
      </c>
      <c r="V67" s="320">
        <f t="shared" si="8"/>
        <v>150</v>
      </c>
      <c r="W67" s="140">
        <f t="shared" si="9"/>
        <v>1.6301789923648391</v>
      </c>
      <c r="X67" s="140">
        <f t="shared" si="10"/>
        <v>0.125</v>
      </c>
      <c r="Y67" s="140">
        <f t="shared" si="11"/>
        <v>5.0000000000000001E-4</v>
      </c>
      <c r="Z67" s="140">
        <f t="shared" ref="Z67:Z79" si="30">E75</f>
        <v>1.9166666666666667</v>
      </c>
      <c r="AA67" s="321">
        <f t="shared" ref="AA67:AA79" si="31">D75</f>
        <v>2760</v>
      </c>
      <c r="AB67" s="322">
        <f>AC67+AD$2</f>
        <v>62.91999998044804</v>
      </c>
      <c r="AC67" s="150">
        <f t="shared" si="28"/>
        <v>62.91999998044804</v>
      </c>
      <c r="AD67" s="140"/>
      <c r="AE67" s="321">
        <f>AA67</f>
        <v>2760</v>
      </c>
      <c r="AF67" s="150">
        <f t="shared" si="20"/>
        <v>35.599999999999994</v>
      </c>
      <c r="AG67" s="140"/>
    </row>
    <row r="68" spans="1:33" s="27" customFormat="1" ht="21.6" customHeight="1">
      <c r="A68" s="442"/>
      <c r="B68" s="74"/>
      <c r="C68" s="76" t="s">
        <v>4</v>
      </c>
      <c r="D68" s="77">
        <f t="shared" si="23"/>
        <v>2340</v>
      </c>
      <c r="E68" s="67">
        <f t="shared" si="12"/>
        <v>1.625</v>
      </c>
      <c r="F68" s="78">
        <f t="shared" si="29"/>
        <v>42.8</v>
      </c>
      <c r="G68" s="78">
        <f t="shared" si="14"/>
        <v>35.599999999999994</v>
      </c>
      <c r="H68" s="80"/>
      <c r="I68" s="80"/>
      <c r="J68" s="443"/>
      <c r="K68" s="117" t="s">
        <v>21</v>
      </c>
      <c r="L68" s="38" t="s">
        <v>21</v>
      </c>
      <c r="V68" s="320">
        <f>V67</f>
        <v>150</v>
      </c>
      <c r="W68" s="140">
        <f t="shared" ref="W68:W83" si="32">W$2</f>
        <v>1.6301789923648391</v>
      </c>
      <c r="X68" s="140">
        <f t="shared" ref="X68:X83" si="33">X67</f>
        <v>0.125</v>
      </c>
      <c r="Y68" s="140">
        <f t="shared" ref="Y68:Y83" si="34">Y$2</f>
        <v>5.0000000000000001E-4</v>
      </c>
      <c r="Z68" s="140">
        <f t="shared" si="30"/>
        <v>1.9583333333333333</v>
      </c>
      <c r="AA68" s="321">
        <f t="shared" si="31"/>
        <v>2820</v>
      </c>
      <c r="AB68" s="322">
        <f>AC68+AD$2</f>
        <v>62.91999998044804</v>
      </c>
      <c r="AC68" s="150">
        <f t="shared" si="28"/>
        <v>62.91999998044804</v>
      </c>
      <c r="AD68" s="140"/>
      <c r="AE68" s="321">
        <f>AA68</f>
        <v>2820</v>
      </c>
      <c r="AF68" s="150">
        <f t="shared" si="20"/>
        <v>35.599999999999994</v>
      </c>
      <c r="AG68" s="140"/>
    </row>
    <row r="69" spans="1:33" s="27" customFormat="1" ht="21.6" customHeight="1">
      <c r="A69" s="442"/>
      <c r="B69" s="74"/>
      <c r="C69" s="76"/>
      <c r="D69" s="77">
        <f t="shared" si="23"/>
        <v>2400</v>
      </c>
      <c r="E69" s="67">
        <f t="shared" si="12"/>
        <v>1.6666666666666667</v>
      </c>
      <c r="F69" s="78">
        <f t="shared" si="29"/>
        <v>42.8</v>
      </c>
      <c r="G69" s="78">
        <f t="shared" si="14"/>
        <v>35.599999999999994</v>
      </c>
      <c r="H69" s="80"/>
      <c r="I69" s="80"/>
      <c r="J69" s="443"/>
      <c r="K69" s="117" t="s">
        <v>21</v>
      </c>
      <c r="L69" s="38" t="s">
        <v>21</v>
      </c>
      <c r="V69" s="320">
        <f>V68</f>
        <v>150</v>
      </c>
      <c r="W69" s="140">
        <f t="shared" si="32"/>
        <v>1.6301789923648391</v>
      </c>
      <c r="X69" s="140">
        <f t="shared" si="33"/>
        <v>0.125</v>
      </c>
      <c r="Y69" s="140">
        <f t="shared" si="34"/>
        <v>5.0000000000000001E-4</v>
      </c>
      <c r="Z69" s="140">
        <f t="shared" si="30"/>
        <v>2</v>
      </c>
      <c r="AA69" s="321">
        <f t="shared" si="31"/>
        <v>2880</v>
      </c>
      <c r="AB69" s="322">
        <f>AC69+AD$2</f>
        <v>62.91999998044804</v>
      </c>
      <c r="AC69" s="150">
        <f t="shared" si="28"/>
        <v>62.91999998044804</v>
      </c>
      <c r="AD69" s="140"/>
      <c r="AE69" s="321">
        <f>AA69</f>
        <v>2880</v>
      </c>
      <c r="AF69" s="150">
        <f t="shared" si="20"/>
        <v>35.599999999999994</v>
      </c>
      <c r="AG69" s="140"/>
    </row>
    <row r="70" spans="1:33" s="27" customFormat="1" ht="21.6" customHeight="1">
      <c r="A70" s="442"/>
      <c r="B70" s="74"/>
      <c r="C70" s="76"/>
      <c r="D70" s="77">
        <f t="shared" si="23"/>
        <v>2460</v>
      </c>
      <c r="E70" s="67">
        <f t="shared" si="12"/>
        <v>1.7083333333333333</v>
      </c>
      <c r="F70" s="78">
        <f t="shared" si="29"/>
        <v>42.8</v>
      </c>
      <c r="G70" s="78">
        <f t="shared" si="14"/>
        <v>35.599999999999994</v>
      </c>
      <c r="H70" s="80"/>
      <c r="I70" s="80"/>
      <c r="J70" s="443"/>
      <c r="K70" s="117" t="s">
        <v>21</v>
      </c>
      <c r="L70" s="38" t="s">
        <v>21</v>
      </c>
      <c r="V70" s="320"/>
      <c r="W70" s="140">
        <f t="shared" si="32"/>
        <v>1.6301789923648391</v>
      </c>
      <c r="X70" s="140">
        <f t="shared" si="33"/>
        <v>0.125</v>
      </c>
      <c r="Y70" s="140">
        <f t="shared" si="34"/>
        <v>5.0000000000000001E-4</v>
      </c>
      <c r="Z70" s="140">
        <f t="shared" si="30"/>
        <v>6.9444444444444447E-4</v>
      </c>
      <c r="AA70" s="321">
        <f t="shared" si="31"/>
        <v>1</v>
      </c>
      <c r="AB70" s="322"/>
      <c r="AC70" s="150"/>
      <c r="AD70" s="140"/>
      <c r="AE70" s="140"/>
      <c r="AF70" s="150"/>
      <c r="AG70" s="140"/>
    </row>
    <row r="71" spans="1:33" s="27" customFormat="1" ht="21.6" customHeight="1">
      <c r="A71" s="442"/>
      <c r="B71" s="74"/>
      <c r="C71" s="76">
        <f>$C$10+D71/1440</f>
        <v>45770.229166666664</v>
      </c>
      <c r="D71" s="77">
        <f t="shared" si="23"/>
        <v>2520</v>
      </c>
      <c r="E71" s="67">
        <f t="shared" si="12"/>
        <v>1.75</v>
      </c>
      <c r="F71" s="78">
        <f t="shared" si="29"/>
        <v>42.8</v>
      </c>
      <c r="G71" s="78">
        <f t="shared" si="14"/>
        <v>35.599999999999994</v>
      </c>
      <c r="H71" s="80"/>
      <c r="I71" s="80"/>
      <c r="J71" s="443"/>
      <c r="K71" s="117" t="s">
        <v>21</v>
      </c>
      <c r="L71" s="38" t="s">
        <v>21</v>
      </c>
      <c r="V71" s="320"/>
      <c r="W71" s="140">
        <f t="shared" si="32"/>
        <v>1.6301789923648391</v>
      </c>
      <c r="X71" s="140">
        <f t="shared" si="33"/>
        <v>0.125</v>
      </c>
      <c r="Y71" s="140">
        <f t="shared" si="34"/>
        <v>5.0000000000000001E-4</v>
      </c>
      <c r="Z71" s="140">
        <f t="shared" si="30"/>
        <v>1.3888888888888889E-3</v>
      </c>
      <c r="AA71" s="321">
        <f t="shared" si="31"/>
        <v>2</v>
      </c>
      <c r="AB71" s="322"/>
      <c r="AC71" s="150"/>
      <c r="AD71" s="140"/>
      <c r="AE71" s="140"/>
      <c r="AF71" s="150"/>
      <c r="AG71" s="140"/>
    </row>
    <row r="72" spans="1:33" s="27" customFormat="1" ht="21.6" customHeight="1">
      <c r="A72" s="442"/>
      <c r="B72" s="74"/>
      <c r="C72" s="76"/>
      <c r="D72" s="77">
        <f t="shared" si="23"/>
        <v>2580</v>
      </c>
      <c r="E72" s="67">
        <f t="shared" si="12"/>
        <v>1.7916666666666667</v>
      </c>
      <c r="F72" s="78">
        <f t="shared" si="29"/>
        <v>42.8</v>
      </c>
      <c r="G72" s="78">
        <f t="shared" si="14"/>
        <v>35.599999999999994</v>
      </c>
      <c r="H72" s="80"/>
      <c r="I72" s="80"/>
      <c r="J72" s="443"/>
      <c r="K72" s="117" t="s">
        <v>21</v>
      </c>
      <c r="L72" s="38" t="s">
        <v>21</v>
      </c>
      <c r="V72" s="320"/>
      <c r="W72" s="140">
        <f t="shared" si="32"/>
        <v>1.6301789923648391</v>
      </c>
      <c r="X72" s="140">
        <f t="shared" si="33"/>
        <v>0.125</v>
      </c>
      <c r="Y72" s="140">
        <f t="shared" si="34"/>
        <v>5.0000000000000001E-4</v>
      </c>
      <c r="Z72" s="140">
        <f t="shared" si="30"/>
        <v>2.0833333333333333E-3</v>
      </c>
      <c r="AA72" s="321">
        <f t="shared" si="31"/>
        <v>3</v>
      </c>
      <c r="AB72" s="322"/>
      <c r="AC72" s="150"/>
      <c r="AD72" s="140"/>
      <c r="AE72" s="140"/>
      <c r="AF72" s="150"/>
      <c r="AG72" s="140"/>
    </row>
    <row r="73" spans="1:33" s="27" customFormat="1" ht="21.6" customHeight="1">
      <c r="A73" s="442"/>
      <c r="B73" s="74"/>
      <c r="C73" s="76"/>
      <c r="D73" s="77">
        <f t="shared" si="23"/>
        <v>2640</v>
      </c>
      <c r="E73" s="67">
        <f t="shared" si="12"/>
        <v>1.8333333333333333</v>
      </c>
      <c r="F73" s="78">
        <f t="shared" si="29"/>
        <v>42.8</v>
      </c>
      <c r="G73" s="78">
        <f t="shared" si="14"/>
        <v>35.599999999999994</v>
      </c>
      <c r="H73" s="80"/>
      <c r="I73" s="80"/>
      <c r="J73" s="443"/>
      <c r="K73" s="117" t="s">
        <v>21</v>
      </c>
      <c r="L73" s="38" t="s">
        <v>21</v>
      </c>
      <c r="V73" s="320"/>
      <c r="W73" s="140">
        <f t="shared" si="32"/>
        <v>1.6301789923648391</v>
      </c>
      <c r="X73" s="140">
        <f t="shared" si="33"/>
        <v>0.125</v>
      </c>
      <c r="Y73" s="140">
        <f t="shared" si="34"/>
        <v>5.0000000000000001E-4</v>
      </c>
      <c r="Z73" s="140">
        <f t="shared" si="30"/>
        <v>2.7777777777777779E-3</v>
      </c>
      <c r="AA73" s="321">
        <f t="shared" si="31"/>
        <v>4</v>
      </c>
      <c r="AB73" s="322"/>
      <c r="AC73" s="150"/>
      <c r="AD73" s="140"/>
      <c r="AE73" s="140"/>
      <c r="AF73" s="150"/>
      <c r="AG73" s="140"/>
    </row>
    <row r="74" spans="1:33" s="27" customFormat="1" ht="21.6" customHeight="1">
      <c r="A74" s="442"/>
      <c r="B74" s="74"/>
      <c r="C74" s="76"/>
      <c r="D74" s="77">
        <f t="shared" si="23"/>
        <v>2700</v>
      </c>
      <c r="E74" s="67">
        <f t="shared" si="12"/>
        <v>1.875</v>
      </c>
      <c r="F74" s="78">
        <f t="shared" si="29"/>
        <v>42.8</v>
      </c>
      <c r="G74" s="78">
        <f t="shared" si="14"/>
        <v>35.599999999999994</v>
      </c>
      <c r="H74" s="80"/>
      <c r="I74" s="80"/>
      <c r="J74" s="443"/>
      <c r="K74" s="117" t="s">
        <v>21</v>
      </c>
      <c r="L74" s="38" t="s">
        <v>21</v>
      </c>
      <c r="V74" s="320"/>
      <c r="W74" s="140">
        <f t="shared" si="32"/>
        <v>1.6301789923648391</v>
      </c>
      <c r="X74" s="140">
        <f t="shared" si="33"/>
        <v>0.125</v>
      </c>
      <c r="Y74" s="140">
        <f t="shared" si="34"/>
        <v>5.0000000000000001E-4</v>
      </c>
      <c r="Z74" s="140">
        <f t="shared" si="30"/>
        <v>3.472222222222222E-3</v>
      </c>
      <c r="AA74" s="321">
        <f t="shared" si="31"/>
        <v>5</v>
      </c>
      <c r="AB74" s="322"/>
      <c r="AC74" s="150"/>
      <c r="AD74" s="140"/>
      <c r="AE74" s="140"/>
      <c r="AF74" s="150"/>
      <c r="AG74" s="140"/>
    </row>
    <row r="75" spans="1:33" s="27" customFormat="1" ht="21.6" customHeight="1">
      <c r="A75" s="442"/>
      <c r="B75" s="74"/>
      <c r="C75" s="76"/>
      <c r="D75" s="77">
        <f t="shared" si="23"/>
        <v>2760</v>
      </c>
      <c r="E75" s="67">
        <f>D75/1440</f>
        <v>1.9166666666666667</v>
      </c>
      <c r="F75" s="78">
        <f t="shared" si="29"/>
        <v>42.8</v>
      </c>
      <c r="G75" s="78">
        <f>AF67</f>
        <v>35.599999999999994</v>
      </c>
      <c r="H75" s="80"/>
      <c r="I75" s="80"/>
      <c r="J75" s="443"/>
      <c r="K75" s="117" t="s">
        <v>21</v>
      </c>
      <c r="L75" s="38" t="s">
        <v>21</v>
      </c>
      <c r="V75" s="320"/>
      <c r="W75" s="140">
        <f t="shared" si="32"/>
        <v>1.6301789923648391</v>
      </c>
      <c r="X75" s="140">
        <f t="shared" si="33"/>
        <v>0.125</v>
      </c>
      <c r="Y75" s="140">
        <f t="shared" si="34"/>
        <v>5.0000000000000001E-4</v>
      </c>
      <c r="Z75" s="140">
        <f t="shared" si="30"/>
        <v>6.9444444444444441E-3</v>
      </c>
      <c r="AA75" s="321">
        <f t="shared" si="31"/>
        <v>10</v>
      </c>
      <c r="AB75" s="322"/>
      <c r="AC75" s="150"/>
      <c r="AD75" s="140"/>
      <c r="AE75" s="140"/>
      <c r="AF75" s="150"/>
      <c r="AG75" s="140"/>
    </row>
    <row r="76" spans="1:33" s="27" customFormat="1" ht="21.6" customHeight="1">
      <c r="A76" s="442"/>
      <c r="B76" s="74"/>
      <c r="C76" s="76"/>
      <c r="D76" s="77">
        <f t="shared" si="23"/>
        <v>2820</v>
      </c>
      <c r="E76" s="67">
        <f>D76/1440</f>
        <v>1.9583333333333333</v>
      </c>
      <c r="F76" s="78">
        <f t="shared" si="29"/>
        <v>42.8</v>
      </c>
      <c r="G76" s="78">
        <f>AF68</f>
        <v>35.599999999999994</v>
      </c>
      <c r="H76" s="80"/>
      <c r="I76" s="80"/>
      <c r="J76" s="443"/>
      <c r="K76" s="117" t="s">
        <v>21</v>
      </c>
      <c r="L76" s="38" t="s">
        <v>21</v>
      </c>
      <c r="V76" s="320"/>
      <c r="W76" s="140">
        <f t="shared" si="32"/>
        <v>1.6301789923648391</v>
      </c>
      <c r="X76" s="140">
        <f t="shared" si="33"/>
        <v>0.125</v>
      </c>
      <c r="Y76" s="140">
        <f t="shared" si="34"/>
        <v>5.0000000000000001E-4</v>
      </c>
      <c r="Z76" s="140">
        <f t="shared" si="30"/>
        <v>1.0416666666666666E-2</v>
      </c>
      <c r="AA76" s="321">
        <f t="shared" si="31"/>
        <v>15</v>
      </c>
      <c r="AB76" s="322"/>
      <c r="AC76" s="150"/>
      <c r="AD76" s="140"/>
      <c r="AE76" s="140"/>
      <c r="AF76" s="150"/>
      <c r="AG76" s="140"/>
    </row>
    <row r="77" spans="1:33" s="27" customFormat="1" ht="21.6" customHeight="1">
      <c r="A77" s="442"/>
      <c r="B77" s="74"/>
      <c r="C77" s="76">
        <f>$C$10+D77/1440</f>
        <v>45770.479166666664</v>
      </c>
      <c r="D77" s="77">
        <f>D76+60</f>
        <v>2880</v>
      </c>
      <c r="E77" s="67">
        <f>D77/1440</f>
        <v>2</v>
      </c>
      <c r="F77" s="79">
        <f t="shared" si="29"/>
        <v>42.8</v>
      </c>
      <c r="G77" s="78">
        <f>AF69</f>
        <v>35.599999999999994</v>
      </c>
      <c r="H77" s="80" t="s">
        <v>180</v>
      </c>
      <c r="I77" s="80"/>
      <c r="J77" s="443"/>
      <c r="K77" s="117" t="s">
        <v>21</v>
      </c>
      <c r="L77" s="38" t="s">
        <v>21</v>
      </c>
      <c r="V77" s="320"/>
      <c r="W77" s="140">
        <f t="shared" si="32"/>
        <v>1.6301789923648391</v>
      </c>
      <c r="X77" s="140">
        <f t="shared" si="33"/>
        <v>0.125</v>
      </c>
      <c r="Y77" s="140">
        <f t="shared" si="34"/>
        <v>5.0000000000000001E-4</v>
      </c>
      <c r="Z77" s="140">
        <f t="shared" si="30"/>
        <v>1.3888888888888888E-2</v>
      </c>
      <c r="AA77" s="321">
        <f t="shared" si="31"/>
        <v>20</v>
      </c>
      <c r="AB77" s="322"/>
      <c r="AC77" s="150"/>
      <c r="AD77" s="140"/>
      <c r="AE77" s="140"/>
      <c r="AF77" s="150"/>
      <c r="AG77" s="140"/>
    </row>
    <row r="78" spans="1:33" s="27" customFormat="1" ht="20.45" customHeight="1">
      <c r="A78" s="442">
        <v>2</v>
      </c>
      <c r="B78" s="74">
        <v>0</v>
      </c>
      <c r="C78" s="76">
        <f>$C$10+(D78+2880)/1440</f>
        <v>45770.479861111111</v>
      </c>
      <c r="D78" s="77">
        <v>1</v>
      </c>
      <c r="E78" s="67">
        <f t="shared" ref="E78:E101" si="35">D78/1440</f>
        <v>6.9444444444444447E-4</v>
      </c>
      <c r="F78" s="78">
        <f>G78+D$8</f>
        <v>28.789719418855753</v>
      </c>
      <c r="G78" s="78">
        <f>H114</f>
        <v>21.589719418855754</v>
      </c>
      <c r="H78" s="612" t="s">
        <v>191</v>
      </c>
      <c r="I78" s="612"/>
      <c r="J78" s="613"/>
      <c r="K78" s="117" t="s">
        <v>21</v>
      </c>
      <c r="L78" s="38"/>
      <c r="V78" s="320"/>
      <c r="W78" s="140">
        <f t="shared" si="32"/>
        <v>1.6301789923648391</v>
      </c>
      <c r="X78" s="140">
        <f t="shared" si="33"/>
        <v>0.125</v>
      </c>
      <c r="Y78" s="140">
        <f t="shared" si="34"/>
        <v>5.0000000000000001E-4</v>
      </c>
      <c r="Z78" s="140">
        <f t="shared" si="30"/>
        <v>1.7361111111111112E-2</v>
      </c>
      <c r="AA78" s="321">
        <f t="shared" si="31"/>
        <v>25</v>
      </c>
      <c r="AB78" s="322"/>
      <c r="AC78" s="150"/>
      <c r="AD78" s="140"/>
      <c r="AE78" s="140"/>
      <c r="AF78" s="150"/>
      <c r="AG78" s="140"/>
    </row>
    <row r="79" spans="1:33" s="27" customFormat="1" ht="20.45" customHeight="1">
      <c r="A79" s="442"/>
      <c r="B79" s="74"/>
      <c r="C79" s="74" t="s">
        <v>21</v>
      </c>
      <c r="D79" s="77">
        <v>2</v>
      </c>
      <c r="E79" s="67">
        <f t="shared" si="35"/>
        <v>1.3888888888888889E-3</v>
      </c>
      <c r="F79" s="78">
        <f t="shared" ref="F79:F101" si="36">G79+D$8</f>
        <v>26.595612475263646</v>
      </c>
      <c r="G79" s="78">
        <f>H115</f>
        <v>19.395612475263647</v>
      </c>
      <c r="H79" s="612"/>
      <c r="I79" s="612"/>
      <c r="J79" s="613"/>
      <c r="K79" s="117" t="s">
        <v>21</v>
      </c>
      <c r="L79" s="38" t="s">
        <v>21</v>
      </c>
      <c r="V79" s="320"/>
      <c r="W79" s="140">
        <f t="shared" si="32"/>
        <v>1.6301789923648391</v>
      </c>
      <c r="X79" s="140">
        <f t="shared" si="33"/>
        <v>0.125</v>
      </c>
      <c r="Y79" s="140">
        <f t="shared" si="34"/>
        <v>5.0000000000000001E-4</v>
      </c>
      <c r="Z79" s="140">
        <f t="shared" si="30"/>
        <v>2.0833333333333332E-2</v>
      </c>
      <c r="AA79" s="321">
        <f t="shared" si="31"/>
        <v>30</v>
      </c>
      <c r="AB79" s="322"/>
      <c r="AC79" s="150"/>
      <c r="AD79" s="140"/>
      <c r="AE79" s="140"/>
      <c r="AF79" s="150"/>
      <c r="AG79" s="140"/>
    </row>
    <row r="80" spans="1:33" s="27" customFormat="1" ht="20.45" customHeight="1">
      <c r="A80" s="442"/>
      <c r="B80" s="74"/>
      <c r="C80" s="76" t="s">
        <v>21</v>
      </c>
      <c r="D80" s="77">
        <v>3</v>
      </c>
      <c r="E80" s="67">
        <f t="shared" si="35"/>
        <v>2.0833333333333333E-3</v>
      </c>
      <c r="F80" s="78">
        <f t="shared" si="36"/>
        <v>24.624486904727952</v>
      </c>
      <c r="G80" s="78">
        <f>H116</f>
        <v>17.424486904727953</v>
      </c>
      <c r="H80" s="612"/>
      <c r="I80" s="612"/>
      <c r="J80" s="613"/>
      <c r="K80" s="117" t="s">
        <v>21</v>
      </c>
      <c r="L80" s="38" t="s">
        <v>21</v>
      </c>
      <c r="V80" s="320"/>
      <c r="W80" s="140">
        <f t="shared" si="32"/>
        <v>1.6301789923648391</v>
      </c>
      <c r="X80" s="140">
        <f t="shared" si="33"/>
        <v>0.125</v>
      </c>
      <c r="Y80" s="140">
        <f t="shared" si="34"/>
        <v>5.0000000000000001E-4</v>
      </c>
      <c r="Z80" s="140">
        <f>E90</f>
        <v>3.125E-2</v>
      </c>
      <c r="AA80" s="321">
        <f>D90</f>
        <v>45</v>
      </c>
      <c r="AB80" s="322"/>
      <c r="AC80" s="150"/>
      <c r="AD80" s="140"/>
      <c r="AE80" s="140"/>
      <c r="AF80" s="150"/>
      <c r="AG80" s="140"/>
    </row>
    <row r="81" spans="1:33" s="27" customFormat="1" ht="20.45" customHeight="1">
      <c r="A81" s="442"/>
      <c r="B81" s="74"/>
      <c r="C81" s="76" t="s">
        <v>21</v>
      </c>
      <c r="D81" s="77">
        <v>4</v>
      </c>
      <c r="E81" s="67">
        <f t="shared" si="35"/>
        <v>2.7777777777777779E-3</v>
      </c>
      <c r="F81" s="78">
        <f t="shared" si="36"/>
        <v>22.853681691168592</v>
      </c>
      <c r="G81" s="78">
        <f>H117</f>
        <v>15.653681691168593</v>
      </c>
      <c r="H81" s="612"/>
      <c r="I81" s="612"/>
      <c r="J81" s="613"/>
      <c r="K81" s="117" t="s">
        <v>21</v>
      </c>
      <c r="L81" s="38" t="s">
        <v>21</v>
      </c>
      <c r="V81" s="320"/>
      <c r="W81" s="140">
        <f t="shared" si="32"/>
        <v>1.6301789923648391</v>
      </c>
      <c r="X81" s="140">
        <f t="shared" si="33"/>
        <v>0.125</v>
      </c>
      <c r="Y81" s="140">
        <f t="shared" si="34"/>
        <v>5.0000000000000001E-4</v>
      </c>
      <c r="Z81" s="140">
        <f>E93</f>
        <v>4.1666666666666664E-2</v>
      </c>
      <c r="AA81" s="321">
        <f>D93</f>
        <v>60</v>
      </c>
      <c r="AB81" s="322"/>
      <c r="AC81" s="150"/>
      <c r="AD81" s="140"/>
      <c r="AE81" s="140"/>
      <c r="AF81" s="150"/>
      <c r="AG81" s="140"/>
    </row>
    <row r="82" spans="1:33" s="27" customFormat="1" ht="20.45" customHeight="1">
      <c r="A82" s="442"/>
      <c r="B82" s="74"/>
      <c r="C82" s="76" t="s">
        <v>21</v>
      </c>
      <c r="D82" s="77">
        <v>5</v>
      </c>
      <c r="E82" s="67">
        <f t="shared" si="35"/>
        <v>3.472222222222222E-3</v>
      </c>
      <c r="F82" s="78">
        <f t="shared" si="36"/>
        <v>21.262838798538073</v>
      </c>
      <c r="G82" s="78">
        <f>H118</f>
        <v>14.062838798538074</v>
      </c>
      <c r="H82" s="612"/>
      <c r="I82" s="612"/>
      <c r="J82" s="613"/>
      <c r="K82" s="117" t="s">
        <v>21</v>
      </c>
      <c r="L82" s="38" t="s">
        <v>21</v>
      </c>
      <c r="V82" s="320"/>
      <c r="W82" s="140">
        <f t="shared" si="32"/>
        <v>1.6301789923648391</v>
      </c>
      <c r="X82" s="140">
        <f t="shared" si="33"/>
        <v>0.125</v>
      </c>
      <c r="Y82" s="140">
        <f t="shared" si="34"/>
        <v>5.0000000000000001E-4</v>
      </c>
      <c r="Z82" s="140">
        <f>E97</f>
        <v>8.3333333333333329E-2</v>
      </c>
      <c r="AA82" s="321">
        <f>D97</f>
        <v>120</v>
      </c>
      <c r="AB82" s="322"/>
      <c r="AC82" s="150"/>
      <c r="AD82" s="140"/>
      <c r="AE82" s="140"/>
      <c r="AF82" s="150"/>
      <c r="AG82" s="140"/>
    </row>
    <row r="83" spans="1:33" s="27" customFormat="1" ht="20.45" customHeight="1">
      <c r="A83" s="442"/>
      <c r="B83" s="74"/>
      <c r="C83" s="76" t="s">
        <v>21</v>
      </c>
      <c r="D83" s="77">
        <v>10</v>
      </c>
      <c r="E83" s="67">
        <f t="shared" si="35"/>
        <v>6.9444444444444441E-3</v>
      </c>
      <c r="F83" s="78">
        <f t="shared" si="36"/>
        <v>17.396297504184883</v>
      </c>
      <c r="G83" s="78">
        <f>H121</f>
        <v>10.196297504184882</v>
      </c>
      <c r="H83" s="612"/>
      <c r="I83" s="612"/>
      <c r="J83" s="613"/>
      <c r="K83" s="117" t="s">
        <v>21</v>
      </c>
      <c r="L83" s="38" t="s">
        <v>21</v>
      </c>
      <c r="V83" s="320"/>
      <c r="W83" s="140">
        <f t="shared" si="32"/>
        <v>1.6301789923648391</v>
      </c>
      <c r="X83" s="140">
        <f t="shared" si="33"/>
        <v>0.125</v>
      </c>
      <c r="Y83" s="140">
        <f t="shared" si="34"/>
        <v>5.0000000000000001E-4</v>
      </c>
      <c r="Z83" s="140">
        <f>E98</f>
        <v>0.125</v>
      </c>
      <c r="AA83" s="321">
        <f>D98</f>
        <v>180</v>
      </c>
      <c r="AB83" s="322"/>
      <c r="AC83" s="150"/>
      <c r="AD83" s="140"/>
      <c r="AE83" s="140"/>
      <c r="AF83" s="150"/>
      <c r="AG83" s="140"/>
    </row>
    <row r="84" spans="1:33" s="27" customFormat="1" ht="20.45" customHeight="1">
      <c r="A84" s="442"/>
      <c r="B84" s="74"/>
      <c r="C84" s="76" t="s">
        <v>21</v>
      </c>
      <c r="D84" s="77">
        <v>15</v>
      </c>
      <c r="E84" s="67">
        <f t="shared" si="35"/>
        <v>1.0416666666666666E-2</v>
      </c>
      <c r="F84" s="78">
        <f t="shared" si="36"/>
        <v>16.693218977090154</v>
      </c>
      <c r="G84" s="78">
        <f>H124</f>
        <v>9.4932189770901534</v>
      </c>
      <c r="H84" s="612"/>
      <c r="I84" s="612"/>
      <c r="J84" s="613"/>
      <c r="K84" s="117" t="s">
        <v>21</v>
      </c>
      <c r="L84" s="38" t="s">
        <v>21</v>
      </c>
      <c r="V84" s="320"/>
      <c r="W84" s="140"/>
      <c r="X84" s="140"/>
      <c r="Y84" s="140"/>
      <c r="Z84" s="140"/>
      <c r="AA84" s="321">
        <f>D99</f>
        <v>240</v>
      </c>
      <c r="AB84" s="322"/>
      <c r="AC84" s="150"/>
      <c r="AD84" s="140"/>
      <c r="AE84" s="140"/>
      <c r="AF84" s="150"/>
      <c r="AG84" s="140"/>
    </row>
    <row r="85" spans="1:33" s="27" customFormat="1" ht="20.45" customHeight="1">
      <c r="A85" s="442"/>
      <c r="B85" s="74"/>
      <c r="C85" s="76" t="s">
        <v>21</v>
      </c>
      <c r="D85" s="77">
        <v>20</v>
      </c>
      <c r="E85" s="67">
        <f t="shared" si="35"/>
        <v>1.3888888888888888E-2</v>
      </c>
      <c r="F85" s="78">
        <f t="shared" si="36"/>
        <v>14.861723922431089</v>
      </c>
      <c r="G85" s="78">
        <f>H126</f>
        <v>7.66172392243109</v>
      </c>
      <c r="H85" s="612"/>
      <c r="I85" s="612"/>
      <c r="J85" s="613"/>
      <c r="K85" s="117" t="s">
        <v>21</v>
      </c>
      <c r="L85" s="38" t="s">
        <v>21</v>
      </c>
      <c r="V85" s="320"/>
      <c r="W85" s="140"/>
      <c r="X85" s="140"/>
      <c r="Y85" s="140"/>
      <c r="Z85" s="140"/>
      <c r="AA85" s="321">
        <f>D100</f>
        <v>300</v>
      </c>
      <c r="AB85" s="331"/>
      <c r="AC85" s="140"/>
      <c r="AD85" s="140"/>
      <c r="AE85" s="140"/>
      <c r="AF85" s="150"/>
      <c r="AG85" s="140"/>
    </row>
    <row r="86" spans="1:33" s="27" customFormat="1" ht="20.45" customHeight="1">
      <c r="A86" s="442"/>
      <c r="B86" s="74"/>
      <c r="C86" s="76" t="s">
        <v>21</v>
      </c>
      <c r="D86" s="77">
        <v>25</v>
      </c>
      <c r="E86" s="67">
        <f t="shared" si="35"/>
        <v>1.7361111111111112E-2</v>
      </c>
      <c r="F86" s="78">
        <f t="shared" si="36"/>
        <v>14.083082878888396</v>
      </c>
      <c r="G86" s="78">
        <f t="shared" ref="G86:G92" si="37">H127</f>
        <v>6.8830828788883958</v>
      </c>
      <c r="H86" s="612"/>
      <c r="I86" s="612"/>
      <c r="J86" s="613"/>
      <c r="K86" s="117" t="s">
        <v>21</v>
      </c>
      <c r="L86" s="38" t="s">
        <v>21</v>
      </c>
      <c r="V86" s="320"/>
      <c r="W86" s="140"/>
      <c r="X86" s="140"/>
      <c r="Y86" s="140"/>
      <c r="Z86" s="140"/>
      <c r="AA86" s="321">
        <f>D101</f>
        <v>360</v>
      </c>
      <c r="AB86" s="331"/>
      <c r="AC86" s="140"/>
      <c r="AD86" s="140"/>
      <c r="AE86" s="140"/>
      <c r="AF86" s="150"/>
      <c r="AG86" s="140"/>
    </row>
    <row r="87" spans="1:33" s="27" customFormat="1" ht="20.45" customHeight="1">
      <c r="A87" s="442"/>
      <c r="B87" s="74"/>
      <c r="C87" s="76" t="s">
        <v>21</v>
      </c>
      <c r="D87" s="77">
        <v>30</v>
      </c>
      <c r="E87" s="67">
        <f t="shared" si="35"/>
        <v>2.0833333333333332E-2</v>
      </c>
      <c r="F87" s="78">
        <f t="shared" si="36"/>
        <v>13.383573096250867</v>
      </c>
      <c r="G87" s="78">
        <f t="shared" si="37"/>
        <v>6.1835730962508677</v>
      </c>
      <c r="H87" s="612"/>
      <c r="I87" s="612"/>
      <c r="J87" s="613"/>
      <c r="K87" s="117" t="s">
        <v>21</v>
      </c>
      <c r="L87" s="38" t="s">
        <v>21</v>
      </c>
      <c r="V87" s="320" t="s">
        <v>21</v>
      </c>
      <c r="W87" s="140"/>
      <c r="X87" s="140"/>
      <c r="Y87" s="140"/>
      <c r="Z87" s="140"/>
      <c r="AA87" s="321" t="s">
        <v>21</v>
      </c>
      <c r="AB87" s="331"/>
      <c r="AC87" s="140"/>
      <c r="AD87" s="140"/>
      <c r="AE87" s="140"/>
      <c r="AF87" s="140"/>
      <c r="AG87" s="140"/>
    </row>
    <row r="88" spans="1:33" s="27" customFormat="1" ht="20.45" customHeight="1">
      <c r="A88" s="442"/>
      <c r="B88" s="74"/>
      <c r="C88" s="76"/>
      <c r="D88" s="77">
        <v>35</v>
      </c>
      <c r="E88" s="67">
        <f t="shared" si="35"/>
        <v>2.4305555555555556E-2</v>
      </c>
      <c r="F88" s="78">
        <f t="shared" si="36"/>
        <v>13.166573556070519</v>
      </c>
      <c r="G88" s="78">
        <f t="shared" si="37"/>
        <v>5.9665735560705189</v>
      </c>
      <c r="H88" s="612"/>
      <c r="I88" s="612"/>
      <c r="J88" s="613"/>
      <c r="K88" s="117"/>
      <c r="L88" s="38"/>
      <c r="V88" s="320"/>
      <c r="W88" s="140"/>
      <c r="X88" s="140"/>
      <c r="Y88" s="140"/>
      <c r="Z88" s="140"/>
      <c r="AA88" s="321"/>
      <c r="AB88" s="331"/>
      <c r="AC88" s="140"/>
      <c r="AD88" s="140"/>
      <c r="AE88" s="140"/>
      <c r="AF88" s="140"/>
      <c r="AG88" s="140"/>
    </row>
    <row r="89" spans="1:33" s="27" customFormat="1" ht="20.45" customHeight="1">
      <c r="A89" s="442"/>
      <c r="B89" s="74"/>
      <c r="C89" s="76"/>
      <c r="D89" s="77">
        <v>40</v>
      </c>
      <c r="E89" s="67">
        <f t="shared" si="35"/>
        <v>2.7777777777777776E-2</v>
      </c>
      <c r="F89" s="78">
        <f t="shared" si="36"/>
        <v>12.957189160031835</v>
      </c>
      <c r="G89" s="78">
        <f t="shared" si="37"/>
        <v>5.7571891600318352</v>
      </c>
      <c r="H89" s="612"/>
      <c r="I89" s="612"/>
      <c r="J89" s="613"/>
      <c r="K89" s="117"/>
      <c r="L89" s="38"/>
      <c r="V89" s="320"/>
      <c r="W89" s="140"/>
      <c r="X89" s="140"/>
      <c r="Y89" s="140"/>
      <c r="Z89" s="140"/>
      <c r="AA89" s="321"/>
      <c r="AB89" s="331"/>
      <c r="AC89" s="140"/>
      <c r="AD89" s="140"/>
      <c r="AE89" s="140"/>
      <c r="AF89" s="140"/>
      <c r="AG89" s="140"/>
    </row>
    <row r="90" spans="1:33" s="27" customFormat="1" ht="20.45" customHeight="1">
      <c r="A90" s="442"/>
      <c r="B90" s="74"/>
      <c r="C90" s="76" t="s">
        <v>21</v>
      </c>
      <c r="D90" s="77">
        <v>45</v>
      </c>
      <c r="E90" s="67">
        <f t="shared" si="35"/>
        <v>3.125E-2</v>
      </c>
      <c r="F90" s="78">
        <f t="shared" si="36"/>
        <v>12.755152670608648</v>
      </c>
      <c r="G90" s="78">
        <f t="shared" si="37"/>
        <v>5.5551526706086483</v>
      </c>
      <c r="H90" s="612"/>
      <c r="I90" s="612"/>
      <c r="J90" s="613"/>
      <c r="K90" s="117" t="s">
        <v>21</v>
      </c>
      <c r="L90" s="38" t="s">
        <v>21</v>
      </c>
      <c r="V90" s="320" t="s">
        <v>21</v>
      </c>
      <c r="W90" s="140"/>
      <c r="X90" s="140"/>
      <c r="Y90" s="140"/>
      <c r="Z90" s="140"/>
      <c r="AA90" s="321" t="s">
        <v>21</v>
      </c>
      <c r="AB90" s="331"/>
      <c r="AC90" s="140"/>
      <c r="AD90" s="140"/>
      <c r="AE90" s="140"/>
      <c r="AF90" s="140"/>
      <c r="AG90" s="140"/>
    </row>
    <row r="91" spans="1:33" s="27" customFormat="1" ht="20.45" customHeight="1">
      <c r="A91" s="442"/>
      <c r="B91" s="74"/>
      <c r="C91" s="76"/>
      <c r="D91" s="77">
        <v>50</v>
      </c>
      <c r="E91" s="67">
        <f t="shared" si="35"/>
        <v>3.4722222222222224E-2</v>
      </c>
      <c r="F91" s="78">
        <f t="shared" si="36"/>
        <v>12.560206228415769</v>
      </c>
      <c r="G91" s="78">
        <f t="shared" si="37"/>
        <v>5.3602062284157688</v>
      </c>
      <c r="H91" s="612"/>
      <c r="I91" s="612"/>
      <c r="J91" s="613"/>
      <c r="K91" s="117"/>
      <c r="L91" s="38"/>
      <c r="V91" s="320"/>
      <c r="W91" s="140"/>
      <c r="X91" s="140"/>
      <c r="Y91" s="140"/>
      <c r="Z91" s="140"/>
      <c r="AA91" s="321"/>
      <c r="AB91" s="331"/>
      <c r="AC91" s="140"/>
      <c r="AD91" s="140"/>
      <c r="AE91" s="140"/>
      <c r="AF91" s="140"/>
      <c r="AG91" s="140"/>
    </row>
    <row r="92" spans="1:33" s="27" customFormat="1" ht="20.45" customHeight="1">
      <c r="A92" s="442"/>
      <c r="B92" s="74"/>
      <c r="C92" s="76"/>
      <c r="D92" s="77">
        <v>55</v>
      </c>
      <c r="E92" s="67">
        <f t="shared" si="35"/>
        <v>3.8194444444444448E-2</v>
      </c>
      <c r="F92" s="78">
        <f t="shared" si="36"/>
        <v>12.372101023102793</v>
      </c>
      <c r="G92" s="78">
        <f t="shared" si="37"/>
        <v>5.172101023102794</v>
      </c>
      <c r="H92" s="612"/>
      <c r="I92" s="612"/>
      <c r="J92" s="613"/>
      <c r="K92" s="117"/>
      <c r="L92" s="38"/>
      <c r="V92" s="320"/>
      <c r="W92" s="140"/>
      <c r="X92" s="140"/>
      <c r="Y92" s="140"/>
      <c r="Z92" s="140"/>
      <c r="AA92" s="321"/>
      <c r="AB92" s="331"/>
      <c r="AC92" s="140"/>
      <c r="AD92" s="140"/>
      <c r="AE92" s="140"/>
      <c r="AF92" s="140"/>
      <c r="AG92" s="140"/>
    </row>
    <row r="93" spans="1:33" s="27" customFormat="1" ht="20.45" customHeight="1">
      <c r="A93" s="442"/>
      <c r="B93" s="74"/>
      <c r="C93" s="76">
        <f>$C$10+(D93+2880)/1440</f>
        <v>45770.520833333328</v>
      </c>
      <c r="D93" s="77">
        <v>60</v>
      </c>
      <c r="E93" s="67">
        <f t="shared" si="35"/>
        <v>4.1666666666666664E-2</v>
      </c>
      <c r="F93" s="78">
        <f t="shared" si="36"/>
        <v>12.190596975797185</v>
      </c>
      <c r="G93" s="78">
        <f>H134</f>
        <v>4.9905969757971835</v>
      </c>
      <c r="H93" s="612"/>
      <c r="I93" s="612"/>
      <c r="J93" s="613"/>
      <c r="K93" s="117" t="s">
        <v>21</v>
      </c>
      <c r="L93" s="38" t="s">
        <v>21</v>
      </c>
      <c r="V93" s="320" t="s">
        <v>21</v>
      </c>
      <c r="W93" s="140"/>
      <c r="X93" s="140"/>
      <c r="Y93" s="140"/>
      <c r="Z93" s="140"/>
      <c r="AA93" s="321" t="s">
        <v>21</v>
      </c>
      <c r="AB93" s="331"/>
      <c r="AC93" s="140"/>
      <c r="AD93" s="140"/>
      <c r="AE93" s="140"/>
      <c r="AF93" s="140"/>
      <c r="AG93" s="140"/>
    </row>
    <row r="94" spans="1:33" s="27" customFormat="1" ht="20.45" customHeight="1">
      <c r="A94" s="442"/>
      <c r="B94" s="74"/>
      <c r="C94" s="76"/>
      <c r="D94" s="77">
        <v>75</v>
      </c>
      <c r="E94" s="67">
        <f t="shared" si="35"/>
        <v>5.2083333333333336E-2</v>
      </c>
      <c r="F94" s="78">
        <f t="shared" si="36"/>
        <v>12.015462432691349</v>
      </c>
      <c r="G94" s="78">
        <f>H135</f>
        <v>4.8154624326913487</v>
      </c>
      <c r="H94" s="612"/>
      <c r="I94" s="612"/>
      <c r="J94" s="613"/>
      <c r="K94" s="117"/>
      <c r="L94" s="38"/>
      <c r="V94" s="320"/>
      <c r="W94" s="140"/>
      <c r="X94" s="140"/>
      <c r="Y94" s="140"/>
      <c r="Z94" s="140"/>
      <c r="AA94" s="321"/>
      <c r="AB94" s="331"/>
      <c r="AC94" s="140"/>
      <c r="AD94" s="140"/>
      <c r="AE94" s="140"/>
      <c r="AF94" s="140"/>
      <c r="AG94" s="140"/>
    </row>
    <row r="95" spans="1:33" s="27" customFormat="1" ht="20.45" customHeight="1">
      <c r="A95" s="442"/>
      <c r="B95" s="74"/>
      <c r="C95" s="76"/>
      <c r="D95" s="77">
        <v>90</v>
      </c>
      <c r="E95" s="67">
        <f t="shared" si="35"/>
        <v>6.25E-2</v>
      </c>
      <c r="F95" s="78">
        <f t="shared" si="36"/>
        <v>11.846473869382649</v>
      </c>
      <c r="G95" s="78">
        <f>H136</f>
        <v>4.6464738693826479</v>
      </c>
      <c r="H95" s="612"/>
      <c r="I95" s="612"/>
      <c r="J95" s="613"/>
      <c r="K95" s="117"/>
      <c r="L95" s="38"/>
      <c r="V95" s="320"/>
      <c r="W95" s="140"/>
      <c r="X95" s="140"/>
      <c r="Y95" s="140"/>
      <c r="Z95" s="140"/>
      <c r="AA95" s="321"/>
      <c r="AB95" s="331"/>
      <c r="AC95" s="140"/>
      <c r="AD95" s="140"/>
      <c r="AE95" s="140"/>
      <c r="AF95" s="140"/>
      <c r="AG95" s="140"/>
    </row>
    <row r="96" spans="1:33" s="27" customFormat="1" ht="20.45" customHeight="1">
      <c r="A96" s="442"/>
      <c r="B96" s="74"/>
      <c r="C96" s="76"/>
      <c r="D96" s="77">
        <v>105</v>
      </c>
      <c r="E96" s="67">
        <f t="shared" si="35"/>
        <v>7.2916666666666671E-2</v>
      </c>
      <c r="F96" s="78">
        <f t="shared" si="36"/>
        <v>11.683415605588959</v>
      </c>
      <c r="G96" s="78">
        <f>H137</f>
        <v>4.4834156055889576</v>
      </c>
      <c r="H96" s="612"/>
      <c r="I96" s="612"/>
      <c r="J96" s="613"/>
      <c r="K96" s="117"/>
      <c r="L96" s="38"/>
      <c r="V96" s="320"/>
      <c r="W96" s="140"/>
      <c r="X96" s="140"/>
      <c r="Y96" s="140"/>
      <c r="Z96" s="140"/>
      <c r="AA96" s="321"/>
      <c r="AB96" s="331"/>
      <c r="AC96" s="140"/>
      <c r="AD96" s="140"/>
      <c r="AE96" s="140"/>
      <c r="AF96" s="140"/>
      <c r="AG96" s="140"/>
    </row>
    <row r="97" spans="1:33" s="27" customFormat="1" ht="20.45" customHeight="1">
      <c r="A97" s="442"/>
      <c r="B97" s="74"/>
      <c r="C97" s="76">
        <f>$C$10+(D97+2880)/1440</f>
        <v>45770.5625</v>
      </c>
      <c r="D97" s="77">
        <v>120</v>
      </c>
      <c r="E97" s="67">
        <f t="shared" si="35"/>
        <v>8.3333333333333329E-2</v>
      </c>
      <c r="F97" s="78">
        <f t="shared" si="36"/>
        <v>11.227777756833936</v>
      </c>
      <c r="G97" s="78">
        <f>H138</f>
        <v>4.0277777568339355</v>
      </c>
      <c r="H97" s="612"/>
      <c r="I97" s="612"/>
      <c r="J97" s="613"/>
      <c r="K97" s="117" t="s">
        <v>21</v>
      </c>
      <c r="L97" s="38" t="s">
        <v>21</v>
      </c>
      <c r="V97" s="320" t="s">
        <v>21</v>
      </c>
      <c r="W97" s="140"/>
      <c r="X97" s="140"/>
      <c r="Y97" s="140"/>
      <c r="Z97" s="140"/>
      <c r="AA97" s="321" t="s">
        <v>21</v>
      </c>
      <c r="AB97" s="331"/>
      <c r="AC97" s="140"/>
      <c r="AD97" s="140"/>
      <c r="AE97" s="140"/>
      <c r="AF97" s="140"/>
      <c r="AG97" s="140"/>
    </row>
    <row r="98" spans="1:33" s="27" customFormat="1" ht="20.45" customHeight="1">
      <c r="A98" s="442"/>
      <c r="B98" s="74"/>
      <c r="C98" s="76" t="s">
        <v>21</v>
      </c>
      <c r="D98" s="77">
        <v>180</v>
      </c>
      <c r="E98" s="67">
        <f t="shared" si="35"/>
        <v>0.125</v>
      </c>
      <c r="F98" s="78">
        <f t="shared" si="36"/>
        <v>11.086431336636927</v>
      </c>
      <c r="G98" s="78">
        <f>H140</f>
        <v>3.8864313366369263</v>
      </c>
      <c r="H98" s="612"/>
      <c r="I98" s="612"/>
      <c r="J98" s="613"/>
      <c r="K98" s="146"/>
      <c r="L98" s="38" t="s">
        <v>21</v>
      </c>
      <c r="V98" s="320" t="str">
        <f t="shared" ref="V98:V103" si="38">V97</f>
        <v xml:space="preserve"> </v>
      </c>
      <c r="W98" s="140"/>
      <c r="X98" s="140"/>
      <c r="Y98" s="140"/>
      <c r="Z98" s="140"/>
      <c r="AA98" s="321" t="s">
        <v>21</v>
      </c>
      <c r="AB98" s="331"/>
      <c r="AC98" s="140"/>
      <c r="AD98" s="140"/>
      <c r="AE98" s="140"/>
      <c r="AF98" s="140"/>
      <c r="AG98" s="140"/>
    </row>
    <row r="99" spans="1:33" s="27" customFormat="1" ht="20.45" customHeight="1">
      <c r="A99" s="442"/>
      <c r="B99" s="74"/>
      <c r="C99" s="76">
        <f>$C$10+(D99+2880)/1440</f>
        <v>45770.645833333328</v>
      </c>
      <c r="D99" s="77">
        <v>240</v>
      </c>
      <c r="E99" s="67">
        <f t="shared" si="35"/>
        <v>0.16666666666666666</v>
      </c>
      <c r="F99" s="78">
        <f t="shared" si="36"/>
        <v>10.336635109403545</v>
      </c>
      <c r="G99" s="78">
        <f>H142</f>
        <v>3.1366351094035441</v>
      </c>
      <c r="H99" s="612"/>
      <c r="I99" s="612"/>
      <c r="J99" s="613"/>
      <c r="K99" s="117"/>
      <c r="V99" s="320" t="str">
        <f t="shared" si="38"/>
        <v xml:space="preserve"> </v>
      </c>
      <c r="W99" s="140"/>
      <c r="X99" s="140"/>
      <c r="Y99" s="140"/>
      <c r="Z99" s="140"/>
      <c r="AA99" s="321" t="s">
        <v>21</v>
      </c>
      <c r="AB99" s="331"/>
      <c r="AC99" s="140"/>
      <c r="AD99" s="140"/>
      <c r="AE99" s="140"/>
      <c r="AF99" s="140"/>
      <c r="AG99" s="140"/>
    </row>
    <row r="100" spans="1:33" s="27" customFormat="1" ht="20.45" customHeight="1">
      <c r="A100" s="442"/>
      <c r="B100" s="74"/>
      <c r="C100" s="76" t="s">
        <v>21</v>
      </c>
      <c r="D100" s="77">
        <v>300</v>
      </c>
      <c r="E100" s="67">
        <f t="shared" si="35"/>
        <v>0.20833333333333334</v>
      </c>
      <c r="F100" s="78">
        <f t="shared" si="36"/>
        <v>9.7314945659265355</v>
      </c>
      <c r="G100" s="78">
        <f>H144</f>
        <v>2.5314945659265358</v>
      </c>
      <c r="H100" s="612"/>
      <c r="I100" s="612"/>
      <c r="J100" s="613"/>
      <c r="K100" s="117"/>
      <c r="V100" s="320" t="str">
        <f t="shared" si="38"/>
        <v xml:space="preserve"> </v>
      </c>
      <c r="W100" s="140"/>
      <c r="X100" s="140"/>
      <c r="Y100" s="140"/>
      <c r="Z100" s="140"/>
      <c r="AA100" s="321" t="s">
        <v>21</v>
      </c>
      <c r="AB100" s="331"/>
      <c r="AC100" s="140"/>
      <c r="AD100" s="140"/>
      <c r="AE100" s="140"/>
      <c r="AF100" s="140"/>
      <c r="AG100" s="140"/>
    </row>
    <row r="101" spans="1:33" s="27" customFormat="1" ht="20.45" customHeight="1" thickBot="1">
      <c r="A101" s="444"/>
      <c r="B101" s="445"/>
      <c r="C101" s="446">
        <f>$C$10+(D101+2880)/1440</f>
        <v>45770.729166666664</v>
      </c>
      <c r="D101" s="447">
        <v>360</v>
      </c>
      <c r="E101" s="448">
        <f t="shared" si="35"/>
        <v>0.25</v>
      </c>
      <c r="F101" s="449">
        <f t="shared" si="36"/>
        <v>9.2431017679114742</v>
      </c>
      <c r="G101" s="450">
        <f>H146</f>
        <v>2.043101767911474</v>
      </c>
      <c r="H101" s="618"/>
      <c r="I101" s="618"/>
      <c r="J101" s="619"/>
      <c r="K101" s="117"/>
      <c r="V101" s="320" t="str">
        <f t="shared" si="38"/>
        <v xml:space="preserve"> </v>
      </c>
      <c r="W101" s="140"/>
      <c r="X101" s="140"/>
      <c r="Y101" s="140"/>
      <c r="Z101" s="140"/>
      <c r="AA101" s="321" t="s">
        <v>21</v>
      </c>
      <c r="AB101" s="331"/>
      <c r="AC101" s="140"/>
      <c r="AD101" s="140"/>
      <c r="AE101" s="140"/>
      <c r="AF101" s="140"/>
      <c r="AG101" s="140"/>
    </row>
    <row r="102" spans="1:33" s="27" customFormat="1" ht="17.25" customHeight="1">
      <c r="D102" s="45"/>
      <c r="K102" s="117"/>
      <c r="V102" s="320" t="str">
        <f t="shared" si="38"/>
        <v xml:space="preserve"> </v>
      </c>
      <c r="W102" s="140"/>
      <c r="X102" s="140"/>
      <c r="Y102" s="140"/>
      <c r="Z102" s="140"/>
      <c r="AA102" s="321" t="s">
        <v>21</v>
      </c>
      <c r="AB102" s="331"/>
      <c r="AC102" s="140"/>
      <c r="AD102" s="140"/>
      <c r="AE102" s="140"/>
      <c r="AF102" s="140"/>
      <c r="AG102" s="140"/>
    </row>
    <row r="103" spans="1:33" s="27" customFormat="1" ht="17.25" customHeight="1">
      <c r="D103" s="45"/>
      <c r="K103" s="117"/>
      <c r="V103" s="320" t="str">
        <f t="shared" si="38"/>
        <v xml:space="preserve"> </v>
      </c>
      <c r="W103" s="140"/>
      <c r="X103" s="140"/>
      <c r="Y103" s="140"/>
      <c r="Z103" s="140"/>
      <c r="AA103" s="321"/>
      <c r="AB103" s="331"/>
      <c r="AC103" s="140"/>
      <c r="AD103" s="140"/>
      <c r="AE103" s="140"/>
      <c r="AF103" s="140"/>
      <c r="AG103" s="140"/>
    </row>
    <row r="104" spans="1:33" s="27" customFormat="1" ht="17.25" customHeight="1">
      <c r="D104" s="45"/>
      <c r="K104" s="117"/>
      <c r="V104" s="140"/>
      <c r="W104" s="140"/>
      <c r="X104" s="140"/>
      <c r="Y104" s="140"/>
      <c r="Z104" s="140"/>
      <c r="AA104" s="321"/>
      <c r="AB104" s="331"/>
      <c r="AC104" s="140"/>
      <c r="AD104" s="140"/>
      <c r="AE104" s="140"/>
      <c r="AF104" s="140"/>
      <c r="AG104" s="140"/>
    </row>
    <row r="105" spans="1:33" s="27" customFormat="1" ht="17.25" customHeight="1">
      <c r="D105" s="45"/>
      <c r="K105" s="117"/>
      <c r="V105" s="140"/>
      <c r="W105" s="140"/>
      <c r="X105" s="140"/>
      <c r="Y105" s="140"/>
      <c r="Z105" s="140"/>
      <c r="AA105" s="321"/>
      <c r="AB105" s="331"/>
      <c r="AC105" s="140"/>
      <c r="AD105" s="140"/>
      <c r="AE105" s="140"/>
      <c r="AF105" s="140"/>
      <c r="AG105" s="140"/>
    </row>
    <row r="106" spans="1:33" s="27" customFormat="1" ht="17.25" customHeight="1">
      <c r="K106" s="117"/>
      <c r="V106" s="140"/>
      <c r="W106" s="140"/>
      <c r="X106" s="140"/>
      <c r="Y106" s="140"/>
      <c r="Z106" s="140"/>
      <c r="AA106" s="321"/>
      <c r="AB106" s="331"/>
      <c r="AC106" s="140"/>
      <c r="AD106" s="140"/>
      <c r="AE106" s="140"/>
      <c r="AF106" s="140"/>
      <c r="AG106" s="140"/>
    </row>
    <row r="107" spans="1:33" s="27" customFormat="1" ht="17.25" customHeight="1">
      <c r="K107" s="117"/>
      <c r="V107" s="140"/>
      <c r="W107" s="140"/>
      <c r="X107" s="140"/>
      <c r="Y107" s="140"/>
      <c r="Z107" s="140"/>
      <c r="AA107" s="321"/>
      <c r="AB107" s="331"/>
      <c r="AC107" s="140"/>
      <c r="AD107" s="140"/>
      <c r="AE107" s="140"/>
      <c r="AF107" s="140"/>
      <c r="AG107" s="140"/>
    </row>
    <row r="108" spans="1:33" s="27" customFormat="1" ht="17.25" customHeight="1">
      <c r="K108" s="117"/>
      <c r="V108" s="140"/>
      <c r="W108" s="140"/>
      <c r="X108" s="140"/>
      <c r="Y108" s="140"/>
      <c r="Z108" s="140"/>
      <c r="AA108" s="321"/>
      <c r="AB108" s="331"/>
      <c r="AC108" s="140"/>
      <c r="AD108" s="140"/>
      <c r="AE108" s="140"/>
      <c r="AF108" s="140"/>
      <c r="AG108" s="140"/>
    </row>
    <row r="109" spans="1:33" s="27" customFormat="1" ht="17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17"/>
      <c r="V109" s="140"/>
      <c r="W109" s="140"/>
      <c r="X109" s="140"/>
      <c r="Y109" s="140"/>
      <c r="Z109" s="140"/>
      <c r="AA109" s="321"/>
      <c r="AB109" s="331"/>
      <c r="AC109" s="140"/>
      <c r="AD109" s="140"/>
      <c r="AE109" s="140"/>
      <c r="AF109" s="140"/>
      <c r="AG109" s="140"/>
    </row>
    <row r="110" spans="1:33" s="27" customFormat="1" ht="17.25" customHeight="1">
      <c r="A110" s="140"/>
      <c r="B110" s="140"/>
      <c r="C110" s="141">
        <v>3</v>
      </c>
      <c r="D110" s="142">
        <f>G77</f>
        <v>35.599999999999994</v>
      </c>
      <c r="E110" s="140"/>
      <c r="F110" s="143" t="s">
        <v>192</v>
      </c>
      <c r="G110" s="140"/>
      <c r="H110" s="144" t="s">
        <v>193</v>
      </c>
      <c r="I110" s="145"/>
      <c r="J110" s="140"/>
      <c r="K110" s="117"/>
      <c r="V110" s="140"/>
      <c r="W110" s="140"/>
      <c r="X110" s="140"/>
      <c r="Y110" s="140"/>
      <c r="Z110" s="140"/>
      <c r="AA110" s="321"/>
      <c r="AB110" s="331"/>
      <c r="AC110" s="140"/>
      <c r="AD110" s="140"/>
      <c r="AE110" s="140"/>
      <c r="AF110" s="140"/>
      <c r="AG110" s="140"/>
    </row>
    <row r="111" spans="1:33" s="27" customFormat="1" ht="17.25" hidden="1" customHeight="1">
      <c r="A111" s="140"/>
      <c r="B111" s="140">
        <v>1</v>
      </c>
      <c r="C111" s="140">
        <v>95</v>
      </c>
      <c r="D111" s="146">
        <f>D110</f>
        <v>35.599999999999994</v>
      </c>
      <c r="E111" s="147">
        <f>C111/100</f>
        <v>0.95</v>
      </c>
      <c r="F111" s="148" t="s">
        <v>21</v>
      </c>
      <c r="G111" s="140">
        <v>1</v>
      </c>
      <c r="H111" s="149">
        <f t="shared" ref="H111:H146" si="39">D111^E111</f>
        <v>29.776763944796972</v>
      </c>
      <c r="I111" s="150"/>
      <c r="J111" s="140"/>
      <c r="K111" s="117"/>
      <c r="V111" s="140"/>
      <c r="W111" s="140"/>
      <c r="X111" s="140"/>
      <c r="Y111" s="140"/>
      <c r="Z111" s="140"/>
      <c r="AA111" s="321"/>
      <c r="AB111" s="331"/>
      <c r="AC111" s="140"/>
      <c r="AD111" s="140"/>
      <c r="AE111" s="140"/>
      <c r="AF111" s="140"/>
      <c r="AG111" s="140"/>
    </row>
    <row r="112" spans="1:33" s="27" customFormat="1" ht="17.25" hidden="1" customHeight="1">
      <c r="A112" s="140"/>
      <c r="B112" s="140">
        <v>2</v>
      </c>
      <c r="C112" s="140">
        <f t="shared" ref="C112:C119" si="40">C111-C$110</f>
        <v>92</v>
      </c>
      <c r="D112" s="145">
        <f>D111</f>
        <v>35.599999999999994</v>
      </c>
      <c r="E112" s="147">
        <f t="shared" ref="E112:E141" si="41">C112/100</f>
        <v>0.92</v>
      </c>
      <c r="F112" s="151"/>
      <c r="G112" s="140">
        <v>2</v>
      </c>
      <c r="H112" s="149">
        <f t="shared" si="39"/>
        <v>26.750628993180971</v>
      </c>
      <c r="I112" s="150"/>
      <c r="J112" s="152">
        <f>H111-H112</f>
        <v>3.026134951616001</v>
      </c>
      <c r="K112" s="117"/>
      <c r="V112" s="140"/>
      <c r="W112" s="140"/>
      <c r="X112" s="140"/>
      <c r="Y112" s="140"/>
      <c r="Z112" s="140"/>
      <c r="AA112" s="321"/>
      <c r="AB112" s="331"/>
      <c r="AC112" s="140"/>
      <c r="AD112" s="140"/>
      <c r="AE112" s="140"/>
      <c r="AF112" s="140"/>
      <c r="AG112" s="140"/>
    </row>
    <row r="113" spans="1:33" s="27" customFormat="1" ht="17.25" hidden="1" customHeight="1">
      <c r="A113" s="140"/>
      <c r="B113" s="140">
        <v>3</v>
      </c>
      <c r="C113" s="140">
        <f t="shared" si="40"/>
        <v>89</v>
      </c>
      <c r="D113" s="145">
        <f t="shared" ref="D113:D146" si="42">D112</f>
        <v>35.599999999999994</v>
      </c>
      <c r="E113" s="147">
        <f t="shared" si="41"/>
        <v>0.89</v>
      </c>
      <c r="F113" s="148" t="s">
        <v>21</v>
      </c>
      <c r="G113" s="140">
        <v>3</v>
      </c>
      <c r="H113" s="149">
        <f t="shared" si="39"/>
        <v>24.032032253654393</v>
      </c>
      <c r="I113" s="150"/>
      <c r="J113" s="152">
        <f t="shared" ref="J113:J146" si="43">H112-H113</f>
        <v>2.7185967395265784</v>
      </c>
      <c r="K113" s="117"/>
      <c r="V113" s="140"/>
      <c r="W113" s="140"/>
      <c r="X113" s="140"/>
      <c r="Y113" s="140"/>
      <c r="Z113" s="140"/>
      <c r="AA113" s="321"/>
      <c r="AB113" s="331"/>
      <c r="AC113" s="140"/>
      <c r="AD113" s="140"/>
      <c r="AE113" s="140"/>
      <c r="AF113" s="140"/>
      <c r="AG113" s="140"/>
    </row>
    <row r="114" spans="1:33" s="27" customFormat="1" ht="17.25" customHeight="1">
      <c r="A114" s="140"/>
      <c r="B114" s="140">
        <v>4</v>
      </c>
      <c r="C114" s="140">
        <f t="shared" si="40"/>
        <v>86</v>
      </c>
      <c r="D114" s="145">
        <f t="shared" si="42"/>
        <v>35.599999999999994</v>
      </c>
      <c r="E114" s="147">
        <f t="shared" si="41"/>
        <v>0.86</v>
      </c>
      <c r="F114" s="151">
        <v>1</v>
      </c>
      <c r="G114" s="153">
        <v>4</v>
      </c>
      <c r="H114" s="154">
        <f t="shared" si="39"/>
        <v>21.589719418855754</v>
      </c>
      <c r="I114" s="155"/>
      <c r="J114" s="152">
        <f t="shared" si="43"/>
        <v>2.4423128347986385</v>
      </c>
      <c r="K114" s="117"/>
      <c r="V114" s="140"/>
      <c r="W114" s="140"/>
      <c r="X114" s="140"/>
      <c r="Y114" s="140"/>
      <c r="Z114" s="140"/>
      <c r="AA114" s="321"/>
      <c r="AB114" s="331"/>
      <c r="AC114" s="140"/>
      <c r="AD114" s="140"/>
      <c r="AE114" s="140"/>
      <c r="AF114" s="140"/>
      <c r="AG114" s="140"/>
    </row>
    <row r="115" spans="1:33" s="27" customFormat="1" ht="17.25" customHeight="1">
      <c r="A115" s="140"/>
      <c r="B115" s="140">
        <v>5</v>
      </c>
      <c r="C115" s="140">
        <f t="shared" si="40"/>
        <v>83</v>
      </c>
      <c r="D115" s="145">
        <f t="shared" si="42"/>
        <v>35.599999999999994</v>
      </c>
      <c r="E115" s="147">
        <f t="shared" si="41"/>
        <v>0.83</v>
      </c>
      <c r="F115" s="151">
        <v>2</v>
      </c>
      <c r="G115" s="153">
        <v>5</v>
      </c>
      <c r="H115" s="154">
        <f t="shared" si="39"/>
        <v>19.395612475263647</v>
      </c>
      <c r="I115" s="155"/>
      <c r="J115" s="152">
        <f t="shared" si="43"/>
        <v>2.1941069435921072</v>
      </c>
      <c r="K115" s="117"/>
      <c r="V115" s="140"/>
      <c r="W115" s="140"/>
      <c r="X115" s="140"/>
      <c r="Y115" s="140"/>
      <c r="Z115" s="140"/>
      <c r="AA115" s="321"/>
      <c r="AB115" s="331"/>
      <c r="AC115" s="140"/>
      <c r="AD115" s="140"/>
      <c r="AE115" s="140"/>
      <c r="AF115" s="140"/>
      <c r="AG115" s="140"/>
    </row>
    <row r="116" spans="1:33" s="27" customFormat="1" ht="17.25" customHeight="1">
      <c r="A116" s="140"/>
      <c r="B116" s="140">
        <v>6</v>
      </c>
      <c r="C116" s="140">
        <f t="shared" si="40"/>
        <v>80</v>
      </c>
      <c r="D116" s="145">
        <f t="shared" si="42"/>
        <v>35.599999999999994</v>
      </c>
      <c r="E116" s="147">
        <f t="shared" si="41"/>
        <v>0.8</v>
      </c>
      <c r="F116" s="151">
        <v>3</v>
      </c>
      <c r="G116" s="153">
        <v>6</v>
      </c>
      <c r="H116" s="154">
        <f t="shared" si="39"/>
        <v>17.424486904727953</v>
      </c>
      <c r="I116" s="155"/>
      <c r="J116" s="152">
        <f t="shared" si="43"/>
        <v>1.971125570535694</v>
      </c>
      <c r="K116" s="117"/>
      <c r="V116" s="140"/>
      <c r="W116" s="140"/>
      <c r="X116" s="140"/>
      <c r="Y116" s="140"/>
      <c r="Z116" s="140"/>
      <c r="AA116" s="321"/>
      <c r="AB116" s="331"/>
      <c r="AC116" s="140"/>
      <c r="AD116" s="140"/>
      <c r="AE116" s="140"/>
      <c r="AF116" s="140"/>
      <c r="AG116" s="140"/>
    </row>
    <row r="117" spans="1:33" s="27" customFormat="1" ht="17.25" customHeight="1">
      <c r="A117" s="140"/>
      <c r="B117" s="140">
        <v>7</v>
      </c>
      <c r="C117" s="140">
        <f t="shared" si="40"/>
        <v>77</v>
      </c>
      <c r="D117" s="145">
        <f t="shared" si="42"/>
        <v>35.599999999999994</v>
      </c>
      <c r="E117" s="147">
        <f t="shared" si="41"/>
        <v>0.77</v>
      </c>
      <c r="F117" s="151">
        <v>4</v>
      </c>
      <c r="G117" s="153">
        <v>7</v>
      </c>
      <c r="H117" s="154">
        <f t="shared" si="39"/>
        <v>15.653681691168593</v>
      </c>
      <c r="I117" s="155"/>
      <c r="J117" s="152">
        <f t="shared" si="43"/>
        <v>1.7708052135593597</v>
      </c>
      <c r="K117" s="117"/>
      <c r="V117" s="140"/>
      <c r="W117" s="140"/>
      <c r="X117" s="140"/>
      <c r="Y117" s="140"/>
      <c r="Z117" s="140"/>
      <c r="AA117" s="321"/>
      <c r="AB117" s="331"/>
      <c r="AC117" s="140"/>
      <c r="AD117" s="140"/>
      <c r="AE117" s="140"/>
      <c r="AF117" s="140"/>
      <c r="AG117" s="140"/>
    </row>
    <row r="118" spans="1:33" s="27" customFormat="1" ht="17.25" customHeight="1">
      <c r="A118" s="140"/>
      <c r="B118" s="140">
        <v>8</v>
      </c>
      <c r="C118" s="140">
        <f t="shared" si="40"/>
        <v>74</v>
      </c>
      <c r="D118" s="145">
        <f t="shared" si="42"/>
        <v>35.599999999999994</v>
      </c>
      <c r="E118" s="147">
        <f t="shared" si="41"/>
        <v>0.74</v>
      </c>
      <c r="F118" s="151">
        <v>5</v>
      </c>
      <c r="G118" s="153">
        <v>8</v>
      </c>
      <c r="H118" s="154">
        <f t="shared" si="39"/>
        <v>14.062838798538074</v>
      </c>
      <c r="I118" s="155"/>
      <c r="J118" s="152">
        <f t="shared" si="43"/>
        <v>1.5908428926305191</v>
      </c>
      <c r="K118" s="117"/>
      <c r="V118" s="140"/>
      <c r="W118" s="140"/>
      <c r="X118" s="140"/>
      <c r="Y118" s="140"/>
      <c r="Z118" s="140"/>
      <c r="AA118" s="321"/>
      <c r="AB118" s="331"/>
      <c r="AC118" s="140"/>
      <c r="AD118" s="140"/>
      <c r="AE118" s="140"/>
      <c r="AF118" s="140"/>
      <c r="AG118" s="140"/>
    </row>
    <row r="119" spans="1:33" s="27" customFormat="1" ht="17.25" hidden="1" customHeight="1">
      <c r="A119" s="140"/>
      <c r="B119" s="140">
        <v>9</v>
      </c>
      <c r="C119" s="140">
        <f t="shared" si="40"/>
        <v>71</v>
      </c>
      <c r="D119" s="145">
        <f t="shared" si="42"/>
        <v>35.599999999999994</v>
      </c>
      <c r="E119" s="147">
        <f t="shared" si="41"/>
        <v>0.71</v>
      </c>
      <c r="F119" s="148"/>
      <c r="G119" s="140">
        <v>9</v>
      </c>
      <c r="H119" s="156">
        <f t="shared" si="39"/>
        <v>12.633669124959967</v>
      </c>
      <c r="I119" s="157"/>
      <c r="J119" s="152">
        <f t="shared" si="43"/>
        <v>1.429169673578107</v>
      </c>
      <c r="K119" s="117"/>
      <c r="V119" s="140"/>
      <c r="W119" s="140"/>
      <c r="X119" s="140"/>
      <c r="Y119" s="140"/>
      <c r="Z119" s="140"/>
      <c r="AA119" s="321"/>
      <c r="AB119" s="331"/>
      <c r="AC119" s="140"/>
      <c r="AD119" s="140"/>
      <c r="AE119" s="140"/>
      <c r="AF119" s="140"/>
      <c r="AG119" s="140"/>
    </row>
    <row r="120" spans="1:33" s="27" customFormat="1" ht="17.25" hidden="1" customHeight="1">
      <c r="A120" s="140">
        <f>C110</f>
        <v>3</v>
      </c>
      <c r="B120" s="140">
        <v>10</v>
      </c>
      <c r="C120" s="140">
        <f>C119-A$120</f>
        <v>68</v>
      </c>
      <c r="D120" s="145">
        <f t="shared" si="42"/>
        <v>35.599999999999994</v>
      </c>
      <c r="E120" s="147">
        <f t="shared" si="41"/>
        <v>0.68</v>
      </c>
      <c r="F120" s="148" t="s">
        <v>21</v>
      </c>
      <c r="G120" s="140">
        <v>10</v>
      </c>
      <c r="H120" s="149">
        <f t="shared" si="39"/>
        <v>11.34974224233868</v>
      </c>
      <c r="I120" s="150"/>
      <c r="J120" s="152">
        <f t="shared" si="43"/>
        <v>1.2839268826212873</v>
      </c>
      <c r="K120" s="117"/>
      <c r="V120" s="140"/>
      <c r="W120" s="140"/>
      <c r="X120" s="140"/>
      <c r="Y120" s="140"/>
      <c r="Z120" s="140"/>
      <c r="AA120" s="321"/>
      <c r="AB120" s="331"/>
      <c r="AC120" s="140"/>
      <c r="AD120" s="140"/>
      <c r="AE120" s="140"/>
      <c r="AF120" s="140"/>
      <c r="AG120" s="140"/>
    </row>
    <row r="121" spans="1:33" s="27" customFormat="1" ht="17.25" customHeight="1">
      <c r="A121" s="140"/>
      <c r="B121" s="140">
        <v>11</v>
      </c>
      <c r="C121" s="140">
        <f t="shared" ref="C121:C128" si="44">C120-A$120</f>
        <v>65</v>
      </c>
      <c r="D121" s="145">
        <f t="shared" si="42"/>
        <v>35.599999999999994</v>
      </c>
      <c r="E121" s="147">
        <f t="shared" si="41"/>
        <v>0.65</v>
      </c>
      <c r="F121" s="151">
        <v>10</v>
      </c>
      <c r="G121" s="153">
        <v>12</v>
      </c>
      <c r="H121" s="154">
        <f t="shared" si="39"/>
        <v>10.196297504184882</v>
      </c>
      <c r="I121" s="155"/>
      <c r="J121" s="152">
        <f t="shared" si="43"/>
        <v>1.153444738153798</v>
      </c>
      <c r="K121" s="117"/>
      <c r="V121" s="140"/>
      <c r="W121" s="140"/>
      <c r="X121" s="140"/>
      <c r="Y121" s="140"/>
      <c r="Z121" s="140"/>
      <c r="AA121" s="321"/>
      <c r="AB121" s="331"/>
      <c r="AC121" s="140"/>
      <c r="AD121" s="140"/>
      <c r="AE121" s="140"/>
      <c r="AF121" s="140"/>
      <c r="AG121" s="140"/>
    </row>
    <row r="122" spans="1:33" s="27" customFormat="1" ht="17.25" hidden="1" customHeight="1">
      <c r="A122" s="140"/>
      <c r="B122" s="140">
        <v>12</v>
      </c>
      <c r="C122" s="140">
        <f t="shared" si="44"/>
        <v>62</v>
      </c>
      <c r="D122" s="145">
        <f t="shared" si="42"/>
        <v>35.599999999999994</v>
      </c>
      <c r="E122" s="147">
        <f t="shared" si="41"/>
        <v>0.62</v>
      </c>
      <c r="F122" s="148"/>
      <c r="G122" s="140">
        <v>14</v>
      </c>
      <c r="H122" s="149">
        <f t="shared" si="39"/>
        <v>9.1600743500606896</v>
      </c>
      <c r="I122" s="150"/>
      <c r="J122" s="152">
        <f t="shared" si="43"/>
        <v>1.0362231541241922</v>
      </c>
      <c r="K122" s="117"/>
      <c r="V122" s="140"/>
      <c r="W122" s="140"/>
      <c r="X122" s="140"/>
      <c r="Y122" s="140"/>
      <c r="Z122" s="140"/>
      <c r="AA122" s="321"/>
      <c r="AB122" s="331"/>
      <c r="AC122" s="140"/>
      <c r="AD122" s="140"/>
      <c r="AE122" s="140"/>
      <c r="AF122" s="140"/>
      <c r="AG122" s="140"/>
    </row>
    <row r="123" spans="1:33" s="27" customFormat="1" ht="17.25" hidden="1" customHeight="1">
      <c r="A123" s="140"/>
      <c r="B123" s="140"/>
      <c r="C123" s="140">
        <v>37</v>
      </c>
      <c r="D123" s="145">
        <f t="shared" si="42"/>
        <v>35.599999999999994</v>
      </c>
      <c r="E123" s="147">
        <f t="shared" si="41"/>
        <v>0.37</v>
      </c>
      <c r="F123" s="148"/>
      <c r="G123" s="140">
        <v>15</v>
      </c>
      <c r="H123" s="149">
        <f t="shared" si="39"/>
        <v>3.7500451728663315</v>
      </c>
      <c r="I123" s="150"/>
      <c r="J123" s="152">
        <f t="shared" si="43"/>
        <v>5.4100291771943585</v>
      </c>
      <c r="K123" s="117"/>
      <c r="V123" s="140"/>
      <c r="W123" s="140"/>
      <c r="X123" s="140"/>
      <c r="Y123" s="140"/>
      <c r="Z123" s="140"/>
      <c r="AA123" s="321"/>
      <c r="AB123" s="331"/>
      <c r="AC123" s="140"/>
      <c r="AD123" s="140"/>
      <c r="AE123" s="140"/>
      <c r="AF123" s="140"/>
      <c r="AG123" s="140"/>
    </row>
    <row r="124" spans="1:33" s="27" customFormat="1" ht="17.25" customHeight="1">
      <c r="A124" s="140"/>
      <c r="B124" s="140">
        <v>13</v>
      </c>
      <c r="C124" s="140">
        <v>63</v>
      </c>
      <c r="D124" s="145">
        <f t="shared" si="42"/>
        <v>35.599999999999994</v>
      </c>
      <c r="E124" s="147">
        <f t="shared" si="41"/>
        <v>0.63</v>
      </c>
      <c r="F124" s="151">
        <v>15</v>
      </c>
      <c r="G124" s="153">
        <v>16</v>
      </c>
      <c r="H124" s="154">
        <f t="shared" si="39"/>
        <v>9.4932189770901534</v>
      </c>
      <c r="I124" s="155"/>
      <c r="J124" s="152">
        <f t="shared" si="43"/>
        <v>-5.7431738042238223</v>
      </c>
      <c r="K124" s="117"/>
      <c r="V124" s="140"/>
      <c r="W124" s="140"/>
      <c r="X124" s="140"/>
      <c r="Y124" s="140"/>
      <c r="Z124" s="140"/>
      <c r="AA124" s="321"/>
      <c r="AB124" s="331"/>
      <c r="AC124" s="140"/>
      <c r="AD124" s="140"/>
      <c r="AE124" s="140"/>
      <c r="AF124" s="140"/>
      <c r="AG124" s="140"/>
    </row>
    <row r="125" spans="1:33" s="27" customFormat="1" ht="17.25" hidden="1" customHeight="1">
      <c r="A125" s="140"/>
      <c r="B125" s="140">
        <v>14</v>
      </c>
      <c r="C125" s="140">
        <f t="shared" si="44"/>
        <v>60</v>
      </c>
      <c r="D125" s="145">
        <f t="shared" si="42"/>
        <v>35.599999999999994</v>
      </c>
      <c r="E125" s="147">
        <f t="shared" si="41"/>
        <v>0.6</v>
      </c>
      <c r="F125" s="148"/>
      <c r="G125" s="140">
        <v>18</v>
      </c>
      <c r="H125" s="149">
        <f t="shared" si="39"/>
        <v>8.5284478621639277</v>
      </c>
      <c r="I125" s="150"/>
      <c r="J125" s="152">
        <f t="shared" si="43"/>
        <v>0.96477111492622569</v>
      </c>
      <c r="K125" s="117"/>
      <c r="V125" s="140"/>
      <c r="W125" s="140"/>
      <c r="X125" s="140"/>
      <c r="Y125" s="140"/>
      <c r="Z125" s="140"/>
      <c r="AA125" s="321"/>
      <c r="AB125" s="331"/>
      <c r="AC125" s="140"/>
      <c r="AD125" s="140"/>
      <c r="AE125" s="140"/>
      <c r="AF125" s="140"/>
      <c r="AG125" s="140"/>
    </row>
    <row r="126" spans="1:33" s="27" customFormat="1" ht="17.25" customHeight="1">
      <c r="A126" s="140"/>
      <c r="B126" s="140">
        <v>15</v>
      </c>
      <c r="C126" s="140">
        <f t="shared" si="44"/>
        <v>57</v>
      </c>
      <c r="D126" s="145">
        <f t="shared" si="42"/>
        <v>35.599999999999994</v>
      </c>
      <c r="E126" s="147">
        <f t="shared" si="41"/>
        <v>0.56999999999999995</v>
      </c>
      <c r="F126" s="151">
        <v>20</v>
      </c>
      <c r="G126" s="153">
        <v>20</v>
      </c>
      <c r="H126" s="154">
        <f t="shared" si="39"/>
        <v>7.66172392243109</v>
      </c>
      <c r="I126" s="155"/>
      <c r="J126" s="152">
        <f t="shared" si="43"/>
        <v>0.86672393973283768</v>
      </c>
      <c r="K126" s="117"/>
      <c r="V126" s="140"/>
      <c r="W126" s="140"/>
      <c r="X126" s="140"/>
      <c r="Y126" s="140"/>
      <c r="Z126" s="140"/>
      <c r="AA126" s="321"/>
      <c r="AB126" s="331"/>
      <c r="AC126" s="140"/>
      <c r="AD126" s="140"/>
      <c r="AE126" s="140"/>
      <c r="AF126" s="140"/>
      <c r="AG126" s="140"/>
    </row>
    <row r="127" spans="1:33" s="27" customFormat="1" ht="17.25" customHeight="1">
      <c r="A127" s="140"/>
      <c r="B127" s="140">
        <v>16</v>
      </c>
      <c r="C127" s="140">
        <f t="shared" si="44"/>
        <v>54</v>
      </c>
      <c r="D127" s="145">
        <f t="shared" si="42"/>
        <v>35.599999999999994</v>
      </c>
      <c r="E127" s="147">
        <f t="shared" si="41"/>
        <v>0.54</v>
      </c>
      <c r="F127" s="151">
        <v>25</v>
      </c>
      <c r="G127" s="153">
        <v>25</v>
      </c>
      <c r="H127" s="154">
        <f t="shared" si="39"/>
        <v>6.8830828788883958</v>
      </c>
      <c r="I127" s="155"/>
      <c r="J127" s="152">
        <f t="shared" si="43"/>
        <v>0.77864104354269426</v>
      </c>
      <c r="K127" s="117"/>
      <c r="V127" s="140"/>
      <c r="W127" s="140"/>
      <c r="X127" s="140"/>
      <c r="Y127" s="140"/>
      <c r="Z127" s="140"/>
      <c r="AA127" s="321"/>
      <c r="AB127" s="331"/>
      <c r="AC127" s="140"/>
      <c r="AD127" s="140"/>
      <c r="AE127" s="140"/>
      <c r="AF127" s="140"/>
      <c r="AG127" s="140"/>
    </row>
    <row r="128" spans="1:33" s="27" customFormat="1" ht="17.25" customHeight="1">
      <c r="A128" s="140"/>
      <c r="B128" s="140">
        <v>17</v>
      </c>
      <c r="C128" s="140">
        <f t="shared" si="44"/>
        <v>51</v>
      </c>
      <c r="D128" s="145">
        <f t="shared" si="42"/>
        <v>35.599999999999994</v>
      </c>
      <c r="E128" s="147">
        <f t="shared" si="41"/>
        <v>0.51</v>
      </c>
      <c r="F128" s="151">
        <v>30</v>
      </c>
      <c r="G128" s="153">
        <v>30</v>
      </c>
      <c r="H128" s="154">
        <f>D128^E128</f>
        <v>6.1835730962508677</v>
      </c>
      <c r="I128" s="155"/>
      <c r="J128" s="152">
        <f t="shared" si="43"/>
        <v>0.69950978263752805</v>
      </c>
      <c r="K128" s="117"/>
      <c r="V128" s="140"/>
      <c r="W128" s="140"/>
      <c r="X128" s="140"/>
      <c r="Y128" s="140"/>
      <c r="Z128" s="140"/>
      <c r="AA128" s="321"/>
      <c r="AB128" s="331"/>
      <c r="AC128" s="140"/>
      <c r="AD128" s="140"/>
      <c r="AE128" s="140"/>
      <c r="AF128" s="140"/>
      <c r="AG128" s="140"/>
    </row>
    <row r="129" spans="1:33" s="27" customFormat="1" ht="17.25" customHeight="1">
      <c r="A129" s="140"/>
      <c r="B129" s="140"/>
      <c r="C129" s="140">
        <v>50</v>
      </c>
      <c r="D129" s="145">
        <f t="shared" si="42"/>
        <v>35.599999999999994</v>
      </c>
      <c r="E129" s="147">
        <f t="shared" si="41"/>
        <v>0.5</v>
      </c>
      <c r="F129" s="151">
        <v>35</v>
      </c>
      <c r="G129" s="153">
        <v>35</v>
      </c>
      <c r="H129" s="154">
        <f t="shared" si="39"/>
        <v>5.9665735560705189</v>
      </c>
      <c r="I129" s="155"/>
      <c r="J129" s="152">
        <f t="shared" si="43"/>
        <v>0.21699954018034884</v>
      </c>
      <c r="K129" s="117"/>
      <c r="V129" s="140"/>
      <c r="W129" s="140"/>
      <c r="X129" s="140"/>
      <c r="Y129" s="140"/>
      <c r="Z129" s="140"/>
      <c r="AA129" s="321"/>
      <c r="AB129" s="331"/>
      <c r="AC129" s="140"/>
      <c r="AD129" s="140"/>
      <c r="AE129" s="140"/>
      <c r="AF129" s="140"/>
      <c r="AG129" s="140"/>
    </row>
    <row r="130" spans="1:33" s="27" customFormat="1" ht="17.25" customHeight="1">
      <c r="A130" s="140"/>
      <c r="B130" s="140"/>
      <c r="C130" s="140">
        <v>49</v>
      </c>
      <c r="D130" s="145">
        <f t="shared" si="42"/>
        <v>35.599999999999994</v>
      </c>
      <c r="E130" s="147">
        <f t="shared" si="41"/>
        <v>0.49</v>
      </c>
      <c r="F130" s="151">
        <v>40</v>
      </c>
      <c r="G130" s="153">
        <v>40</v>
      </c>
      <c r="H130" s="154">
        <f t="shared" si="39"/>
        <v>5.7571891600318352</v>
      </c>
      <c r="I130" s="155"/>
      <c r="J130" s="152">
        <f t="shared" si="43"/>
        <v>0.20938439603868364</v>
      </c>
      <c r="K130" s="117"/>
      <c r="V130" s="140"/>
      <c r="W130" s="140"/>
      <c r="X130" s="140"/>
      <c r="Y130" s="140"/>
      <c r="Z130" s="140"/>
      <c r="AA130" s="321"/>
      <c r="AB130" s="331"/>
      <c r="AC130" s="140"/>
      <c r="AD130" s="140"/>
      <c r="AE130" s="140"/>
      <c r="AF130" s="140"/>
      <c r="AG130" s="140"/>
    </row>
    <row r="131" spans="1:33" s="27" customFormat="1" ht="17.25" customHeight="1">
      <c r="A131" s="140">
        <f>A120</f>
        <v>3</v>
      </c>
      <c r="B131" s="140">
        <v>18</v>
      </c>
      <c r="C131" s="140">
        <f>C128-A$131</f>
        <v>48</v>
      </c>
      <c r="D131" s="145">
        <f t="shared" si="42"/>
        <v>35.599999999999994</v>
      </c>
      <c r="E131" s="147">
        <f t="shared" si="41"/>
        <v>0.48</v>
      </c>
      <c r="F131" s="151">
        <v>45</v>
      </c>
      <c r="G131" s="153">
        <v>45</v>
      </c>
      <c r="H131" s="154">
        <f t="shared" si="39"/>
        <v>5.5551526706086483</v>
      </c>
      <c r="I131" s="155"/>
      <c r="J131" s="152">
        <f t="shared" si="43"/>
        <v>0.20203648942318697</v>
      </c>
      <c r="K131" s="117"/>
      <c r="V131" s="140"/>
      <c r="W131" s="140"/>
      <c r="X131" s="140"/>
      <c r="Y131" s="140"/>
      <c r="Z131" s="140"/>
      <c r="AA131" s="321"/>
      <c r="AB131" s="331"/>
      <c r="AC131" s="140"/>
      <c r="AD131" s="140"/>
      <c r="AE131" s="140"/>
      <c r="AF131" s="140"/>
      <c r="AG131" s="140"/>
    </row>
    <row r="132" spans="1:33" s="27" customFormat="1" ht="17.25" customHeight="1">
      <c r="A132" s="140"/>
      <c r="B132" s="140"/>
      <c r="C132" s="140">
        <v>47</v>
      </c>
      <c r="D132" s="145">
        <f t="shared" si="42"/>
        <v>35.599999999999994</v>
      </c>
      <c r="E132" s="147">
        <f t="shared" si="41"/>
        <v>0.47</v>
      </c>
      <c r="F132" s="151">
        <v>50</v>
      </c>
      <c r="G132" s="153">
        <v>50</v>
      </c>
      <c r="H132" s="154">
        <f t="shared" si="39"/>
        <v>5.3602062284157688</v>
      </c>
      <c r="I132" s="155"/>
      <c r="J132" s="152">
        <f t="shared" si="43"/>
        <v>0.19494644219287949</v>
      </c>
      <c r="K132" s="117"/>
      <c r="V132" s="140"/>
      <c r="W132" s="140"/>
      <c r="X132" s="140"/>
      <c r="Y132" s="140"/>
      <c r="Z132" s="140"/>
      <c r="AA132" s="321"/>
      <c r="AB132" s="331"/>
      <c r="AC132" s="140"/>
      <c r="AD132" s="140"/>
      <c r="AE132" s="140"/>
      <c r="AF132" s="140"/>
      <c r="AG132" s="140"/>
    </row>
    <row r="133" spans="1:33" s="27" customFormat="1" ht="17.25" customHeight="1">
      <c r="A133" s="140"/>
      <c r="B133" s="140"/>
      <c r="C133" s="140">
        <v>46</v>
      </c>
      <c r="D133" s="145">
        <f t="shared" si="42"/>
        <v>35.599999999999994</v>
      </c>
      <c r="E133" s="147">
        <f t="shared" si="41"/>
        <v>0.46</v>
      </c>
      <c r="F133" s="151">
        <v>55</v>
      </c>
      <c r="G133" s="153">
        <v>55</v>
      </c>
      <c r="H133" s="154">
        <f t="shared" si="39"/>
        <v>5.172101023102794</v>
      </c>
      <c r="I133" s="155"/>
      <c r="J133" s="152">
        <f t="shared" si="43"/>
        <v>0.18810520531297481</v>
      </c>
      <c r="K133" s="117"/>
      <c r="V133" s="140"/>
      <c r="W133" s="140"/>
      <c r="X133" s="140"/>
      <c r="Y133" s="140"/>
      <c r="Z133" s="140"/>
      <c r="AA133" s="321"/>
      <c r="AB133" s="331"/>
      <c r="AC133" s="140"/>
      <c r="AD133" s="140"/>
      <c r="AE133" s="140"/>
      <c r="AF133" s="140"/>
      <c r="AG133" s="140"/>
    </row>
    <row r="134" spans="1:33" s="27" customFormat="1" ht="17.25" customHeight="1">
      <c r="A134" s="140"/>
      <c r="B134" s="140">
        <v>19</v>
      </c>
      <c r="C134" s="140">
        <f>C131-A$131</f>
        <v>45</v>
      </c>
      <c r="D134" s="145">
        <f t="shared" si="42"/>
        <v>35.599999999999994</v>
      </c>
      <c r="E134" s="147">
        <f t="shared" si="41"/>
        <v>0.45</v>
      </c>
      <c r="F134" s="151">
        <v>60</v>
      </c>
      <c r="G134" s="153">
        <v>60</v>
      </c>
      <c r="H134" s="154">
        <f t="shared" si="39"/>
        <v>4.9905969757971835</v>
      </c>
      <c r="I134" s="155"/>
      <c r="J134" s="152">
        <f t="shared" si="43"/>
        <v>0.18150404730561043</v>
      </c>
      <c r="K134" s="117"/>
      <c r="V134" s="140"/>
      <c r="W134" s="140"/>
      <c r="X134" s="140"/>
      <c r="Y134" s="140"/>
      <c r="Z134" s="140"/>
      <c r="AA134" s="321"/>
      <c r="AB134" s="331"/>
      <c r="AC134" s="140"/>
      <c r="AD134" s="140"/>
      <c r="AE134" s="140"/>
      <c r="AF134" s="140"/>
      <c r="AG134" s="140"/>
    </row>
    <row r="135" spans="1:33" s="27" customFormat="1" ht="17.25" customHeight="1">
      <c r="A135" s="140"/>
      <c r="B135" s="140"/>
      <c r="C135" s="140">
        <v>44</v>
      </c>
      <c r="D135" s="145">
        <f t="shared" si="42"/>
        <v>35.599999999999994</v>
      </c>
      <c r="E135" s="147">
        <f t="shared" si="41"/>
        <v>0.44</v>
      </c>
      <c r="F135" s="151">
        <v>75</v>
      </c>
      <c r="G135" s="153">
        <v>75</v>
      </c>
      <c r="H135" s="154">
        <f t="shared" si="39"/>
        <v>4.8154624326913487</v>
      </c>
      <c r="I135" s="155"/>
      <c r="J135" s="152">
        <f t="shared" si="43"/>
        <v>0.17513454310583487</v>
      </c>
      <c r="K135" s="117"/>
      <c r="V135" s="140"/>
      <c r="W135" s="140"/>
      <c r="X135" s="140"/>
      <c r="Y135" s="140"/>
      <c r="Z135" s="140"/>
      <c r="AA135" s="321"/>
      <c r="AB135" s="331"/>
      <c r="AC135" s="140"/>
      <c r="AD135" s="140"/>
      <c r="AE135" s="140"/>
      <c r="AF135" s="140"/>
      <c r="AG135" s="140"/>
    </row>
    <row r="136" spans="1:33" s="27" customFormat="1" ht="17.25" customHeight="1">
      <c r="A136" s="140"/>
      <c r="B136" s="140"/>
      <c r="C136" s="140">
        <v>43</v>
      </c>
      <c r="D136" s="145">
        <f t="shared" si="42"/>
        <v>35.599999999999994</v>
      </c>
      <c r="E136" s="147">
        <f t="shared" si="41"/>
        <v>0.43</v>
      </c>
      <c r="F136" s="151">
        <v>90</v>
      </c>
      <c r="G136" s="153">
        <v>90</v>
      </c>
      <c r="H136" s="154">
        <f t="shared" si="39"/>
        <v>4.6464738693826479</v>
      </c>
      <c r="I136" s="155"/>
      <c r="J136" s="152">
        <f t="shared" si="43"/>
        <v>0.16898856330870071</v>
      </c>
      <c r="K136" s="117"/>
      <c r="V136" s="140"/>
      <c r="W136" s="140"/>
      <c r="X136" s="140"/>
      <c r="Y136" s="140"/>
      <c r="Z136" s="140"/>
      <c r="AA136" s="321"/>
      <c r="AB136" s="331"/>
      <c r="AC136" s="140"/>
      <c r="AD136" s="140"/>
      <c r="AE136" s="140"/>
      <c r="AF136" s="140"/>
      <c r="AG136" s="140"/>
    </row>
    <row r="137" spans="1:33" s="27" customFormat="1" ht="17.25" customHeight="1">
      <c r="A137" s="140"/>
      <c r="B137" s="140">
        <v>20</v>
      </c>
      <c r="C137" s="140">
        <f>C134-A$131</f>
        <v>42</v>
      </c>
      <c r="D137" s="145">
        <f t="shared" si="42"/>
        <v>35.599999999999994</v>
      </c>
      <c r="E137" s="147">
        <f t="shared" si="41"/>
        <v>0.42</v>
      </c>
      <c r="F137" s="151">
        <v>105</v>
      </c>
      <c r="G137" s="153">
        <v>105</v>
      </c>
      <c r="H137" s="154">
        <f t="shared" si="39"/>
        <v>4.4834156055889576</v>
      </c>
      <c r="I137" s="155"/>
      <c r="J137" s="152">
        <f t="shared" si="43"/>
        <v>0.16305826379369037</v>
      </c>
      <c r="K137" s="117"/>
      <c r="V137" s="140"/>
      <c r="W137" s="140"/>
      <c r="X137" s="140"/>
      <c r="Y137" s="140"/>
      <c r="Z137" s="140"/>
      <c r="AA137" s="321"/>
      <c r="AB137" s="331"/>
      <c r="AC137" s="140"/>
      <c r="AD137" s="140"/>
      <c r="AE137" s="140"/>
      <c r="AF137" s="140"/>
      <c r="AG137" s="140"/>
    </row>
    <row r="138" spans="1:33" s="27" customFormat="1" ht="17.25" customHeight="1">
      <c r="A138" s="140">
        <f>A131</f>
        <v>3</v>
      </c>
      <c r="B138" s="140"/>
      <c r="C138" s="140">
        <f>C137-A$138</f>
        <v>39</v>
      </c>
      <c r="D138" s="145">
        <f t="shared" si="42"/>
        <v>35.599999999999994</v>
      </c>
      <c r="E138" s="147">
        <f t="shared" si="41"/>
        <v>0.39</v>
      </c>
      <c r="F138" s="151">
        <v>120</v>
      </c>
      <c r="G138" s="153">
        <v>120</v>
      </c>
      <c r="H138" s="154">
        <f t="shared" si="39"/>
        <v>4.0277777568339355</v>
      </c>
      <c r="I138" s="155"/>
      <c r="J138" s="152">
        <f t="shared" si="43"/>
        <v>0.45563784875502211</v>
      </c>
      <c r="K138" s="117"/>
      <c r="V138" s="140"/>
      <c r="W138" s="140"/>
      <c r="X138" s="140"/>
      <c r="Y138" s="140"/>
      <c r="Z138" s="140"/>
      <c r="AA138" s="321"/>
      <c r="AB138" s="331"/>
      <c r="AC138" s="140"/>
      <c r="AD138" s="140"/>
      <c r="AE138" s="140"/>
      <c r="AF138" s="140"/>
      <c r="AG138" s="140"/>
    </row>
    <row r="139" spans="1:33" s="27" customFormat="1" ht="17.25" hidden="1" customHeight="1">
      <c r="A139" s="140"/>
      <c r="B139" s="140"/>
      <c r="C139" s="140">
        <f t="shared" ref="C139:C146" si="45">C138-A$138</f>
        <v>36</v>
      </c>
      <c r="D139" s="145">
        <f t="shared" si="42"/>
        <v>35.599999999999994</v>
      </c>
      <c r="E139" s="147">
        <f t="shared" si="41"/>
        <v>0.36</v>
      </c>
      <c r="F139" s="148"/>
      <c r="G139" s="140">
        <v>150</v>
      </c>
      <c r="H139" s="149">
        <f t="shared" si="39"/>
        <v>3.6184451957170496</v>
      </c>
      <c r="I139" s="150"/>
      <c r="J139" s="152">
        <f t="shared" si="43"/>
        <v>0.40933256111688587</v>
      </c>
      <c r="K139" s="117"/>
      <c r="V139" s="140"/>
      <c r="W139" s="140"/>
      <c r="X139" s="140"/>
      <c r="Y139" s="140"/>
      <c r="Z139" s="140"/>
      <c r="AA139" s="321"/>
      <c r="AB139" s="331"/>
      <c r="AC139" s="140"/>
      <c r="AD139" s="140"/>
      <c r="AE139" s="140"/>
      <c r="AF139" s="140"/>
      <c r="AG139" s="140"/>
    </row>
    <row r="140" spans="1:33" s="27" customFormat="1" ht="17.25" customHeight="1">
      <c r="A140" s="140"/>
      <c r="B140" s="140"/>
      <c r="C140" s="140">
        <v>38</v>
      </c>
      <c r="D140" s="145">
        <f t="shared" si="42"/>
        <v>35.599999999999994</v>
      </c>
      <c r="E140" s="147">
        <f t="shared" si="41"/>
        <v>0.38</v>
      </c>
      <c r="F140" s="151">
        <v>180</v>
      </c>
      <c r="G140" s="153">
        <v>180</v>
      </c>
      <c r="H140" s="154">
        <f t="shared" si="39"/>
        <v>3.8864313366369263</v>
      </c>
      <c r="I140" s="155"/>
      <c r="J140" s="152">
        <f t="shared" si="43"/>
        <v>-0.26798614091987671</v>
      </c>
      <c r="K140" s="117"/>
      <c r="V140" s="140"/>
      <c r="W140" s="140"/>
      <c r="X140" s="140"/>
      <c r="Y140" s="140"/>
      <c r="Z140" s="140"/>
      <c r="AA140" s="321"/>
      <c r="AB140" s="331"/>
      <c r="AC140" s="140"/>
      <c r="AD140" s="140"/>
      <c r="AE140" s="140"/>
      <c r="AF140" s="140"/>
      <c r="AG140" s="140"/>
    </row>
    <row r="141" spans="1:33" s="27" customFormat="1" ht="17.25" hidden="1" customHeight="1">
      <c r="A141" s="140"/>
      <c r="B141" s="140"/>
      <c r="C141" s="140">
        <f t="shared" si="45"/>
        <v>35</v>
      </c>
      <c r="D141" s="145">
        <f t="shared" si="42"/>
        <v>35.599999999999994</v>
      </c>
      <c r="E141" s="147">
        <f t="shared" si="41"/>
        <v>0.35</v>
      </c>
      <c r="F141" s="148"/>
      <c r="G141" s="140">
        <v>210</v>
      </c>
      <c r="H141" s="149">
        <f t="shared" si="39"/>
        <v>3.4914634439990233</v>
      </c>
      <c r="I141" s="150"/>
      <c r="J141" s="152">
        <f t="shared" si="43"/>
        <v>0.394967892637903</v>
      </c>
      <c r="K141" s="117"/>
      <c r="V141" s="140"/>
      <c r="W141" s="140"/>
      <c r="X141" s="140"/>
      <c r="Y141" s="140"/>
      <c r="Z141" s="140"/>
      <c r="AA141" s="321"/>
      <c r="AB141" s="331"/>
      <c r="AC141" s="140"/>
      <c r="AD141" s="140"/>
      <c r="AE141" s="140"/>
      <c r="AF141" s="140"/>
      <c r="AG141" s="140"/>
    </row>
    <row r="142" spans="1:33" s="27" customFormat="1" ht="17.25" customHeight="1">
      <c r="A142" s="140"/>
      <c r="B142" s="140"/>
      <c r="C142" s="140">
        <f t="shared" si="45"/>
        <v>32</v>
      </c>
      <c r="D142" s="145">
        <f t="shared" si="42"/>
        <v>35.599999999999994</v>
      </c>
      <c r="E142" s="147">
        <f>C142/100</f>
        <v>0.32</v>
      </c>
      <c r="F142" s="151">
        <v>240</v>
      </c>
      <c r="G142" s="153">
        <v>240</v>
      </c>
      <c r="H142" s="154">
        <f t="shared" si="39"/>
        <v>3.1366351094035441</v>
      </c>
      <c r="I142" s="155"/>
      <c r="J142" s="152">
        <f t="shared" si="43"/>
        <v>0.35482833459547924</v>
      </c>
      <c r="K142" s="117"/>
      <c r="V142" s="140"/>
      <c r="W142" s="140"/>
      <c r="X142" s="140"/>
      <c r="Y142" s="140"/>
      <c r="Z142" s="140"/>
      <c r="AA142" s="321"/>
      <c r="AB142" s="331"/>
      <c r="AC142" s="140"/>
      <c r="AD142" s="140"/>
      <c r="AE142" s="140"/>
      <c r="AF142" s="140"/>
      <c r="AG142" s="140"/>
    </row>
    <row r="143" spans="1:33" s="27" customFormat="1" ht="17.25" hidden="1" customHeight="1">
      <c r="A143" s="140"/>
      <c r="B143" s="140"/>
      <c r="C143" s="140">
        <f t="shared" si="45"/>
        <v>29</v>
      </c>
      <c r="D143" s="145">
        <f t="shared" si="42"/>
        <v>35.599999999999994</v>
      </c>
      <c r="E143" s="147">
        <f>C143/100</f>
        <v>0.28999999999999998</v>
      </c>
      <c r="F143" s="148"/>
      <c r="G143" s="140">
        <v>270</v>
      </c>
      <c r="H143" s="149">
        <f t="shared" si="39"/>
        <v>2.8178670541296751</v>
      </c>
      <c r="I143" s="150"/>
      <c r="J143" s="152">
        <f t="shared" si="43"/>
        <v>0.31876805527386898</v>
      </c>
      <c r="K143" s="117"/>
      <c r="V143" s="140"/>
      <c r="W143" s="140"/>
      <c r="X143" s="140"/>
      <c r="Y143" s="140"/>
      <c r="Z143" s="140"/>
      <c r="AA143" s="321"/>
      <c r="AB143" s="331"/>
      <c r="AC143" s="140"/>
      <c r="AD143" s="140"/>
      <c r="AE143" s="140"/>
      <c r="AF143" s="140"/>
      <c r="AG143" s="140"/>
    </row>
    <row r="144" spans="1:33" s="27" customFormat="1" ht="17.25" customHeight="1">
      <c r="A144" s="140"/>
      <c r="B144" s="140"/>
      <c r="C144" s="140">
        <f t="shared" si="45"/>
        <v>26</v>
      </c>
      <c r="D144" s="145">
        <f t="shared" si="42"/>
        <v>35.599999999999994</v>
      </c>
      <c r="E144" s="147">
        <f>C144/100</f>
        <v>0.26</v>
      </c>
      <c r="F144" s="151">
        <v>300</v>
      </c>
      <c r="G144" s="153">
        <v>300</v>
      </c>
      <c r="H144" s="154">
        <f t="shared" si="39"/>
        <v>2.5314945659265358</v>
      </c>
      <c r="I144" s="155"/>
      <c r="J144" s="152">
        <f t="shared" si="43"/>
        <v>0.28637248820313932</v>
      </c>
      <c r="K144" s="117"/>
      <c r="V144" s="140"/>
      <c r="W144" s="140"/>
      <c r="X144" s="140"/>
      <c r="Y144" s="140"/>
      <c r="Z144" s="140"/>
      <c r="AA144" s="321"/>
      <c r="AB144" s="331"/>
      <c r="AC144" s="140"/>
      <c r="AD144" s="140"/>
      <c r="AE144" s="140"/>
      <c r="AF144" s="140"/>
      <c r="AG144" s="140"/>
    </row>
    <row r="145" spans="1:33" s="27" customFormat="1" ht="17.25" hidden="1" customHeight="1">
      <c r="A145" s="140"/>
      <c r="B145" s="140"/>
      <c r="C145" s="140">
        <f t="shared" si="45"/>
        <v>23</v>
      </c>
      <c r="D145" s="145">
        <f t="shared" si="42"/>
        <v>35.599999999999994</v>
      </c>
      <c r="E145" s="147">
        <f>C145/100</f>
        <v>0.23</v>
      </c>
      <c r="F145" s="148"/>
      <c r="G145" s="140">
        <v>330</v>
      </c>
      <c r="H145" s="149">
        <f t="shared" si="39"/>
        <v>2.2742253677027691</v>
      </c>
      <c r="I145" s="150"/>
      <c r="J145" s="152">
        <f t="shared" si="43"/>
        <v>0.2572691982237667</v>
      </c>
      <c r="K145" s="117"/>
      <c r="V145" s="140"/>
      <c r="W145" s="140"/>
      <c r="X145" s="140"/>
      <c r="Y145" s="140"/>
      <c r="Z145" s="140"/>
      <c r="AA145" s="321"/>
      <c r="AB145" s="331"/>
      <c r="AC145" s="140"/>
      <c r="AD145" s="140"/>
      <c r="AE145" s="140"/>
      <c r="AF145" s="140"/>
      <c r="AG145" s="140"/>
    </row>
    <row r="146" spans="1:33" s="27" customFormat="1" ht="17.25" customHeight="1">
      <c r="A146" s="140"/>
      <c r="B146" s="140"/>
      <c r="C146" s="140">
        <f t="shared" si="45"/>
        <v>20</v>
      </c>
      <c r="D146" s="145">
        <f t="shared" si="42"/>
        <v>35.599999999999994</v>
      </c>
      <c r="E146" s="147">
        <f>C146/100</f>
        <v>0.2</v>
      </c>
      <c r="F146" s="151">
        <v>360</v>
      </c>
      <c r="G146" s="153">
        <v>360</v>
      </c>
      <c r="H146" s="154">
        <f t="shared" si="39"/>
        <v>2.043101767911474</v>
      </c>
      <c r="I146" s="155"/>
      <c r="J146" s="152">
        <f t="shared" si="43"/>
        <v>0.23112359979129504</v>
      </c>
      <c r="K146" s="117"/>
      <c r="V146" s="140"/>
      <c r="W146" s="140"/>
      <c r="X146" s="140"/>
      <c r="Y146" s="140"/>
      <c r="Z146" s="140"/>
      <c r="AA146" s="321"/>
      <c r="AB146" s="331"/>
      <c r="AC146" s="140"/>
      <c r="AD146" s="140"/>
      <c r="AE146" s="140"/>
      <c r="AF146" s="140"/>
      <c r="AG146" s="140"/>
    </row>
    <row r="147" spans="1:33" s="27" customFormat="1" ht="17.25" customHeight="1">
      <c r="C147" s="27" t="s">
        <v>21</v>
      </c>
      <c r="D147" s="28" t="s">
        <v>21</v>
      </c>
      <c r="E147" s="37" t="s">
        <v>21</v>
      </c>
      <c r="F147" s="27" t="s">
        <v>21</v>
      </c>
      <c r="G147" s="29" t="s">
        <v>21</v>
      </c>
      <c r="K147" s="117"/>
      <c r="V147" s="140"/>
      <c r="W147" s="140"/>
      <c r="X147" s="140"/>
      <c r="Y147" s="140"/>
      <c r="Z147" s="140"/>
      <c r="AA147" s="321"/>
      <c r="AB147" s="331"/>
      <c r="AC147" s="140"/>
      <c r="AD147" s="140"/>
      <c r="AE147" s="140"/>
      <c r="AF147" s="140"/>
      <c r="AG147" s="140"/>
    </row>
    <row r="148" spans="1:33" s="27" customFormat="1" ht="17.25" customHeight="1">
      <c r="C148" s="27" t="s">
        <v>21</v>
      </c>
      <c r="D148" s="28" t="s">
        <v>21</v>
      </c>
      <c r="E148" s="37" t="s">
        <v>21</v>
      </c>
      <c r="F148" s="27" t="s">
        <v>21</v>
      </c>
      <c r="G148" s="29" t="s">
        <v>21</v>
      </c>
      <c r="K148" s="117"/>
      <c r="V148" s="140"/>
      <c r="W148" s="140"/>
      <c r="X148" s="140"/>
      <c r="Y148" s="140"/>
      <c r="Z148" s="140"/>
      <c r="AA148" s="140"/>
      <c r="AB148" s="331"/>
      <c r="AC148" s="140"/>
      <c r="AD148" s="140"/>
      <c r="AE148" s="140"/>
      <c r="AF148" s="140"/>
      <c r="AG148" s="140"/>
    </row>
    <row r="149" spans="1:33" s="27" customFormat="1" ht="17.25" customHeight="1">
      <c r="C149" s="27" t="s">
        <v>21</v>
      </c>
      <c r="D149" s="28" t="s">
        <v>21</v>
      </c>
      <c r="E149" s="37" t="s">
        <v>21</v>
      </c>
      <c r="F149" s="27" t="s">
        <v>21</v>
      </c>
      <c r="G149" s="29" t="s">
        <v>21</v>
      </c>
      <c r="K149" s="117"/>
      <c r="V149" s="140"/>
      <c r="W149" s="140"/>
      <c r="X149" s="140"/>
      <c r="Y149" s="140"/>
      <c r="Z149" s="140"/>
      <c r="AA149" s="140"/>
      <c r="AB149" s="331"/>
      <c r="AC149" s="140"/>
      <c r="AD149" s="140"/>
      <c r="AE149" s="140"/>
      <c r="AF149" s="140"/>
      <c r="AG149" s="140"/>
    </row>
    <row r="150" spans="1:33" s="27" customFormat="1" ht="17.25" customHeight="1">
      <c r="C150" s="27" t="s">
        <v>21</v>
      </c>
      <c r="D150" s="28" t="s">
        <v>21</v>
      </c>
      <c r="E150" s="37" t="s">
        <v>21</v>
      </c>
      <c r="F150" s="27" t="s">
        <v>21</v>
      </c>
      <c r="G150" s="29" t="s">
        <v>21</v>
      </c>
      <c r="K150" s="117"/>
      <c r="V150" s="140"/>
      <c r="W150" s="140"/>
      <c r="X150" s="140"/>
      <c r="Y150" s="140"/>
      <c r="Z150" s="140"/>
      <c r="AA150" s="140"/>
      <c r="AB150" s="331"/>
      <c r="AC150" s="140"/>
      <c r="AD150" s="140"/>
      <c r="AE150" s="140"/>
      <c r="AF150" s="140"/>
      <c r="AG150" s="140"/>
    </row>
    <row r="151" spans="1:33" s="27" customFormat="1" ht="17.25" customHeight="1">
      <c r="C151" s="27" t="s">
        <v>21</v>
      </c>
      <c r="D151" s="28" t="s">
        <v>21</v>
      </c>
      <c r="E151" s="37" t="s">
        <v>21</v>
      </c>
      <c r="F151" s="27" t="s">
        <v>21</v>
      </c>
      <c r="G151" s="29" t="s">
        <v>21</v>
      </c>
      <c r="K151" s="117"/>
      <c r="V151" s="140"/>
      <c r="W151" s="140"/>
      <c r="X151" s="140"/>
      <c r="Y151" s="140"/>
      <c r="Z151" s="140"/>
      <c r="AA151" s="140"/>
      <c r="AB151" s="331"/>
      <c r="AC151" s="140"/>
      <c r="AD151" s="140"/>
      <c r="AE151" s="140"/>
      <c r="AF151" s="140"/>
      <c r="AG151" s="140"/>
    </row>
    <row r="152" spans="1:33" s="27" customFormat="1" ht="17.25" customHeight="1">
      <c r="C152" s="27" t="s">
        <v>21</v>
      </c>
      <c r="D152" s="28" t="s">
        <v>21</v>
      </c>
      <c r="E152" s="37" t="s">
        <v>21</v>
      </c>
      <c r="F152" s="27" t="s">
        <v>21</v>
      </c>
      <c r="G152" s="29" t="s">
        <v>21</v>
      </c>
      <c r="K152" s="117"/>
      <c r="V152" s="140"/>
      <c r="W152" s="140"/>
      <c r="X152" s="140"/>
      <c r="Y152" s="140"/>
      <c r="Z152" s="140"/>
      <c r="AA152" s="140"/>
      <c r="AB152" s="331"/>
      <c r="AC152" s="140"/>
      <c r="AD152" s="140"/>
      <c r="AE152" s="140"/>
      <c r="AF152" s="140"/>
      <c r="AG152" s="140"/>
    </row>
    <row r="153" spans="1:33" s="27" customFormat="1" ht="17.25" customHeight="1">
      <c r="C153" s="27" t="s">
        <v>21</v>
      </c>
      <c r="D153" s="28" t="s">
        <v>21</v>
      </c>
      <c r="E153" s="37" t="s">
        <v>21</v>
      </c>
      <c r="F153" s="27" t="s">
        <v>21</v>
      </c>
      <c r="G153" s="29" t="s">
        <v>21</v>
      </c>
      <c r="K153" s="117"/>
      <c r="V153" s="140"/>
      <c r="W153" s="140"/>
      <c r="X153" s="140"/>
      <c r="Y153" s="140"/>
      <c r="Z153" s="140"/>
      <c r="AA153" s="140"/>
      <c r="AB153" s="331"/>
      <c r="AC153" s="140"/>
      <c r="AD153" s="140"/>
      <c r="AE153" s="140"/>
      <c r="AF153" s="140"/>
      <c r="AG153" s="140"/>
    </row>
    <row r="154" spans="1:33" s="27" customFormat="1" ht="17.25" customHeight="1">
      <c r="C154" s="27" t="s">
        <v>21</v>
      </c>
      <c r="D154" s="28" t="s">
        <v>21</v>
      </c>
      <c r="E154" s="37" t="s">
        <v>21</v>
      </c>
      <c r="F154" s="27" t="s">
        <v>21</v>
      </c>
      <c r="G154" s="29" t="s">
        <v>21</v>
      </c>
      <c r="K154" s="117"/>
      <c r="V154" s="140"/>
      <c r="W154" s="140"/>
      <c r="X154" s="140"/>
      <c r="Y154" s="140"/>
      <c r="Z154" s="140"/>
      <c r="AA154" s="140"/>
      <c r="AB154" s="331"/>
      <c r="AC154" s="140"/>
      <c r="AD154" s="140"/>
      <c r="AE154" s="140"/>
      <c r="AF154" s="140"/>
      <c r="AG154" s="140"/>
    </row>
    <row r="155" spans="1:33" s="27" customFormat="1" ht="17.25" customHeight="1">
      <c r="C155" s="27" t="s">
        <v>21</v>
      </c>
      <c r="D155" s="28" t="s">
        <v>21</v>
      </c>
      <c r="E155" s="37" t="s">
        <v>21</v>
      </c>
      <c r="F155" s="27" t="s">
        <v>21</v>
      </c>
      <c r="G155" s="29" t="s">
        <v>21</v>
      </c>
      <c r="K155" s="117"/>
      <c r="V155" s="140"/>
      <c r="W155" s="140"/>
      <c r="X155" s="140"/>
      <c r="Y155" s="140"/>
      <c r="Z155" s="140"/>
      <c r="AA155" s="140"/>
      <c r="AB155" s="331"/>
      <c r="AC155" s="140"/>
      <c r="AD155" s="140"/>
      <c r="AE155" s="140"/>
      <c r="AF155" s="140"/>
      <c r="AG155" s="140"/>
    </row>
    <row r="156" spans="1:33" s="27" customFormat="1" ht="17.25" customHeight="1">
      <c r="C156" s="27" t="s">
        <v>21</v>
      </c>
      <c r="D156" s="28" t="s">
        <v>21</v>
      </c>
      <c r="E156" s="37" t="s">
        <v>21</v>
      </c>
      <c r="F156" s="27" t="s">
        <v>21</v>
      </c>
      <c r="G156" s="29" t="s">
        <v>21</v>
      </c>
      <c r="K156" s="117"/>
      <c r="V156" s="140"/>
      <c r="W156" s="140"/>
      <c r="X156" s="140"/>
      <c r="Y156" s="140"/>
      <c r="Z156" s="140"/>
      <c r="AA156" s="140"/>
      <c r="AB156" s="331"/>
      <c r="AC156" s="140"/>
      <c r="AD156" s="140"/>
      <c r="AE156" s="140"/>
      <c r="AF156" s="140"/>
      <c r="AG156" s="140"/>
    </row>
    <row r="157" spans="1:33" s="27" customFormat="1" ht="17.25" customHeight="1">
      <c r="C157" s="27" t="s">
        <v>21</v>
      </c>
      <c r="D157" s="28" t="s">
        <v>21</v>
      </c>
      <c r="E157" s="37" t="s">
        <v>21</v>
      </c>
      <c r="F157" s="27" t="s">
        <v>21</v>
      </c>
      <c r="G157" s="29" t="s">
        <v>21</v>
      </c>
      <c r="K157" s="117"/>
      <c r="V157" s="140"/>
      <c r="W157" s="140"/>
      <c r="X157" s="140"/>
      <c r="Y157" s="140"/>
      <c r="Z157" s="140"/>
      <c r="AA157" s="140"/>
      <c r="AB157" s="331"/>
      <c r="AC157" s="140"/>
      <c r="AD157" s="140"/>
      <c r="AE157" s="140"/>
      <c r="AF157" s="140"/>
      <c r="AG157" s="140"/>
    </row>
    <row r="158" spans="1:33" s="27" customFormat="1" ht="17.25" customHeight="1">
      <c r="C158" s="27" t="s">
        <v>21</v>
      </c>
      <c r="D158" s="28" t="s">
        <v>21</v>
      </c>
      <c r="E158" s="37" t="s">
        <v>21</v>
      </c>
      <c r="F158" s="27" t="s">
        <v>21</v>
      </c>
      <c r="G158" s="29" t="s">
        <v>21</v>
      </c>
      <c r="K158" s="117"/>
      <c r="V158" s="140"/>
      <c r="W158" s="140"/>
      <c r="X158" s="140"/>
      <c r="Y158" s="140"/>
      <c r="Z158" s="140"/>
      <c r="AA158" s="140"/>
      <c r="AB158" s="331"/>
      <c r="AC158" s="140"/>
      <c r="AD158" s="140"/>
      <c r="AE158" s="140"/>
      <c r="AF158" s="140"/>
      <c r="AG158" s="140"/>
    </row>
    <row r="159" spans="1:33" s="27" customFormat="1" ht="17.25" customHeight="1">
      <c r="C159" s="27" t="s">
        <v>21</v>
      </c>
      <c r="D159" s="28" t="s">
        <v>21</v>
      </c>
      <c r="E159" s="37" t="s">
        <v>21</v>
      </c>
      <c r="F159" s="27" t="s">
        <v>21</v>
      </c>
      <c r="G159" s="29" t="s">
        <v>21</v>
      </c>
      <c r="K159" s="117"/>
      <c r="V159" s="140"/>
      <c r="W159" s="140"/>
      <c r="X159" s="140"/>
      <c r="Y159" s="140"/>
      <c r="Z159" s="140"/>
      <c r="AA159" s="140"/>
      <c r="AB159" s="331"/>
      <c r="AC159" s="140"/>
      <c r="AD159" s="140"/>
      <c r="AE159" s="140"/>
      <c r="AF159" s="140"/>
      <c r="AG159" s="140"/>
    </row>
    <row r="160" spans="1:33" s="27" customFormat="1" ht="17.25" customHeight="1">
      <c r="C160" s="27" t="s">
        <v>21</v>
      </c>
      <c r="D160" s="28" t="s">
        <v>21</v>
      </c>
      <c r="E160" s="37" t="s">
        <v>21</v>
      </c>
      <c r="F160" s="27" t="s">
        <v>21</v>
      </c>
      <c r="G160" s="29" t="s">
        <v>21</v>
      </c>
      <c r="K160" s="117"/>
      <c r="V160" s="140"/>
      <c r="W160" s="140"/>
      <c r="X160" s="140"/>
      <c r="Y160" s="140"/>
      <c r="Z160" s="140"/>
      <c r="AA160" s="140"/>
      <c r="AB160" s="331"/>
      <c r="AC160" s="140"/>
      <c r="AD160" s="140"/>
      <c r="AE160" s="140"/>
      <c r="AF160" s="140"/>
      <c r="AG160" s="140"/>
    </row>
    <row r="161" spans="3:33" s="27" customFormat="1" ht="17.25" customHeight="1">
      <c r="C161" s="27" t="s">
        <v>21</v>
      </c>
      <c r="D161" s="28" t="s">
        <v>21</v>
      </c>
      <c r="E161" s="37" t="s">
        <v>21</v>
      </c>
      <c r="F161" s="27" t="s">
        <v>21</v>
      </c>
      <c r="G161" s="29" t="s">
        <v>21</v>
      </c>
      <c r="K161" s="117"/>
      <c r="V161" s="140"/>
      <c r="W161" s="140"/>
      <c r="X161" s="140"/>
      <c r="Y161" s="140"/>
      <c r="Z161" s="140"/>
      <c r="AA161" s="140"/>
      <c r="AB161" s="331"/>
      <c r="AC161" s="140"/>
      <c r="AD161" s="140"/>
      <c r="AE161" s="140"/>
      <c r="AF161" s="140"/>
      <c r="AG161" s="140"/>
    </row>
    <row r="162" spans="3:33" s="27" customFormat="1" ht="17.25" customHeight="1">
      <c r="C162" s="27" t="s">
        <v>21</v>
      </c>
      <c r="D162" s="28" t="s">
        <v>21</v>
      </c>
      <c r="E162" s="37" t="s">
        <v>21</v>
      </c>
      <c r="F162" s="27" t="s">
        <v>21</v>
      </c>
      <c r="G162" s="29" t="s">
        <v>21</v>
      </c>
      <c r="K162" s="117"/>
      <c r="V162" s="140"/>
      <c r="W162" s="140"/>
      <c r="X162" s="140"/>
      <c r="Y162" s="140"/>
      <c r="Z162" s="140"/>
      <c r="AA162" s="140"/>
      <c r="AB162" s="331"/>
      <c r="AC162" s="140"/>
      <c r="AD162" s="140"/>
      <c r="AE162" s="140"/>
      <c r="AF162" s="140"/>
      <c r="AG162" s="140"/>
    </row>
    <row r="163" spans="3:33" s="27" customFormat="1" ht="17.25" customHeight="1">
      <c r="C163" s="27" t="s">
        <v>21</v>
      </c>
      <c r="D163" s="28" t="s">
        <v>21</v>
      </c>
      <c r="E163" s="37" t="s">
        <v>21</v>
      </c>
      <c r="F163" s="27" t="s">
        <v>21</v>
      </c>
      <c r="G163" s="29" t="s">
        <v>21</v>
      </c>
      <c r="K163" s="117"/>
      <c r="V163" s="140"/>
      <c r="W163" s="140"/>
      <c r="X163" s="140"/>
      <c r="Y163" s="140"/>
      <c r="Z163" s="140"/>
      <c r="AA163" s="140"/>
      <c r="AB163" s="331"/>
      <c r="AC163" s="140"/>
      <c r="AD163" s="140"/>
      <c r="AE163" s="140"/>
      <c r="AF163" s="140"/>
      <c r="AG163" s="140"/>
    </row>
    <row r="164" spans="3:33" s="27" customFormat="1" ht="17.25" customHeight="1">
      <c r="C164" s="27" t="s">
        <v>21</v>
      </c>
      <c r="D164" s="28" t="s">
        <v>21</v>
      </c>
      <c r="E164" s="37" t="s">
        <v>21</v>
      </c>
      <c r="F164" s="27" t="s">
        <v>21</v>
      </c>
      <c r="G164" s="29" t="s">
        <v>21</v>
      </c>
      <c r="K164" s="117"/>
      <c r="V164" s="140"/>
      <c r="W164" s="140"/>
      <c r="X164" s="140"/>
      <c r="Y164" s="140"/>
      <c r="Z164" s="140"/>
      <c r="AA164" s="140"/>
      <c r="AB164" s="331"/>
      <c r="AC164" s="140"/>
      <c r="AD164" s="140"/>
      <c r="AE164" s="140"/>
      <c r="AF164" s="140"/>
      <c r="AG164" s="140"/>
    </row>
    <row r="165" spans="3:33" s="27" customFormat="1" ht="17.25" customHeight="1">
      <c r="C165" s="27" t="s">
        <v>21</v>
      </c>
      <c r="D165" s="28" t="s">
        <v>21</v>
      </c>
      <c r="E165" s="37" t="s">
        <v>21</v>
      </c>
      <c r="F165" s="27" t="s">
        <v>21</v>
      </c>
      <c r="G165" s="29" t="s">
        <v>21</v>
      </c>
      <c r="K165" s="117"/>
      <c r="V165" s="140"/>
      <c r="W165" s="140"/>
      <c r="X165" s="140"/>
      <c r="Y165" s="140"/>
      <c r="Z165" s="140"/>
      <c r="AA165" s="140"/>
      <c r="AB165" s="331"/>
      <c r="AC165" s="140"/>
      <c r="AD165" s="140"/>
      <c r="AE165" s="140"/>
      <c r="AF165" s="140"/>
      <c r="AG165" s="140"/>
    </row>
    <row r="166" spans="3:33" s="27" customFormat="1" ht="17.25" customHeight="1">
      <c r="C166" s="27" t="s">
        <v>21</v>
      </c>
      <c r="D166" s="28" t="s">
        <v>21</v>
      </c>
      <c r="E166" s="37" t="s">
        <v>21</v>
      </c>
      <c r="F166" s="27" t="s">
        <v>21</v>
      </c>
      <c r="G166" s="29" t="s">
        <v>21</v>
      </c>
      <c r="K166" s="117"/>
      <c r="V166" s="140"/>
      <c r="W166" s="140"/>
      <c r="X166" s="140"/>
      <c r="Y166" s="140"/>
      <c r="Z166" s="140"/>
      <c r="AA166" s="140"/>
      <c r="AB166" s="331"/>
      <c r="AC166" s="140"/>
      <c r="AD166" s="140"/>
      <c r="AE166" s="140"/>
      <c r="AF166" s="140"/>
      <c r="AG166" s="140"/>
    </row>
    <row r="167" spans="3:33" s="27" customFormat="1" ht="17.25" customHeight="1">
      <c r="C167" s="27" t="s">
        <v>21</v>
      </c>
      <c r="D167" s="28" t="s">
        <v>21</v>
      </c>
      <c r="E167" s="37" t="s">
        <v>21</v>
      </c>
      <c r="F167" s="27" t="s">
        <v>21</v>
      </c>
      <c r="G167" s="29" t="s">
        <v>21</v>
      </c>
      <c r="K167" s="117"/>
      <c r="V167" s="140"/>
      <c r="W167" s="140"/>
      <c r="X167" s="140"/>
      <c r="Y167" s="140"/>
      <c r="Z167" s="140"/>
      <c r="AA167" s="140"/>
      <c r="AB167" s="331"/>
      <c r="AC167" s="140"/>
      <c r="AD167" s="140"/>
      <c r="AE167" s="140"/>
      <c r="AF167" s="140"/>
      <c r="AG167" s="140"/>
    </row>
    <row r="168" spans="3:33" s="27" customFormat="1" ht="17.25" customHeight="1">
      <c r="C168" s="27" t="s">
        <v>21</v>
      </c>
      <c r="D168" s="28" t="s">
        <v>21</v>
      </c>
      <c r="E168" s="37" t="s">
        <v>21</v>
      </c>
      <c r="F168" s="27" t="s">
        <v>21</v>
      </c>
      <c r="G168" s="29" t="s">
        <v>21</v>
      </c>
      <c r="K168" s="117"/>
      <c r="V168" s="140"/>
      <c r="W168" s="140"/>
      <c r="X168" s="140"/>
      <c r="Y168" s="140"/>
      <c r="Z168" s="140"/>
      <c r="AA168" s="140"/>
      <c r="AB168" s="331"/>
      <c r="AC168" s="140"/>
      <c r="AD168" s="140"/>
      <c r="AE168" s="140"/>
      <c r="AF168" s="140"/>
      <c r="AG168" s="140"/>
    </row>
    <row r="169" spans="3:33" s="27" customFormat="1" ht="17.25" customHeight="1">
      <c r="C169" s="27" t="s">
        <v>21</v>
      </c>
      <c r="D169" s="28" t="s">
        <v>21</v>
      </c>
      <c r="E169" s="37" t="s">
        <v>21</v>
      </c>
      <c r="F169" s="27" t="s">
        <v>21</v>
      </c>
      <c r="G169" s="29" t="s">
        <v>21</v>
      </c>
      <c r="K169" s="117"/>
      <c r="V169" s="140"/>
      <c r="W169" s="140"/>
      <c r="X169" s="140"/>
      <c r="Y169" s="140"/>
      <c r="Z169" s="140"/>
      <c r="AA169" s="140"/>
      <c r="AB169" s="331"/>
      <c r="AC169" s="140"/>
      <c r="AD169" s="140"/>
      <c r="AE169" s="140"/>
      <c r="AF169" s="140"/>
      <c r="AG169" s="140"/>
    </row>
    <row r="170" spans="3:33" s="27" customFormat="1" ht="17.25" customHeight="1">
      <c r="C170" s="27" t="s">
        <v>21</v>
      </c>
      <c r="D170" s="28" t="s">
        <v>21</v>
      </c>
      <c r="E170" s="37" t="s">
        <v>21</v>
      </c>
      <c r="F170" s="27" t="s">
        <v>21</v>
      </c>
      <c r="G170" s="29" t="s">
        <v>21</v>
      </c>
      <c r="K170" s="117"/>
      <c r="V170" s="140"/>
      <c r="W170" s="140"/>
      <c r="X170" s="140"/>
      <c r="Y170" s="140"/>
      <c r="Z170" s="140"/>
      <c r="AA170" s="140"/>
      <c r="AB170" s="331"/>
      <c r="AC170" s="140"/>
      <c r="AD170" s="140"/>
      <c r="AE170" s="140"/>
      <c r="AF170" s="140"/>
      <c r="AG170" s="140"/>
    </row>
    <row r="171" spans="3:33" s="27" customFormat="1" ht="17.25" customHeight="1">
      <c r="C171" s="27" t="s">
        <v>21</v>
      </c>
      <c r="D171" s="28" t="s">
        <v>21</v>
      </c>
      <c r="E171" s="37" t="s">
        <v>21</v>
      </c>
      <c r="F171" s="27" t="s">
        <v>21</v>
      </c>
      <c r="G171" s="29" t="s">
        <v>21</v>
      </c>
      <c r="K171" s="117"/>
      <c r="V171" s="140"/>
      <c r="W171" s="140"/>
      <c r="X171" s="140"/>
      <c r="Y171" s="140"/>
      <c r="Z171" s="140"/>
      <c r="AA171" s="140"/>
      <c r="AB171" s="331"/>
      <c r="AC171" s="140"/>
      <c r="AD171" s="140"/>
      <c r="AE171" s="140"/>
      <c r="AF171" s="140"/>
      <c r="AG171" s="140"/>
    </row>
    <row r="172" spans="3:33" s="27" customFormat="1" ht="17.25" customHeight="1">
      <c r="C172" s="27" t="s">
        <v>21</v>
      </c>
      <c r="D172" s="28" t="s">
        <v>21</v>
      </c>
      <c r="E172" s="37" t="s">
        <v>21</v>
      </c>
      <c r="F172" s="27" t="s">
        <v>21</v>
      </c>
      <c r="G172" s="29" t="s">
        <v>21</v>
      </c>
      <c r="K172" s="117"/>
      <c r="V172" s="140"/>
      <c r="W172" s="140"/>
      <c r="X172" s="140"/>
      <c r="Y172" s="140"/>
      <c r="Z172" s="140"/>
      <c r="AA172" s="140"/>
      <c r="AB172" s="331"/>
      <c r="AC172" s="140"/>
      <c r="AD172" s="140"/>
      <c r="AE172" s="140"/>
      <c r="AF172" s="140"/>
      <c r="AG172" s="140"/>
    </row>
    <row r="173" spans="3:33" s="27" customFormat="1" ht="17.25" customHeight="1">
      <c r="C173" s="27" t="s">
        <v>21</v>
      </c>
      <c r="D173" s="28" t="s">
        <v>21</v>
      </c>
      <c r="E173" s="37" t="s">
        <v>21</v>
      </c>
      <c r="F173" s="27" t="s">
        <v>21</v>
      </c>
      <c r="G173" s="29" t="s">
        <v>21</v>
      </c>
      <c r="K173" s="117"/>
      <c r="V173" s="140"/>
      <c r="W173" s="140"/>
      <c r="X173" s="140"/>
      <c r="Y173" s="140"/>
      <c r="Z173" s="140"/>
      <c r="AA173" s="140"/>
      <c r="AB173" s="331"/>
      <c r="AC173" s="140"/>
      <c r="AD173" s="140"/>
      <c r="AE173" s="140"/>
      <c r="AF173" s="140"/>
      <c r="AG173" s="140"/>
    </row>
    <row r="174" spans="3:33" s="27" customFormat="1" ht="17.25" customHeight="1">
      <c r="C174" s="27" t="s">
        <v>21</v>
      </c>
      <c r="D174" s="28" t="s">
        <v>21</v>
      </c>
      <c r="E174" s="37" t="s">
        <v>21</v>
      </c>
      <c r="F174" s="27" t="s">
        <v>21</v>
      </c>
      <c r="G174" s="29" t="s">
        <v>21</v>
      </c>
      <c r="K174" s="117"/>
      <c r="V174" s="140"/>
      <c r="W174" s="140"/>
      <c r="X174" s="140"/>
      <c r="Y174" s="140"/>
      <c r="Z174" s="140"/>
      <c r="AA174" s="140"/>
      <c r="AB174" s="331"/>
      <c r="AC174" s="140"/>
      <c r="AD174" s="140"/>
      <c r="AE174" s="140"/>
      <c r="AF174" s="140"/>
      <c r="AG174" s="140"/>
    </row>
    <row r="175" spans="3:33" s="27" customFormat="1" ht="17.25" customHeight="1">
      <c r="C175" s="27" t="s">
        <v>21</v>
      </c>
      <c r="D175" s="28" t="s">
        <v>21</v>
      </c>
      <c r="E175" s="37" t="s">
        <v>21</v>
      </c>
      <c r="F175" s="27" t="s">
        <v>21</v>
      </c>
      <c r="G175" s="29" t="s">
        <v>21</v>
      </c>
      <c r="K175" s="117"/>
      <c r="V175" s="140"/>
      <c r="W175" s="140"/>
      <c r="X175" s="140"/>
      <c r="Y175" s="140"/>
      <c r="Z175" s="140"/>
      <c r="AA175" s="140"/>
      <c r="AB175" s="331"/>
      <c r="AC175" s="140"/>
      <c r="AD175" s="140"/>
      <c r="AE175" s="140"/>
      <c r="AF175" s="140"/>
      <c r="AG175" s="140"/>
    </row>
    <row r="176" spans="3:33" s="27" customFormat="1" ht="17.25" customHeight="1">
      <c r="C176" s="27" t="s">
        <v>21</v>
      </c>
      <c r="D176" s="28" t="s">
        <v>21</v>
      </c>
      <c r="E176" s="37" t="s">
        <v>21</v>
      </c>
      <c r="F176" s="27" t="s">
        <v>21</v>
      </c>
      <c r="G176" s="29" t="s">
        <v>21</v>
      </c>
      <c r="K176" s="117"/>
      <c r="V176" s="140"/>
      <c r="W176" s="140"/>
      <c r="X176" s="140"/>
      <c r="Y176" s="140"/>
      <c r="Z176" s="140"/>
      <c r="AA176" s="140"/>
      <c r="AB176" s="331"/>
      <c r="AC176" s="140"/>
      <c r="AD176" s="140"/>
      <c r="AE176" s="140"/>
      <c r="AF176" s="140"/>
      <c r="AG176" s="140"/>
    </row>
    <row r="177" spans="3:33" s="27" customFormat="1" ht="17.25" customHeight="1">
      <c r="C177" s="27" t="s">
        <v>21</v>
      </c>
      <c r="D177" s="28" t="s">
        <v>21</v>
      </c>
      <c r="E177" s="37" t="s">
        <v>21</v>
      </c>
      <c r="F177" s="27" t="s">
        <v>21</v>
      </c>
      <c r="G177" s="29" t="s">
        <v>21</v>
      </c>
      <c r="K177" s="117"/>
      <c r="V177" s="140"/>
      <c r="W177" s="140"/>
      <c r="X177" s="140"/>
      <c r="Y177" s="140"/>
      <c r="Z177" s="140"/>
      <c r="AA177" s="140"/>
      <c r="AB177" s="331"/>
      <c r="AC177" s="140"/>
      <c r="AD177" s="140"/>
      <c r="AE177" s="140"/>
      <c r="AF177" s="140"/>
      <c r="AG177" s="140"/>
    </row>
    <row r="178" spans="3:33" s="27" customFormat="1" ht="17.25" customHeight="1">
      <c r="C178" s="27" t="s">
        <v>21</v>
      </c>
      <c r="D178" s="28" t="s">
        <v>21</v>
      </c>
      <c r="E178" s="37" t="s">
        <v>21</v>
      </c>
      <c r="F178" s="27" t="s">
        <v>21</v>
      </c>
      <c r="G178" s="29" t="s">
        <v>21</v>
      </c>
      <c r="K178" s="117"/>
      <c r="V178" s="140"/>
      <c r="W178" s="140"/>
      <c r="X178" s="140"/>
      <c r="Y178" s="140"/>
      <c r="Z178" s="140"/>
      <c r="AA178" s="140"/>
      <c r="AB178" s="331"/>
      <c r="AC178" s="140"/>
      <c r="AD178" s="140"/>
      <c r="AE178" s="140"/>
      <c r="AF178" s="140"/>
      <c r="AG178" s="140"/>
    </row>
    <row r="179" spans="3:33" s="27" customFormat="1" ht="17.25" customHeight="1">
      <c r="C179" s="27" t="s">
        <v>21</v>
      </c>
      <c r="D179" s="28" t="s">
        <v>21</v>
      </c>
      <c r="E179" s="37" t="s">
        <v>21</v>
      </c>
      <c r="F179" s="27" t="s">
        <v>21</v>
      </c>
      <c r="G179" s="29" t="s">
        <v>21</v>
      </c>
      <c r="K179" s="117"/>
      <c r="V179" s="140"/>
      <c r="W179" s="140"/>
      <c r="X179" s="140"/>
      <c r="Y179" s="140"/>
      <c r="Z179" s="140"/>
      <c r="AA179" s="140"/>
      <c r="AB179" s="331"/>
      <c r="AC179" s="140"/>
      <c r="AD179" s="140"/>
      <c r="AE179" s="140"/>
      <c r="AF179" s="140"/>
      <c r="AG179" s="140"/>
    </row>
    <row r="180" spans="3:33" s="27" customFormat="1" ht="17.25" customHeight="1">
      <c r="C180" s="27" t="s">
        <v>21</v>
      </c>
      <c r="D180" s="28" t="s">
        <v>21</v>
      </c>
      <c r="E180" s="37" t="s">
        <v>21</v>
      </c>
      <c r="F180" s="27" t="s">
        <v>21</v>
      </c>
      <c r="G180" s="29" t="s">
        <v>21</v>
      </c>
      <c r="K180" s="117"/>
      <c r="V180" s="140"/>
      <c r="W180" s="140"/>
      <c r="X180" s="140"/>
      <c r="Y180" s="140"/>
      <c r="Z180" s="140"/>
      <c r="AA180" s="140"/>
      <c r="AB180" s="331"/>
      <c r="AC180" s="140"/>
      <c r="AD180" s="140"/>
      <c r="AE180" s="140"/>
      <c r="AF180" s="140"/>
      <c r="AG180" s="140"/>
    </row>
    <row r="181" spans="3:33" s="27" customFormat="1" ht="17.25" customHeight="1">
      <c r="C181" s="27" t="s">
        <v>21</v>
      </c>
      <c r="D181" s="28" t="s">
        <v>21</v>
      </c>
      <c r="E181" s="37" t="s">
        <v>21</v>
      </c>
      <c r="F181" s="27" t="s">
        <v>21</v>
      </c>
      <c r="G181" s="29" t="s">
        <v>21</v>
      </c>
      <c r="K181" s="117"/>
      <c r="V181" s="140"/>
      <c r="W181" s="140"/>
      <c r="X181" s="140"/>
      <c r="Y181" s="140"/>
      <c r="Z181" s="140"/>
      <c r="AA181" s="140"/>
      <c r="AB181" s="331"/>
      <c r="AC181" s="140"/>
      <c r="AD181" s="140"/>
      <c r="AE181" s="140"/>
      <c r="AF181" s="140"/>
      <c r="AG181" s="140"/>
    </row>
    <row r="182" spans="3:33" s="27" customFormat="1" ht="17.25" customHeight="1">
      <c r="C182" s="27" t="s">
        <v>21</v>
      </c>
      <c r="D182" s="28" t="s">
        <v>21</v>
      </c>
      <c r="E182" s="37" t="s">
        <v>21</v>
      </c>
      <c r="F182" s="27" t="s">
        <v>21</v>
      </c>
      <c r="G182" s="29" t="s">
        <v>21</v>
      </c>
      <c r="K182" s="117"/>
      <c r="V182" s="140"/>
      <c r="W182" s="140"/>
      <c r="X182" s="140"/>
      <c r="Y182" s="140"/>
      <c r="Z182" s="140"/>
      <c r="AA182" s="140"/>
      <c r="AB182" s="331"/>
      <c r="AC182" s="140"/>
      <c r="AD182" s="140"/>
      <c r="AE182" s="140"/>
      <c r="AF182" s="140"/>
      <c r="AG182" s="140"/>
    </row>
    <row r="183" spans="3:33" s="27" customFormat="1" ht="17.25" customHeight="1">
      <c r="C183" s="27" t="s">
        <v>21</v>
      </c>
      <c r="D183" s="28" t="s">
        <v>21</v>
      </c>
      <c r="E183" s="37" t="s">
        <v>21</v>
      </c>
      <c r="F183" s="27" t="s">
        <v>21</v>
      </c>
      <c r="G183" s="29" t="s">
        <v>21</v>
      </c>
      <c r="K183" s="117"/>
      <c r="V183" s="140"/>
      <c r="W183" s="140"/>
      <c r="X183" s="140"/>
      <c r="Y183" s="140"/>
      <c r="Z183" s="140"/>
      <c r="AA183" s="140"/>
      <c r="AB183" s="331"/>
      <c r="AC183" s="140"/>
      <c r="AD183" s="140"/>
      <c r="AE183" s="140"/>
      <c r="AF183" s="140"/>
      <c r="AG183" s="140"/>
    </row>
    <row r="184" spans="3:33" s="27" customFormat="1" ht="17.25" customHeight="1">
      <c r="C184" s="27" t="s">
        <v>21</v>
      </c>
      <c r="D184" s="28" t="s">
        <v>21</v>
      </c>
      <c r="E184" s="37" t="s">
        <v>21</v>
      </c>
      <c r="F184" s="27" t="s">
        <v>21</v>
      </c>
      <c r="G184" s="29" t="s">
        <v>21</v>
      </c>
      <c r="K184" s="117"/>
      <c r="V184" s="140"/>
      <c r="W184" s="140"/>
      <c r="X184" s="140"/>
      <c r="Y184" s="140"/>
      <c r="Z184" s="140"/>
      <c r="AA184" s="140"/>
      <c r="AB184" s="331"/>
      <c r="AC184" s="140"/>
      <c r="AD184" s="140"/>
      <c r="AE184" s="140"/>
      <c r="AF184" s="140"/>
      <c r="AG184" s="140"/>
    </row>
    <row r="185" spans="3:33" s="27" customFormat="1" ht="17.25" customHeight="1">
      <c r="C185" s="27" t="s">
        <v>21</v>
      </c>
      <c r="D185" s="28" t="s">
        <v>21</v>
      </c>
      <c r="E185" s="37" t="s">
        <v>21</v>
      </c>
      <c r="F185" s="27" t="s">
        <v>21</v>
      </c>
      <c r="G185" s="29" t="s">
        <v>21</v>
      </c>
      <c r="K185" s="117"/>
      <c r="V185" s="140"/>
      <c r="W185" s="140"/>
      <c r="X185" s="140"/>
      <c r="Y185" s="140"/>
      <c r="Z185" s="140"/>
      <c r="AA185" s="140"/>
      <c r="AB185" s="331"/>
      <c r="AC185" s="140"/>
      <c r="AD185" s="140"/>
      <c r="AE185" s="140"/>
      <c r="AF185" s="140"/>
      <c r="AG185" s="140"/>
    </row>
    <row r="186" spans="3:33" s="27" customFormat="1" ht="17.25" customHeight="1">
      <c r="C186" s="27" t="s">
        <v>21</v>
      </c>
      <c r="D186" s="28" t="s">
        <v>21</v>
      </c>
      <c r="E186" s="37" t="s">
        <v>21</v>
      </c>
      <c r="F186" s="27" t="s">
        <v>21</v>
      </c>
      <c r="G186" s="29" t="s">
        <v>21</v>
      </c>
      <c r="K186" s="117"/>
      <c r="V186" s="140"/>
      <c r="W186" s="140"/>
      <c r="X186" s="140"/>
      <c r="Y186" s="140"/>
      <c r="Z186" s="140"/>
      <c r="AA186" s="140"/>
      <c r="AB186" s="331"/>
      <c r="AC186" s="140"/>
      <c r="AD186" s="140"/>
      <c r="AE186" s="140"/>
      <c r="AF186" s="140"/>
      <c r="AG186" s="140"/>
    </row>
    <row r="187" spans="3:33" s="27" customFormat="1" ht="17.25" customHeight="1">
      <c r="C187" s="27" t="s">
        <v>21</v>
      </c>
      <c r="D187" s="28" t="s">
        <v>21</v>
      </c>
      <c r="E187" s="37" t="s">
        <v>21</v>
      </c>
      <c r="F187" s="27" t="s">
        <v>21</v>
      </c>
      <c r="G187" s="29" t="s">
        <v>21</v>
      </c>
      <c r="K187" s="117"/>
      <c r="V187" s="140"/>
      <c r="W187" s="140"/>
      <c r="X187" s="140"/>
      <c r="Y187" s="140"/>
      <c r="Z187" s="140"/>
      <c r="AA187" s="140"/>
      <c r="AB187" s="331"/>
      <c r="AC187" s="140"/>
      <c r="AD187" s="140"/>
      <c r="AE187" s="140"/>
      <c r="AF187" s="140"/>
      <c r="AG187" s="140"/>
    </row>
    <row r="188" spans="3:33" s="27" customFormat="1" ht="17.25" customHeight="1">
      <c r="C188" s="27" t="s">
        <v>21</v>
      </c>
      <c r="D188" s="28" t="s">
        <v>21</v>
      </c>
      <c r="E188" s="37" t="s">
        <v>21</v>
      </c>
      <c r="F188" s="27" t="s">
        <v>21</v>
      </c>
      <c r="G188" s="29" t="s">
        <v>21</v>
      </c>
      <c r="K188" s="117"/>
      <c r="V188" s="140"/>
      <c r="W188" s="140"/>
      <c r="X188" s="140"/>
      <c r="Y188" s="140"/>
      <c r="Z188" s="140"/>
      <c r="AA188" s="140"/>
      <c r="AB188" s="331"/>
      <c r="AC188" s="140"/>
      <c r="AD188" s="140"/>
      <c r="AE188" s="140"/>
      <c r="AF188" s="140"/>
      <c r="AG188" s="140"/>
    </row>
    <row r="189" spans="3:33" s="27" customFormat="1" ht="17.25" customHeight="1">
      <c r="C189" s="27" t="s">
        <v>21</v>
      </c>
      <c r="D189" s="28" t="s">
        <v>21</v>
      </c>
      <c r="E189" s="37" t="s">
        <v>21</v>
      </c>
      <c r="F189" s="27" t="s">
        <v>21</v>
      </c>
      <c r="G189" s="29" t="s">
        <v>21</v>
      </c>
      <c r="K189" s="117"/>
      <c r="V189" s="140"/>
      <c r="W189" s="140"/>
      <c r="X189" s="140"/>
      <c r="Y189" s="140"/>
      <c r="Z189" s="140"/>
      <c r="AA189" s="140"/>
      <c r="AB189" s="331"/>
      <c r="AC189" s="140"/>
      <c r="AD189" s="140"/>
      <c r="AE189" s="140"/>
      <c r="AF189" s="140"/>
      <c r="AG189" s="140"/>
    </row>
    <row r="190" spans="3:33" s="27" customFormat="1" ht="17.25" customHeight="1">
      <c r="C190" s="27" t="s">
        <v>21</v>
      </c>
      <c r="D190" s="28" t="s">
        <v>21</v>
      </c>
      <c r="E190" s="37" t="s">
        <v>21</v>
      </c>
      <c r="F190" s="27" t="s">
        <v>21</v>
      </c>
      <c r="G190" s="29" t="s">
        <v>21</v>
      </c>
      <c r="K190" s="117"/>
      <c r="V190" s="140"/>
      <c r="W190" s="140"/>
      <c r="X190" s="140"/>
      <c r="Y190" s="140"/>
      <c r="Z190" s="140"/>
      <c r="AA190" s="140"/>
      <c r="AB190" s="331"/>
      <c r="AC190" s="140"/>
      <c r="AD190" s="140"/>
      <c r="AE190" s="140"/>
      <c r="AF190" s="140"/>
      <c r="AG190" s="140"/>
    </row>
    <row r="191" spans="3:33" s="27" customFormat="1" ht="17.25" customHeight="1">
      <c r="C191" s="27" t="s">
        <v>21</v>
      </c>
      <c r="D191" s="28" t="s">
        <v>21</v>
      </c>
      <c r="E191" s="37" t="s">
        <v>21</v>
      </c>
      <c r="F191" s="27" t="s">
        <v>21</v>
      </c>
      <c r="G191" s="29" t="s">
        <v>21</v>
      </c>
      <c r="K191" s="117"/>
      <c r="V191" s="140"/>
      <c r="W191" s="140"/>
      <c r="X191" s="140"/>
      <c r="Y191" s="140"/>
      <c r="Z191" s="140"/>
      <c r="AA191" s="140"/>
      <c r="AB191" s="331"/>
      <c r="AC191" s="140"/>
      <c r="AD191" s="140"/>
      <c r="AE191" s="140"/>
      <c r="AF191" s="140"/>
      <c r="AG191" s="140"/>
    </row>
    <row r="192" spans="3:33" s="27" customFormat="1" ht="17.25" customHeight="1">
      <c r="C192" s="27" t="s">
        <v>21</v>
      </c>
      <c r="D192" s="28" t="s">
        <v>21</v>
      </c>
      <c r="E192" s="37" t="s">
        <v>21</v>
      </c>
      <c r="F192" s="27" t="s">
        <v>21</v>
      </c>
      <c r="G192" s="29" t="s">
        <v>21</v>
      </c>
      <c r="K192" s="117"/>
      <c r="V192" s="140"/>
      <c r="W192" s="140"/>
      <c r="X192" s="140"/>
      <c r="Y192" s="140"/>
      <c r="Z192" s="140"/>
      <c r="AA192" s="140"/>
      <c r="AB192" s="331"/>
      <c r="AC192" s="140"/>
      <c r="AD192" s="140"/>
      <c r="AE192" s="140"/>
      <c r="AF192" s="140"/>
      <c r="AG192" s="140"/>
    </row>
    <row r="193" spans="3:33" s="27" customFormat="1" ht="17.25" customHeight="1">
      <c r="C193" s="27" t="s">
        <v>21</v>
      </c>
      <c r="D193" s="28" t="s">
        <v>21</v>
      </c>
      <c r="E193" s="37" t="s">
        <v>21</v>
      </c>
      <c r="F193" s="27" t="s">
        <v>21</v>
      </c>
      <c r="G193" s="29" t="s">
        <v>21</v>
      </c>
      <c r="K193" s="117"/>
      <c r="V193" s="140"/>
      <c r="W193" s="140"/>
      <c r="X193" s="140"/>
      <c r="Y193" s="140"/>
      <c r="Z193" s="140"/>
      <c r="AA193" s="140"/>
      <c r="AB193" s="331"/>
      <c r="AC193" s="140"/>
      <c r="AD193" s="140"/>
      <c r="AE193" s="140"/>
      <c r="AF193" s="140"/>
      <c r="AG193" s="140"/>
    </row>
    <row r="194" spans="3:33" s="27" customFormat="1" ht="17.25" customHeight="1">
      <c r="C194" s="27" t="s">
        <v>21</v>
      </c>
      <c r="D194" s="28" t="s">
        <v>21</v>
      </c>
      <c r="E194" s="37" t="s">
        <v>21</v>
      </c>
      <c r="F194" s="27" t="s">
        <v>21</v>
      </c>
      <c r="G194" s="29" t="s">
        <v>21</v>
      </c>
      <c r="K194" s="117"/>
      <c r="V194" s="140"/>
      <c r="W194" s="140"/>
      <c r="X194" s="140"/>
      <c r="Y194" s="140"/>
      <c r="Z194" s="140"/>
      <c r="AA194" s="140"/>
      <c r="AB194" s="331"/>
      <c r="AC194" s="140"/>
      <c r="AD194" s="140"/>
      <c r="AE194" s="140"/>
      <c r="AF194" s="140"/>
      <c r="AG194" s="140"/>
    </row>
    <row r="195" spans="3:33" s="27" customFormat="1" ht="17.25" customHeight="1">
      <c r="C195" s="27" t="s">
        <v>21</v>
      </c>
      <c r="D195" s="28" t="s">
        <v>21</v>
      </c>
      <c r="E195" s="37" t="s">
        <v>21</v>
      </c>
      <c r="F195" s="27" t="s">
        <v>21</v>
      </c>
      <c r="G195" s="29" t="s">
        <v>21</v>
      </c>
      <c r="K195" s="117"/>
      <c r="V195" s="140"/>
      <c r="W195" s="140"/>
      <c r="X195" s="140"/>
      <c r="Y195" s="140"/>
      <c r="Z195" s="140"/>
      <c r="AA195" s="140"/>
      <c r="AB195" s="331"/>
      <c r="AC195" s="140"/>
      <c r="AD195" s="140"/>
      <c r="AE195" s="140"/>
      <c r="AF195" s="140"/>
      <c r="AG195" s="140"/>
    </row>
    <row r="196" spans="3:33" s="27" customFormat="1" ht="17.25" customHeight="1">
      <c r="C196" s="27" t="s">
        <v>21</v>
      </c>
      <c r="D196" s="28" t="s">
        <v>21</v>
      </c>
      <c r="E196" s="37" t="s">
        <v>21</v>
      </c>
      <c r="F196" s="27" t="s">
        <v>21</v>
      </c>
      <c r="G196" s="29" t="s">
        <v>21</v>
      </c>
      <c r="K196" s="117"/>
      <c r="V196" s="140"/>
      <c r="W196" s="140"/>
      <c r="X196" s="140"/>
      <c r="Y196" s="140"/>
      <c r="Z196" s="140"/>
      <c r="AA196" s="140"/>
      <c r="AB196" s="331"/>
      <c r="AC196" s="140"/>
      <c r="AD196" s="140"/>
      <c r="AE196" s="140"/>
      <c r="AF196" s="140"/>
      <c r="AG196" s="140"/>
    </row>
    <row r="197" spans="3:33" s="27" customFormat="1" ht="17.25" customHeight="1">
      <c r="C197" s="27" t="s">
        <v>21</v>
      </c>
      <c r="D197" s="28" t="s">
        <v>21</v>
      </c>
      <c r="E197" s="37" t="s">
        <v>21</v>
      </c>
      <c r="F197" s="27" t="s">
        <v>21</v>
      </c>
      <c r="G197" s="29" t="s">
        <v>21</v>
      </c>
      <c r="K197" s="117"/>
      <c r="V197" s="140"/>
      <c r="W197" s="140"/>
      <c r="X197" s="140"/>
      <c r="Y197" s="140"/>
      <c r="Z197" s="140"/>
      <c r="AA197" s="140"/>
      <c r="AB197" s="331"/>
      <c r="AC197" s="140"/>
      <c r="AD197" s="140"/>
      <c r="AE197" s="140"/>
      <c r="AF197" s="140"/>
      <c r="AG197" s="140"/>
    </row>
    <row r="198" spans="3:33" s="27" customFormat="1" ht="17.25" customHeight="1">
      <c r="C198" s="27" t="s">
        <v>21</v>
      </c>
      <c r="D198" s="28" t="s">
        <v>21</v>
      </c>
      <c r="E198" s="37" t="s">
        <v>21</v>
      </c>
      <c r="F198" s="27" t="s">
        <v>21</v>
      </c>
      <c r="G198" s="29" t="s">
        <v>21</v>
      </c>
      <c r="K198" s="117"/>
      <c r="V198" s="140"/>
      <c r="W198" s="140"/>
      <c r="X198" s="140"/>
      <c r="Y198" s="140"/>
      <c r="Z198" s="140"/>
      <c r="AA198" s="140"/>
      <c r="AB198" s="331"/>
      <c r="AC198" s="140"/>
      <c r="AD198" s="140"/>
      <c r="AE198" s="140"/>
      <c r="AF198" s="140"/>
      <c r="AG198" s="140"/>
    </row>
    <row r="199" spans="3:33" s="27" customFormat="1" ht="17.25" customHeight="1">
      <c r="C199" s="27" t="s">
        <v>21</v>
      </c>
      <c r="D199" s="28" t="s">
        <v>21</v>
      </c>
      <c r="E199" s="37" t="s">
        <v>21</v>
      </c>
      <c r="F199" s="27" t="s">
        <v>21</v>
      </c>
      <c r="G199" s="29" t="s">
        <v>21</v>
      </c>
      <c r="K199" s="117"/>
      <c r="V199" s="140"/>
      <c r="W199" s="140"/>
      <c r="X199" s="140"/>
      <c r="Y199" s="140"/>
      <c r="Z199" s="140"/>
      <c r="AA199" s="140"/>
      <c r="AB199" s="331"/>
      <c r="AC199" s="140"/>
      <c r="AD199" s="140"/>
      <c r="AE199" s="140"/>
      <c r="AF199" s="140"/>
      <c r="AG199" s="140"/>
    </row>
    <row r="200" spans="3:33" s="27" customFormat="1" ht="17.25" customHeight="1">
      <c r="C200" s="27" t="s">
        <v>21</v>
      </c>
      <c r="D200" s="28" t="s">
        <v>21</v>
      </c>
      <c r="E200" s="37" t="s">
        <v>21</v>
      </c>
      <c r="F200" s="27" t="s">
        <v>21</v>
      </c>
      <c r="G200" s="29" t="s">
        <v>21</v>
      </c>
      <c r="K200" s="117"/>
      <c r="V200" s="140"/>
      <c r="W200" s="140"/>
      <c r="X200" s="140"/>
      <c r="Y200" s="140"/>
      <c r="Z200" s="140"/>
      <c r="AA200" s="140"/>
      <c r="AB200" s="331"/>
      <c r="AC200" s="140"/>
      <c r="AD200" s="140"/>
      <c r="AE200" s="140"/>
      <c r="AF200" s="140"/>
      <c r="AG200" s="140"/>
    </row>
    <row r="201" spans="3:33" s="27" customFormat="1" ht="17.25" customHeight="1">
      <c r="C201" s="27" t="s">
        <v>21</v>
      </c>
      <c r="D201" s="28" t="s">
        <v>21</v>
      </c>
      <c r="E201" s="37" t="s">
        <v>21</v>
      </c>
      <c r="F201" s="27" t="s">
        <v>21</v>
      </c>
      <c r="G201" s="29" t="s">
        <v>21</v>
      </c>
      <c r="K201" s="117"/>
      <c r="V201" s="140"/>
      <c r="W201" s="140"/>
      <c r="X201" s="140"/>
      <c r="Y201" s="140"/>
      <c r="Z201" s="140"/>
      <c r="AA201" s="140"/>
      <c r="AB201" s="331"/>
      <c r="AC201" s="140"/>
      <c r="AD201" s="140"/>
      <c r="AE201" s="140"/>
      <c r="AF201" s="140"/>
      <c r="AG201" s="140"/>
    </row>
    <row r="202" spans="3:33" s="27" customFormat="1" ht="17.25" customHeight="1">
      <c r="C202" s="27" t="s">
        <v>21</v>
      </c>
      <c r="D202" s="28" t="s">
        <v>21</v>
      </c>
      <c r="E202" s="37" t="s">
        <v>21</v>
      </c>
      <c r="F202" s="27" t="s">
        <v>21</v>
      </c>
      <c r="G202" s="29" t="s">
        <v>21</v>
      </c>
      <c r="K202" s="117"/>
      <c r="V202" s="140"/>
      <c r="W202" s="140"/>
      <c r="X202" s="140"/>
      <c r="Y202" s="140"/>
      <c r="Z202" s="140"/>
      <c r="AA202" s="140"/>
      <c r="AB202" s="331"/>
      <c r="AC202" s="140"/>
      <c r="AD202" s="140"/>
      <c r="AE202" s="140"/>
      <c r="AF202" s="140"/>
      <c r="AG202" s="140"/>
    </row>
    <row r="203" spans="3:33" s="27" customFormat="1" ht="17.25" customHeight="1">
      <c r="C203" s="27" t="s">
        <v>21</v>
      </c>
      <c r="D203" s="28" t="s">
        <v>21</v>
      </c>
      <c r="E203" s="37" t="s">
        <v>21</v>
      </c>
      <c r="F203" s="27" t="s">
        <v>21</v>
      </c>
      <c r="G203" s="29" t="s">
        <v>21</v>
      </c>
      <c r="K203" s="117"/>
      <c r="V203" s="140"/>
      <c r="W203" s="140"/>
      <c r="X203" s="140"/>
      <c r="Y203" s="140"/>
      <c r="Z203" s="140"/>
      <c r="AA203" s="140"/>
      <c r="AB203" s="331"/>
      <c r="AC203" s="140"/>
      <c r="AD203" s="140"/>
      <c r="AE203" s="140"/>
      <c r="AF203" s="140"/>
      <c r="AG203" s="140"/>
    </row>
    <row r="204" spans="3:33" s="27" customFormat="1" ht="17.25" customHeight="1">
      <c r="C204" s="27" t="s">
        <v>21</v>
      </c>
      <c r="D204" s="28" t="s">
        <v>21</v>
      </c>
      <c r="E204" s="37" t="s">
        <v>21</v>
      </c>
      <c r="F204" s="27" t="s">
        <v>21</v>
      </c>
      <c r="G204" s="29" t="s">
        <v>21</v>
      </c>
      <c r="K204" s="117"/>
      <c r="V204" s="140"/>
      <c r="W204" s="140"/>
      <c r="X204" s="140"/>
      <c r="Y204" s="140"/>
      <c r="Z204" s="140"/>
      <c r="AA204" s="140"/>
      <c r="AB204" s="331"/>
      <c r="AC204" s="140"/>
      <c r="AD204" s="140"/>
      <c r="AE204" s="140"/>
      <c r="AF204" s="140"/>
      <c r="AG204" s="140"/>
    </row>
    <row r="205" spans="3:33" s="27" customFormat="1" ht="17.25" customHeight="1">
      <c r="C205" s="27" t="s">
        <v>21</v>
      </c>
      <c r="D205" s="28" t="s">
        <v>21</v>
      </c>
      <c r="E205" s="37" t="s">
        <v>21</v>
      </c>
      <c r="F205" s="27" t="s">
        <v>21</v>
      </c>
      <c r="G205" s="29" t="s">
        <v>21</v>
      </c>
      <c r="K205" s="117"/>
      <c r="V205" s="140"/>
      <c r="W205" s="140"/>
      <c r="X205" s="140"/>
      <c r="Y205" s="140"/>
      <c r="Z205" s="140"/>
      <c r="AA205" s="140"/>
      <c r="AB205" s="331"/>
      <c r="AC205" s="140"/>
      <c r="AD205" s="140"/>
      <c r="AE205" s="140"/>
      <c r="AF205" s="140"/>
      <c r="AG205" s="140"/>
    </row>
    <row r="206" spans="3:33" s="27" customFormat="1" ht="17.25" customHeight="1">
      <c r="C206" s="27" t="s">
        <v>21</v>
      </c>
      <c r="D206" s="28" t="s">
        <v>21</v>
      </c>
      <c r="E206" s="37" t="s">
        <v>21</v>
      </c>
      <c r="F206" s="27" t="s">
        <v>21</v>
      </c>
      <c r="G206" s="29" t="s">
        <v>21</v>
      </c>
      <c r="K206" s="117"/>
      <c r="V206" s="140"/>
      <c r="W206" s="140"/>
      <c r="X206" s="140"/>
      <c r="Y206" s="140"/>
      <c r="Z206" s="140"/>
      <c r="AA206" s="140"/>
      <c r="AB206" s="331"/>
      <c r="AC206" s="140"/>
      <c r="AD206" s="140"/>
      <c r="AE206" s="140"/>
      <c r="AF206" s="140"/>
      <c r="AG206" s="140"/>
    </row>
    <row r="207" spans="3:33" s="27" customFormat="1" ht="17.25" customHeight="1">
      <c r="C207" s="27" t="s">
        <v>21</v>
      </c>
      <c r="D207" s="28" t="s">
        <v>21</v>
      </c>
      <c r="E207" s="37" t="s">
        <v>21</v>
      </c>
      <c r="F207" s="27" t="s">
        <v>21</v>
      </c>
      <c r="G207" s="29" t="s">
        <v>21</v>
      </c>
      <c r="K207" s="117"/>
      <c r="V207" s="140"/>
      <c r="W207" s="140"/>
      <c r="X207" s="140"/>
      <c r="Y207" s="140"/>
      <c r="Z207" s="140"/>
      <c r="AA207" s="140"/>
      <c r="AB207" s="331"/>
      <c r="AC207" s="140"/>
      <c r="AD207" s="140"/>
      <c r="AE207" s="140"/>
      <c r="AF207" s="140"/>
      <c r="AG207" s="140"/>
    </row>
    <row r="208" spans="3:33" s="27" customFormat="1" ht="17.25" customHeight="1">
      <c r="C208" s="27" t="s">
        <v>21</v>
      </c>
      <c r="D208" s="28" t="s">
        <v>21</v>
      </c>
      <c r="E208" s="37" t="s">
        <v>21</v>
      </c>
      <c r="F208" s="27" t="s">
        <v>21</v>
      </c>
      <c r="G208" s="29" t="s">
        <v>21</v>
      </c>
      <c r="K208" s="117"/>
      <c r="V208" s="140"/>
      <c r="W208" s="140"/>
      <c r="X208" s="140"/>
      <c r="Y208" s="140"/>
      <c r="Z208" s="140"/>
      <c r="AA208" s="140"/>
      <c r="AB208" s="331"/>
      <c r="AC208" s="140"/>
      <c r="AD208" s="140"/>
      <c r="AE208" s="140"/>
      <c r="AF208" s="140"/>
      <c r="AG208" s="140"/>
    </row>
    <row r="209" spans="3:33" s="27" customFormat="1" ht="17.25" customHeight="1">
      <c r="C209" s="27" t="s">
        <v>21</v>
      </c>
      <c r="D209" s="28" t="s">
        <v>21</v>
      </c>
      <c r="E209" s="37" t="s">
        <v>21</v>
      </c>
      <c r="F209" s="27" t="s">
        <v>21</v>
      </c>
      <c r="G209" s="29" t="s">
        <v>21</v>
      </c>
      <c r="K209" s="117"/>
      <c r="V209" s="140"/>
      <c r="W209" s="140"/>
      <c r="X209" s="140"/>
      <c r="Y209" s="140"/>
      <c r="Z209" s="140"/>
      <c r="AA209" s="140"/>
      <c r="AB209" s="331"/>
      <c r="AC209" s="140"/>
      <c r="AD209" s="140"/>
      <c r="AE209" s="140"/>
      <c r="AF209" s="140"/>
      <c r="AG209" s="140"/>
    </row>
    <row r="210" spans="3:33" s="27" customFormat="1" ht="17.25" customHeight="1">
      <c r="C210" s="27" t="s">
        <v>21</v>
      </c>
      <c r="D210" s="28" t="s">
        <v>21</v>
      </c>
      <c r="E210" s="37" t="s">
        <v>21</v>
      </c>
      <c r="F210" s="27" t="s">
        <v>21</v>
      </c>
      <c r="G210" s="29" t="s">
        <v>21</v>
      </c>
      <c r="K210" s="117"/>
      <c r="V210" s="140"/>
      <c r="W210" s="140"/>
      <c r="X210" s="140"/>
      <c r="Y210" s="140"/>
      <c r="Z210" s="140"/>
      <c r="AA210" s="140"/>
      <c r="AB210" s="331"/>
      <c r="AC210" s="140"/>
      <c r="AD210" s="140"/>
      <c r="AE210" s="140"/>
      <c r="AF210" s="140"/>
      <c r="AG210" s="140"/>
    </row>
    <row r="211" spans="3:33" s="27" customFormat="1" ht="17.25" customHeight="1">
      <c r="C211" s="27" t="s">
        <v>21</v>
      </c>
      <c r="D211" s="28" t="s">
        <v>21</v>
      </c>
      <c r="E211" s="37" t="s">
        <v>21</v>
      </c>
      <c r="F211" s="27" t="s">
        <v>21</v>
      </c>
      <c r="G211" s="29" t="s">
        <v>21</v>
      </c>
      <c r="K211" s="117"/>
      <c r="V211" s="140"/>
      <c r="W211" s="140"/>
      <c r="X211" s="140"/>
      <c r="Y211" s="140"/>
      <c r="Z211" s="140"/>
      <c r="AA211" s="140"/>
      <c r="AB211" s="331"/>
      <c r="AC211" s="140"/>
      <c r="AD211" s="140"/>
      <c r="AE211" s="140"/>
      <c r="AF211" s="140"/>
      <c r="AG211" s="140"/>
    </row>
    <row r="212" spans="3:33" s="27" customFormat="1" ht="17.25" customHeight="1">
      <c r="C212" s="27" t="s">
        <v>21</v>
      </c>
      <c r="D212" s="28" t="s">
        <v>21</v>
      </c>
      <c r="E212" s="37" t="s">
        <v>21</v>
      </c>
      <c r="F212" s="27" t="s">
        <v>21</v>
      </c>
      <c r="G212" s="29" t="s">
        <v>21</v>
      </c>
      <c r="K212" s="117"/>
      <c r="V212" s="140"/>
      <c r="W212" s="140"/>
      <c r="X212" s="140"/>
      <c r="Y212" s="140"/>
      <c r="Z212" s="140"/>
      <c r="AA212" s="140"/>
      <c r="AB212" s="331"/>
      <c r="AC212" s="140"/>
      <c r="AD212" s="140"/>
      <c r="AE212" s="140"/>
      <c r="AF212" s="140"/>
      <c r="AG212" s="140"/>
    </row>
    <row r="213" spans="3:33" s="27" customFormat="1" ht="17.25" customHeight="1">
      <c r="C213" s="27" t="s">
        <v>21</v>
      </c>
      <c r="D213" s="28" t="s">
        <v>21</v>
      </c>
      <c r="E213" s="37" t="s">
        <v>21</v>
      </c>
      <c r="F213" s="27" t="s">
        <v>21</v>
      </c>
      <c r="G213" s="29" t="s">
        <v>21</v>
      </c>
      <c r="K213" s="117"/>
      <c r="V213" s="140"/>
      <c r="W213" s="140"/>
      <c r="X213" s="140"/>
      <c r="Y213" s="140"/>
      <c r="Z213" s="140"/>
      <c r="AA213" s="140"/>
      <c r="AB213" s="331"/>
      <c r="AC213" s="140"/>
      <c r="AD213" s="140"/>
      <c r="AE213" s="140"/>
      <c r="AF213" s="140"/>
      <c r="AG213" s="140"/>
    </row>
    <row r="214" spans="3:33" s="27" customFormat="1" ht="17.25" customHeight="1">
      <c r="C214" s="27" t="s">
        <v>21</v>
      </c>
      <c r="D214" s="28" t="s">
        <v>21</v>
      </c>
      <c r="E214" s="37" t="s">
        <v>21</v>
      </c>
      <c r="F214" s="27" t="s">
        <v>21</v>
      </c>
      <c r="G214" s="29" t="s">
        <v>21</v>
      </c>
      <c r="K214" s="117"/>
      <c r="V214" s="140"/>
      <c r="W214" s="140"/>
      <c r="X214" s="140"/>
      <c r="Y214" s="140"/>
      <c r="Z214" s="140"/>
      <c r="AA214" s="140"/>
      <c r="AB214" s="331"/>
      <c r="AC214" s="140"/>
      <c r="AD214" s="140"/>
      <c r="AE214" s="140"/>
      <c r="AF214" s="140"/>
      <c r="AG214" s="140"/>
    </row>
    <row r="215" spans="3:33" s="27" customFormat="1" ht="17.25" customHeight="1">
      <c r="C215" s="27" t="s">
        <v>21</v>
      </c>
      <c r="D215" s="28" t="s">
        <v>21</v>
      </c>
      <c r="E215" s="37" t="s">
        <v>21</v>
      </c>
      <c r="F215" s="27" t="s">
        <v>21</v>
      </c>
      <c r="G215" s="29" t="s">
        <v>21</v>
      </c>
      <c r="K215" s="117"/>
      <c r="V215" s="140"/>
      <c r="W215" s="140"/>
      <c r="X215" s="140"/>
      <c r="Y215" s="140"/>
      <c r="Z215" s="140"/>
      <c r="AA215" s="140"/>
      <c r="AB215" s="331"/>
      <c r="AC215" s="140"/>
      <c r="AD215" s="140"/>
      <c r="AE215" s="140"/>
      <c r="AF215" s="140"/>
      <c r="AG215" s="140"/>
    </row>
    <row r="216" spans="3:33" s="27" customFormat="1" ht="17.25" customHeight="1">
      <c r="C216" s="27" t="s">
        <v>21</v>
      </c>
      <c r="D216" s="28" t="s">
        <v>21</v>
      </c>
      <c r="E216" s="37" t="s">
        <v>21</v>
      </c>
      <c r="F216" s="27" t="s">
        <v>21</v>
      </c>
      <c r="G216" s="29" t="s">
        <v>21</v>
      </c>
      <c r="K216" s="117"/>
      <c r="V216" s="140"/>
      <c r="W216" s="140"/>
      <c r="X216" s="140"/>
      <c r="Y216" s="140"/>
      <c r="Z216" s="140"/>
      <c r="AA216" s="140"/>
      <c r="AB216" s="331"/>
      <c r="AC216" s="140"/>
      <c r="AD216" s="140"/>
      <c r="AE216" s="140"/>
      <c r="AF216" s="140"/>
      <c r="AG216" s="140"/>
    </row>
    <row r="217" spans="3:33" s="27" customFormat="1" ht="17.25" customHeight="1">
      <c r="C217" s="27" t="s">
        <v>21</v>
      </c>
      <c r="D217" s="28" t="s">
        <v>21</v>
      </c>
      <c r="E217" s="37" t="s">
        <v>21</v>
      </c>
      <c r="F217" s="27" t="s">
        <v>21</v>
      </c>
      <c r="G217" s="29" t="s">
        <v>21</v>
      </c>
      <c r="K217" s="117"/>
      <c r="V217" s="140"/>
      <c r="W217" s="140"/>
      <c r="X217" s="140"/>
      <c r="Y217" s="140"/>
      <c r="Z217" s="140"/>
      <c r="AA217" s="140"/>
      <c r="AB217" s="331"/>
      <c r="AC217" s="140"/>
      <c r="AD217" s="140"/>
      <c r="AE217" s="140"/>
      <c r="AF217" s="140"/>
      <c r="AG217" s="140"/>
    </row>
    <row r="218" spans="3:33" s="27" customFormat="1" ht="17.25" customHeight="1">
      <c r="C218" s="27" t="s">
        <v>21</v>
      </c>
      <c r="D218" s="28" t="s">
        <v>21</v>
      </c>
      <c r="E218" s="37" t="s">
        <v>21</v>
      </c>
      <c r="F218" s="27" t="s">
        <v>21</v>
      </c>
      <c r="G218" s="29" t="s">
        <v>21</v>
      </c>
      <c r="K218" s="117"/>
      <c r="V218" s="140"/>
      <c r="W218" s="140"/>
      <c r="X218" s="140"/>
      <c r="Y218" s="140"/>
      <c r="Z218" s="140"/>
      <c r="AA218" s="140"/>
      <c r="AB218" s="331"/>
      <c r="AC218" s="140"/>
      <c r="AD218" s="140"/>
      <c r="AE218" s="140"/>
      <c r="AF218" s="140"/>
      <c r="AG218" s="140"/>
    </row>
    <row r="219" spans="3:33" s="27" customFormat="1" ht="17.25" customHeight="1">
      <c r="C219" s="27" t="s">
        <v>21</v>
      </c>
      <c r="D219" s="28" t="s">
        <v>21</v>
      </c>
      <c r="E219" s="37" t="s">
        <v>21</v>
      </c>
      <c r="F219" s="27" t="s">
        <v>21</v>
      </c>
      <c r="G219" s="29" t="s">
        <v>21</v>
      </c>
      <c r="K219" s="117"/>
      <c r="V219" s="140"/>
      <c r="W219" s="140"/>
      <c r="X219" s="140"/>
      <c r="Y219" s="140"/>
      <c r="Z219" s="140"/>
      <c r="AA219" s="140"/>
      <c r="AB219" s="331"/>
      <c r="AC219" s="140"/>
      <c r="AD219" s="140"/>
      <c r="AE219" s="140"/>
      <c r="AF219" s="140"/>
      <c r="AG219" s="140"/>
    </row>
    <row r="220" spans="3:33" s="27" customFormat="1" ht="17.25" customHeight="1">
      <c r="C220" s="27" t="s">
        <v>21</v>
      </c>
      <c r="D220" s="28" t="s">
        <v>21</v>
      </c>
      <c r="E220" s="37" t="s">
        <v>21</v>
      </c>
      <c r="F220" s="27" t="s">
        <v>21</v>
      </c>
      <c r="G220" s="29" t="s">
        <v>21</v>
      </c>
      <c r="K220" s="117"/>
      <c r="V220" s="140"/>
      <c r="W220" s="140"/>
      <c r="X220" s="140"/>
      <c r="Y220" s="140"/>
      <c r="Z220" s="140"/>
      <c r="AA220" s="140"/>
      <c r="AB220" s="331"/>
      <c r="AC220" s="140"/>
      <c r="AD220" s="140"/>
      <c r="AE220" s="140"/>
      <c r="AF220" s="140"/>
      <c r="AG220" s="140"/>
    </row>
    <row r="221" spans="3:33" s="27" customFormat="1" ht="17.25" customHeight="1">
      <c r="C221" s="27" t="s">
        <v>21</v>
      </c>
      <c r="D221" s="28" t="s">
        <v>21</v>
      </c>
      <c r="E221" s="37" t="s">
        <v>21</v>
      </c>
      <c r="F221" s="27" t="s">
        <v>21</v>
      </c>
      <c r="G221" s="29" t="s">
        <v>21</v>
      </c>
      <c r="K221" s="117"/>
      <c r="V221" s="140"/>
      <c r="W221" s="140"/>
      <c r="X221" s="140"/>
      <c r="Y221" s="140"/>
      <c r="Z221" s="140"/>
      <c r="AA221" s="140"/>
      <c r="AB221" s="331"/>
      <c r="AC221" s="140"/>
      <c r="AD221" s="140"/>
      <c r="AE221" s="140"/>
      <c r="AF221" s="140"/>
      <c r="AG221" s="140"/>
    </row>
    <row r="222" spans="3:33" s="27" customFormat="1" ht="17.25" customHeight="1">
      <c r="C222" s="27" t="s">
        <v>21</v>
      </c>
      <c r="D222" s="28" t="s">
        <v>21</v>
      </c>
      <c r="E222" s="37" t="s">
        <v>21</v>
      </c>
      <c r="F222" s="27" t="s">
        <v>21</v>
      </c>
      <c r="G222" s="29" t="s">
        <v>21</v>
      </c>
      <c r="K222" s="117"/>
      <c r="V222" s="140"/>
      <c r="W222" s="140"/>
      <c r="X222" s="140"/>
      <c r="Y222" s="140"/>
      <c r="Z222" s="140"/>
      <c r="AA222" s="140"/>
      <c r="AB222" s="331"/>
      <c r="AC222" s="140"/>
      <c r="AD222" s="140"/>
      <c r="AE222" s="140"/>
      <c r="AF222" s="140"/>
      <c r="AG222" s="140"/>
    </row>
    <row r="223" spans="3:33" s="27" customFormat="1" ht="17.25" customHeight="1">
      <c r="C223" s="27" t="s">
        <v>21</v>
      </c>
      <c r="D223" s="28" t="s">
        <v>21</v>
      </c>
      <c r="E223" s="37" t="s">
        <v>21</v>
      </c>
      <c r="F223" s="27" t="s">
        <v>21</v>
      </c>
      <c r="G223" s="29" t="s">
        <v>21</v>
      </c>
      <c r="K223" s="117"/>
      <c r="V223" s="140"/>
      <c r="W223" s="140"/>
      <c r="X223" s="140"/>
      <c r="Y223" s="140"/>
      <c r="Z223" s="140"/>
      <c r="AA223" s="140"/>
      <c r="AB223" s="331"/>
      <c r="AC223" s="140"/>
      <c r="AD223" s="140"/>
      <c r="AE223" s="140"/>
      <c r="AF223" s="140"/>
      <c r="AG223" s="140"/>
    </row>
    <row r="224" spans="3:33" s="27" customFormat="1" ht="17.25" customHeight="1">
      <c r="C224" s="27" t="s">
        <v>21</v>
      </c>
      <c r="D224" s="28" t="s">
        <v>21</v>
      </c>
      <c r="E224" s="37" t="s">
        <v>21</v>
      </c>
      <c r="F224" s="27" t="s">
        <v>21</v>
      </c>
      <c r="G224" s="29" t="s">
        <v>21</v>
      </c>
      <c r="K224" s="117"/>
      <c r="V224" s="140"/>
      <c r="W224" s="140"/>
      <c r="X224" s="140"/>
      <c r="Y224" s="140"/>
      <c r="Z224" s="140"/>
      <c r="AA224" s="140"/>
      <c r="AB224" s="331"/>
      <c r="AC224" s="140"/>
      <c r="AD224" s="140"/>
      <c r="AE224" s="140"/>
      <c r="AF224" s="140"/>
      <c r="AG224" s="140"/>
    </row>
    <row r="225" spans="3:33" s="27" customFormat="1" ht="17.25" customHeight="1">
      <c r="C225" s="27" t="s">
        <v>21</v>
      </c>
      <c r="D225" s="28" t="s">
        <v>21</v>
      </c>
      <c r="E225" s="37" t="s">
        <v>21</v>
      </c>
      <c r="F225" s="27" t="s">
        <v>21</v>
      </c>
      <c r="G225" s="29" t="s">
        <v>21</v>
      </c>
      <c r="K225" s="117"/>
      <c r="V225" s="140"/>
      <c r="W225" s="140"/>
      <c r="X225" s="140"/>
      <c r="Y225" s="140"/>
      <c r="Z225" s="140"/>
      <c r="AA225" s="140"/>
      <c r="AB225" s="331"/>
      <c r="AC225" s="140"/>
      <c r="AD225" s="140"/>
      <c r="AE225" s="140"/>
      <c r="AF225" s="140"/>
      <c r="AG225" s="140"/>
    </row>
    <row r="226" spans="3:33" s="27" customFormat="1" ht="17.25" customHeight="1">
      <c r="C226" s="27" t="s">
        <v>21</v>
      </c>
      <c r="D226" s="28" t="s">
        <v>21</v>
      </c>
      <c r="E226" s="37" t="s">
        <v>21</v>
      </c>
      <c r="F226" s="27" t="s">
        <v>21</v>
      </c>
      <c r="G226" s="29" t="s">
        <v>21</v>
      </c>
      <c r="K226" s="117"/>
      <c r="V226" s="140"/>
      <c r="W226" s="140"/>
      <c r="X226" s="140"/>
      <c r="Y226" s="140"/>
      <c r="Z226" s="140"/>
      <c r="AA226" s="140"/>
      <c r="AB226" s="331"/>
      <c r="AC226" s="140"/>
      <c r="AD226" s="140"/>
      <c r="AE226" s="140"/>
      <c r="AF226" s="140"/>
      <c r="AG226" s="140"/>
    </row>
    <row r="227" spans="3:33" s="27" customFormat="1" ht="17.25" customHeight="1">
      <c r="C227" s="27" t="s">
        <v>21</v>
      </c>
      <c r="D227" s="28" t="s">
        <v>21</v>
      </c>
      <c r="E227" s="37" t="s">
        <v>21</v>
      </c>
      <c r="F227" s="27" t="s">
        <v>21</v>
      </c>
      <c r="G227" s="29" t="s">
        <v>21</v>
      </c>
      <c r="K227" s="117"/>
      <c r="V227" s="140"/>
      <c r="W227" s="140"/>
      <c r="X227" s="140"/>
      <c r="Y227" s="140"/>
      <c r="Z227" s="140"/>
      <c r="AA227" s="140"/>
      <c r="AB227" s="331"/>
      <c r="AC227" s="140"/>
      <c r="AD227" s="140"/>
      <c r="AE227" s="140"/>
      <c r="AF227" s="140"/>
      <c r="AG227" s="140"/>
    </row>
    <row r="228" spans="3:33" s="27" customFormat="1" ht="17.25" customHeight="1">
      <c r="K228" s="117"/>
      <c r="V228" s="140"/>
      <c r="W228" s="140"/>
      <c r="X228" s="140"/>
      <c r="Y228" s="140"/>
      <c r="Z228" s="140"/>
      <c r="AA228" s="140"/>
      <c r="AB228" s="331"/>
      <c r="AC228" s="140"/>
      <c r="AD228" s="140"/>
      <c r="AE228" s="140"/>
      <c r="AF228" s="140"/>
      <c r="AG228" s="140"/>
    </row>
    <row r="229" spans="3:33" s="27" customFormat="1" ht="17.25" customHeight="1">
      <c r="K229" s="117"/>
      <c r="V229" s="140"/>
      <c r="W229" s="140"/>
      <c r="X229" s="140"/>
      <c r="Y229" s="140"/>
      <c r="Z229" s="140"/>
      <c r="AA229" s="140"/>
      <c r="AB229" s="331"/>
      <c r="AC229" s="140"/>
      <c r="AD229" s="140"/>
      <c r="AE229" s="140"/>
      <c r="AF229" s="140"/>
      <c r="AG229" s="140"/>
    </row>
    <row r="230" spans="3:33" s="27" customFormat="1" ht="17.25" customHeight="1">
      <c r="K230" s="117"/>
      <c r="V230" s="140"/>
      <c r="W230" s="140"/>
      <c r="X230" s="140"/>
      <c r="Y230" s="140"/>
      <c r="Z230" s="140"/>
      <c r="AA230" s="140"/>
      <c r="AB230" s="331"/>
      <c r="AC230" s="140"/>
      <c r="AD230" s="140"/>
      <c r="AE230" s="140"/>
      <c r="AF230" s="140"/>
      <c r="AG230" s="140"/>
    </row>
    <row r="231" spans="3:33" s="27" customFormat="1" ht="17.25" customHeight="1">
      <c r="K231" s="117"/>
      <c r="V231" s="140"/>
      <c r="W231" s="140"/>
      <c r="X231" s="140"/>
      <c r="Y231" s="140"/>
      <c r="Z231" s="140"/>
      <c r="AA231" s="140"/>
      <c r="AB231" s="331"/>
      <c r="AC231" s="140"/>
      <c r="AD231" s="140"/>
      <c r="AE231" s="140"/>
      <c r="AF231" s="140"/>
      <c r="AG231" s="140"/>
    </row>
    <row r="232" spans="3:33" s="27" customFormat="1" ht="17.25" customHeight="1">
      <c r="K232" s="117"/>
      <c r="V232" s="140"/>
      <c r="W232" s="140"/>
      <c r="X232" s="140"/>
      <c r="Y232" s="140"/>
      <c r="Z232" s="140"/>
      <c r="AA232" s="140"/>
      <c r="AB232" s="331"/>
      <c r="AC232" s="140"/>
      <c r="AD232" s="140"/>
      <c r="AE232" s="140"/>
      <c r="AF232" s="140"/>
      <c r="AG232" s="140"/>
    </row>
    <row r="233" spans="3:33" s="27" customFormat="1" ht="17.25" customHeight="1">
      <c r="K233" s="117"/>
      <c r="V233" s="140"/>
      <c r="W233" s="140"/>
      <c r="X233" s="140"/>
      <c r="Y233" s="140"/>
      <c r="Z233" s="140"/>
      <c r="AA233" s="140"/>
      <c r="AB233" s="331"/>
      <c r="AC233" s="140"/>
      <c r="AD233" s="140"/>
      <c r="AE233" s="140"/>
      <c r="AF233" s="140"/>
      <c r="AG233" s="140"/>
    </row>
    <row r="234" spans="3:33" s="27" customFormat="1" ht="17.25" customHeight="1">
      <c r="K234" s="117"/>
      <c r="V234" s="140"/>
      <c r="W234" s="140"/>
      <c r="X234" s="140"/>
      <c r="Y234" s="140"/>
      <c r="Z234" s="140"/>
      <c r="AA234" s="140"/>
      <c r="AB234" s="331"/>
      <c r="AC234" s="140"/>
      <c r="AD234" s="140"/>
      <c r="AE234" s="140"/>
      <c r="AF234" s="140"/>
      <c r="AG234" s="140"/>
    </row>
    <row r="235" spans="3:33" s="27" customFormat="1" ht="17.25" customHeight="1">
      <c r="K235" s="117"/>
      <c r="V235" s="140"/>
      <c r="W235" s="140"/>
      <c r="X235" s="140"/>
      <c r="Y235" s="140"/>
      <c r="Z235" s="140"/>
      <c r="AA235" s="140"/>
      <c r="AB235" s="331"/>
      <c r="AC235" s="140"/>
      <c r="AD235" s="140"/>
      <c r="AE235" s="140"/>
      <c r="AF235" s="140"/>
      <c r="AG235" s="140"/>
    </row>
    <row r="236" spans="3:33" s="27" customFormat="1" ht="17.25" customHeight="1">
      <c r="K236" s="117"/>
      <c r="V236" s="140"/>
      <c r="W236" s="140"/>
      <c r="X236" s="140"/>
      <c r="Y236" s="140"/>
      <c r="Z236" s="140"/>
      <c r="AA236" s="140"/>
      <c r="AB236" s="331"/>
      <c r="AC236" s="140"/>
      <c r="AD236" s="140"/>
      <c r="AE236" s="140"/>
      <c r="AF236" s="140"/>
      <c r="AG236" s="140"/>
    </row>
    <row r="237" spans="3:33" s="27" customFormat="1" ht="17.25" customHeight="1">
      <c r="K237" s="117"/>
      <c r="V237" s="140"/>
      <c r="W237" s="140"/>
      <c r="X237" s="140"/>
      <c r="Y237" s="140"/>
      <c r="Z237" s="140"/>
      <c r="AA237" s="140"/>
      <c r="AB237" s="331"/>
      <c r="AC237" s="140"/>
      <c r="AD237" s="140"/>
      <c r="AE237" s="140"/>
      <c r="AF237" s="140"/>
      <c r="AG237" s="140"/>
    </row>
    <row r="238" spans="3:33" s="27" customFormat="1" ht="17.25" customHeight="1">
      <c r="K238" s="117"/>
      <c r="V238" s="140"/>
      <c r="W238" s="140"/>
      <c r="X238" s="140"/>
      <c r="Y238" s="140"/>
      <c r="Z238" s="140"/>
      <c r="AA238" s="140"/>
      <c r="AB238" s="331"/>
      <c r="AC238" s="140"/>
      <c r="AD238" s="140"/>
      <c r="AE238" s="140"/>
      <c r="AF238" s="140"/>
      <c r="AG238" s="140"/>
    </row>
    <row r="239" spans="3:33" s="27" customFormat="1" ht="17.25" customHeight="1">
      <c r="K239" s="117"/>
      <c r="V239" s="140"/>
      <c r="W239" s="140"/>
      <c r="X239" s="140"/>
      <c r="Y239" s="140"/>
      <c r="Z239" s="140"/>
      <c r="AA239" s="140"/>
      <c r="AB239" s="331"/>
      <c r="AC239" s="140"/>
      <c r="AD239" s="140"/>
      <c r="AE239" s="140"/>
      <c r="AF239" s="140"/>
      <c r="AG239" s="140"/>
    </row>
    <row r="240" spans="3:33" s="27" customFormat="1" ht="17.25" customHeight="1">
      <c r="K240" s="117"/>
      <c r="V240" s="140"/>
      <c r="W240" s="140"/>
      <c r="X240" s="140"/>
      <c r="Y240" s="140"/>
      <c r="Z240" s="140"/>
      <c r="AA240" s="140"/>
      <c r="AB240" s="331"/>
      <c r="AC240" s="140"/>
      <c r="AD240" s="140"/>
      <c r="AE240" s="140"/>
      <c r="AF240" s="140"/>
      <c r="AG240" s="140"/>
    </row>
    <row r="241" spans="11:33" s="27" customFormat="1" ht="17.25" customHeight="1">
      <c r="K241" s="117"/>
      <c r="V241" s="140"/>
      <c r="W241" s="140"/>
      <c r="X241" s="140"/>
      <c r="Y241" s="140"/>
      <c r="Z241" s="140"/>
      <c r="AA241" s="140"/>
      <c r="AB241" s="331"/>
      <c r="AC241" s="140"/>
      <c r="AD241" s="140"/>
      <c r="AE241" s="140"/>
      <c r="AF241" s="140"/>
      <c r="AG241" s="140"/>
    </row>
    <row r="242" spans="11:33" s="27" customFormat="1" ht="17.25" customHeight="1">
      <c r="K242" s="117"/>
      <c r="V242" s="140"/>
      <c r="W242" s="140"/>
      <c r="X242" s="140"/>
      <c r="Y242" s="140"/>
      <c r="Z242" s="140"/>
      <c r="AA242" s="140"/>
      <c r="AB242" s="331"/>
      <c r="AC242" s="140"/>
      <c r="AD242" s="140"/>
      <c r="AE242" s="140"/>
      <c r="AF242" s="140"/>
      <c r="AG242" s="140"/>
    </row>
    <row r="243" spans="11:33" s="27" customFormat="1" ht="17.25" customHeight="1">
      <c r="K243" s="117"/>
      <c r="V243" s="140"/>
      <c r="W243" s="140"/>
      <c r="X243" s="140"/>
      <c r="Y243" s="140"/>
      <c r="Z243" s="140"/>
      <c r="AA243" s="140"/>
      <c r="AB243" s="331"/>
      <c r="AC243" s="140"/>
      <c r="AD243" s="140"/>
      <c r="AE243" s="140"/>
      <c r="AF243" s="140"/>
      <c r="AG243" s="140"/>
    </row>
    <row r="244" spans="11:33" s="27" customFormat="1" ht="17.25" customHeight="1">
      <c r="K244" s="117"/>
      <c r="V244" s="140"/>
      <c r="W244" s="140"/>
      <c r="X244" s="140"/>
      <c r="Y244" s="140"/>
      <c r="Z244" s="140"/>
      <c r="AA244" s="140"/>
      <c r="AB244" s="331"/>
      <c r="AC244" s="140"/>
      <c r="AD244" s="140"/>
      <c r="AE244" s="140"/>
      <c r="AF244" s="140"/>
      <c r="AG244" s="140"/>
    </row>
    <row r="245" spans="11:33" s="27" customFormat="1" ht="17.25" customHeight="1">
      <c r="K245" s="117"/>
      <c r="V245" s="140"/>
      <c r="W245" s="140"/>
      <c r="X245" s="140"/>
      <c r="Y245" s="140"/>
      <c r="Z245" s="140"/>
      <c r="AA245" s="140"/>
      <c r="AB245" s="331"/>
      <c r="AC245" s="140"/>
      <c r="AD245" s="140"/>
      <c r="AE245" s="140"/>
      <c r="AF245" s="140"/>
      <c r="AG245" s="140"/>
    </row>
    <row r="246" spans="11:33" s="27" customFormat="1" ht="17.25" customHeight="1">
      <c r="K246" s="117"/>
      <c r="V246" s="140"/>
      <c r="W246" s="140"/>
      <c r="X246" s="140"/>
      <c r="Y246" s="140"/>
      <c r="Z246" s="140"/>
      <c r="AA246" s="140"/>
      <c r="AB246" s="331"/>
      <c r="AC246" s="140"/>
      <c r="AD246" s="140"/>
      <c r="AE246" s="140"/>
      <c r="AF246" s="140"/>
      <c r="AG246" s="140"/>
    </row>
    <row r="247" spans="11:33" s="27" customFormat="1" ht="17.25" customHeight="1">
      <c r="K247" s="117"/>
      <c r="V247" s="140"/>
      <c r="W247" s="140"/>
      <c r="X247" s="140"/>
      <c r="Y247" s="140"/>
      <c r="Z247" s="140"/>
      <c r="AA247" s="140"/>
      <c r="AB247" s="331"/>
      <c r="AC247" s="140"/>
      <c r="AD247" s="140"/>
      <c r="AE247" s="140"/>
      <c r="AF247" s="140"/>
      <c r="AG247" s="140"/>
    </row>
    <row r="248" spans="11:33" s="27" customFormat="1" ht="17.25" customHeight="1">
      <c r="K248" s="117"/>
      <c r="V248" s="140"/>
      <c r="W248" s="140"/>
      <c r="X248" s="140"/>
      <c r="Y248" s="140"/>
      <c r="Z248" s="140"/>
      <c r="AA248" s="140"/>
      <c r="AB248" s="331"/>
      <c r="AC248" s="140"/>
      <c r="AD248" s="140"/>
      <c r="AE248" s="140"/>
      <c r="AF248" s="140"/>
      <c r="AG248" s="140"/>
    </row>
    <row r="249" spans="11:33" s="27" customFormat="1" ht="17.25" customHeight="1">
      <c r="K249" s="117"/>
      <c r="V249" s="140"/>
      <c r="W249" s="140"/>
      <c r="X249" s="140"/>
      <c r="Y249" s="140"/>
      <c r="Z249" s="140"/>
      <c r="AA249" s="140"/>
      <c r="AB249" s="331"/>
      <c r="AC249" s="140"/>
      <c r="AD249" s="140"/>
      <c r="AE249" s="140"/>
      <c r="AF249" s="140"/>
      <c r="AG249" s="140"/>
    </row>
    <row r="250" spans="11:33" s="27" customFormat="1" ht="17.25" customHeight="1">
      <c r="K250" s="117"/>
      <c r="V250" s="140"/>
      <c r="W250" s="140"/>
      <c r="X250" s="140"/>
      <c r="Y250" s="140"/>
      <c r="Z250" s="140"/>
      <c r="AA250" s="140"/>
      <c r="AB250" s="331"/>
      <c r="AC250" s="140"/>
      <c r="AD250" s="140"/>
      <c r="AE250" s="140"/>
      <c r="AF250" s="140"/>
      <c r="AG250" s="140"/>
    </row>
    <row r="251" spans="11:33" s="27" customFormat="1" ht="17.25" customHeight="1">
      <c r="K251" s="117"/>
      <c r="V251" s="140"/>
      <c r="W251" s="140"/>
      <c r="X251" s="140"/>
      <c r="Y251" s="140"/>
      <c r="Z251" s="140"/>
      <c r="AA251" s="140"/>
      <c r="AB251" s="331"/>
      <c r="AC251" s="140"/>
      <c r="AD251" s="140"/>
      <c r="AE251" s="140"/>
      <c r="AF251" s="140"/>
      <c r="AG251" s="140"/>
    </row>
    <row r="252" spans="11:33" s="27" customFormat="1" ht="17.25" customHeight="1">
      <c r="K252" s="117"/>
      <c r="V252" s="140"/>
      <c r="W252" s="140"/>
      <c r="X252" s="140"/>
      <c r="Y252" s="140"/>
      <c r="Z252" s="140"/>
      <c r="AA252" s="140"/>
      <c r="AB252" s="331"/>
      <c r="AC252" s="140"/>
      <c r="AD252" s="140"/>
      <c r="AE252" s="140"/>
      <c r="AF252" s="140"/>
      <c r="AG252" s="140"/>
    </row>
    <row r="253" spans="11:33" s="27" customFormat="1" ht="17.25" customHeight="1">
      <c r="K253" s="117"/>
      <c r="V253" s="140"/>
      <c r="W253" s="140"/>
      <c r="X253" s="140"/>
      <c r="Y253" s="140"/>
      <c r="Z253" s="140"/>
      <c r="AA253" s="140"/>
      <c r="AB253" s="331"/>
      <c r="AC253" s="140"/>
      <c r="AD253" s="140"/>
      <c r="AE253" s="140"/>
      <c r="AF253" s="140"/>
      <c r="AG253" s="140"/>
    </row>
    <row r="254" spans="11:33" s="27" customFormat="1" ht="17.25" customHeight="1">
      <c r="K254" s="117"/>
      <c r="V254" s="140"/>
      <c r="W254" s="140"/>
      <c r="X254" s="140"/>
      <c r="Y254" s="140"/>
      <c r="Z254" s="140"/>
      <c r="AA254" s="140"/>
      <c r="AB254" s="331"/>
      <c r="AC254" s="140"/>
      <c r="AD254" s="140"/>
      <c r="AE254" s="140"/>
      <c r="AF254" s="140"/>
      <c r="AG254" s="140"/>
    </row>
    <row r="255" spans="11:33" s="27" customFormat="1" ht="17.25" customHeight="1">
      <c r="K255" s="117"/>
      <c r="V255" s="140"/>
      <c r="W255" s="140"/>
      <c r="X255" s="140"/>
      <c r="Y255" s="140"/>
      <c r="Z255" s="140"/>
      <c r="AA255" s="140"/>
      <c r="AB255" s="331"/>
      <c r="AC255" s="140"/>
      <c r="AD255" s="140"/>
      <c r="AE255" s="140"/>
      <c r="AF255" s="140"/>
      <c r="AG255" s="140"/>
    </row>
    <row r="256" spans="11:33" s="27" customFormat="1" ht="17.25" customHeight="1">
      <c r="K256" s="117"/>
      <c r="V256" s="140"/>
      <c r="W256" s="140"/>
      <c r="X256" s="140"/>
      <c r="Y256" s="140"/>
      <c r="Z256" s="140"/>
      <c r="AA256" s="140"/>
      <c r="AB256" s="331"/>
      <c r="AC256" s="140"/>
      <c r="AD256" s="140"/>
      <c r="AE256" s="140"/>
      <c r="AF256" s="140"/>
      <c r="AG256" s="140"/>
    </row>
    <row r="257" spans="11:33" s="27" customFormat="1" ht="17.25" customHeight="1">
      <c r="K257" s="117"/>
      <c r="V257" s="140"/>
      <c r="W257" s="140"/>
      <c r="X257" s="140"/>
      <c r="Y257" s="140"/>
      <c r="Z257" s="140"/>
      <c r="AA257" s="140"/>
      <c r="AB257" s="331"/>
      <c r="AC257" s="140"/>
      <c r="AD257" s="140"/>
      <c r="AE257" s="140"/>
      <c r="AF257" s="140"/>
      <c r="AG257" s="140"/>
    </row>
    <row r="258" spans="11:33" s="27" customFormat="1" ht="17.25" customHeight="1">
      <c r="K258" s="117"/>
      <c r="V258" s="140"/>
      <c r="W258" s="140"/>
      <c r="X258" s="140"/>
      <c r="Y258" s="140"/>
      <c r="Z258" s="140"/>
      <c r="AA258" s="140"/>
      <c r="AB258" s="331"/>
      <c r="AC258" s="140"/>
      <c r="AD258" s="140"/>
      <c r="AE258" s="140"/>
      <c r="AF258" s="140"/>
      <c r="AG258" s="140"/>
    </row>
    <row r="259" spans="11:33" s="27" customFormat="1" ht="17.25" customHeight="1">
      <c r="K259" s="117"/>
      <c r="V259" s="140"/>
      <c r="W259" s="140"/>
      <c r="X259" s="140"/>
      <c r="Y259" s="140"/>
      <c r="Z259" s="140"/>
      <c r="AA259" s="140"/>
      <c r="AB259" s="331"/>
      <c r="AC259" s="140"/>
      <c r="AD259" s="140"/>
      <c r="AE259" s="140"/>
      <c r="AF259" s="140"/>
      <c r="AG259" s="140"/>
    </row>
    <row r="260" spans="11:33" s="27" customFormat="1" ht="17.25" customHeight="1">
      <c r="K260" s="117"/>
      <c r="V260" s="140"/>
      <c r="W260" s="140"/>
      <c r="X260" s="140"/>
      <c r="Y260" s="140"/>
      <c r="Z260" s="140"/>
      <c r="AA260" s="140"/>
      <c r="AB260" s="331"/>
      <c r="AC260" s="140"/>
      <c r="AD260" s="140"/>
      <c r="AE260" s="140"/>
      <c r="AF260" s="140"/>
      <c r="AG260" s="140"/>
    </row>
    <row r="261" spans="11:33" s="27" customFormat="1" ht="17.25" customHeight="1">
      <c r="K261" s="117"/>
      <c r="V261" s="140"/>
      <c r="W261" s="140"/>
      <c r="X261" s="140"/>
      <c r="Y261" s="140"/>
      <c r="Z261" s="140"/>
      <c r="AA261" s="140"/>
      <c r="AB261" s="331"/>
      <c r="AC261" s="140"/>
      <c r="AD261" s="140"/>
      <c r="AE261" s="140"/>
      <c r="AF261" s="140"/>
      <c r="AG261" s="140"/>
    </row>
    <row r="262" spans="11:33" s="27" customFormat="1" ht="17.25" customHeight="1">
      <c r="K262" s="117"/>
      <c r="V262" s="140"/>
      <c r="W262" s="140"/>
      <c r="X262" s="140"/>
      <c r="Y262" s="140"/>
      <c r="Z262" s="140"/>
      <c r="AA262" s="140"/>
      <c r="AB262" s="331"/>
      <c r="AC262" s="140"/>
      <c r="AD262" s="140"/>
      <c r="AE262" s="140"/>
      <c r="AF262" s="140"/>
      <c r="AG262" s="140"/>
    </row>
    <row r="263" spans="11:33" s="27" customFormat="1" ht="17.25" customHeight="1">
      <c r="K263" s="117"/>
      <c r="V263" s="140"/>
      <c r="W263" s="140"/>
      <c r="X263" s="140"/>
      <c r="Y263" s="140"/>
      <c r="Z263" s="140"/>
      <c r="AA263" s="140"/>
      <c r="AB263" s="331"/>
      <c r="AC263" s="140"/>
      <c r="AD263" s="140"/>
      <c r="AE263" s="140"/>
      <c r="AF263" s="140"/>
      <c r="AG263" s="140"/>
    </row>
    <row r="264" spans="11:33" s="27" customFormat="1" ht="17.25" customHeight="1">
      <c r="K264" s="117"/>
      <c r="V264" s="140"/>
      <c r="W264" s="140"/>
      <c r="X264" s="140"/>
      <c r="Y264" s="140"/>
      <c r="Z264" s="140"/>
      <c r="AA264" s="140"/>
      <c r="AB264" s="331"/>
      <c r="AC264" s="140"/>
      <c r="AD264" s="140"/>
      <c r="AE264" s="140"/>
      <c r="AF264" s="140"/>
      <c r="AG264" s="140"/>
    </row>
    <row r="265" spans="11:33" s="27" customFormat="1" ht="17.25" customHeight="1">
      <c r="K265" s="117"/>
      <c r="V265" s="140"/>
      <c r="W265" s="140"/>
      <c r="X265" s="140"/>
      <c r="Y265" s="140"/>
      <c r="Z265" s="140"/>
      <c r="AA265" s="140"/>
      <c r="AB265" s="331"/>
      <c r="AC265" s="140"/>
      <c r="AD265" s="140"/>
      <c r="AE265" s="140"/>
      <c r="AF265" s="140"/>
      <c r="AG265" s="140"/>
    </row>
    <row r="266" spans="11:33" s="27" customFormat="1" ht="17.25" customHeight="1">
      <c r="K266" s="117"/>
      <c r="V266" s="140"/>
      <c r="W266" s="140"/>
      <c r="X266" s="140"/>
      <c r="Y266" s="140"/>
      <c r="Z266" s="140"/>
      <c r="AA266" s="140"/>
      <c r="AB266" s="331"/>
      <c r="AC266" s="140"/>
      <c r="AD266" s="140"/>
      <c r="AE266" s="140"/>
      <c r="AF266" s="140"/>
      <c r="AG266" s="140"/>
    </row>
    <row r="267" spans="11:33" s="27" customFormat="1" ht="17.25" customHeight="1">
      <c r="K267" s="117"/>
      <c r="V267" s="140"/>
      <c r="W267" s="140"/>
      <c r="X267" s="140"/>
      <c r="Y267" s="140"/>
      <c r="Z267" s="140"/>
      <c r="AA267" s="140"/>
      <c r="AB267" s="331"/>
      <c r="AC267" s="140"/>
      <c r="AD267" s="140"/>
      <c r="AE267" s="140"/>
      <c r="AF267" s="140"/>
      <c r="AG267" s="140"/>
    </row>
    <row r="268" spans="11:33" s="27" customFormat="1" ht="17.25" customHeight="1">
      <c r="K268" s="117"/>
      <c r="V268" s="140"/>
      <c r="W268" s="140"/>
      <c r="X268" s="140"/>
      <c r="Y268" s="140"/>
      <c r="Z268" s="140"/>
      <c r="AA268" s="140"/>
      <c r="AB268" s="331"/>
      <c r="AC268" s="140"/>
      <c r="AD268" s="140"/>
      <c r="AE268" s="140"/>
      <c r="AF268" s="140"/>
      <c r="AG268" s="140"/>
    </row>
    <row r="269" spans="11:33" s="27" customFormat="1" ht="17.25" customHeight="1">
      <c r="K269" s="117"/>
      <c r="V269" s="140"/>
      <c r="W269" s="140"/>
      <c r="X269" s="140"/>
      <c r="Y269" s="140"/>
      <c r="Z269" s="140"/>
      <c r="AA269" s="140"/>
      <c r="AB269" s="331"/>
      <c r="AC269" s="140"/>
      <c r="AD269" s="140"/>
      <c r="AE269" s="140"/>
      <c r="AF269" s="140"/>
      <c r="AG269" s="140"/>
    </row>
    <row r="270" spans="11:33" s="27" customFormat="1" ht="17.25" customHeight="1">
      <c r="K270" s="117"/>
      <c r="V270" s="140"/>
      <c r="W270" s="140"/>
      <c r="X270" s="140"/>
      <c r="Y270" s="140"/>
      <c r="Z270" s="140"/>
      <c r="AA270" s="140"/>
      <c r="AB270" s="331"/>
      <c r="AC270" s="140"/>
      <c r="AD270" s="140"/>
      <c r="AE270" s="140"/>
      <c r="AF270" s="140"/>
      <c r="AG270" s="140"/>
    </row>
    <row r="271" spans="11:33" s="27" customFormat="1" ht="17.25" customHeight="1">
      <c r="K271" s="117"/>
      <c r="V271" s="140"/>
      <c r="W271" s="140"/>
      <c r="X271" s="140"/>
      <c r="Y271" s="140"/>
      <c r="Z271" s="140"/>
      <c r="AA271" s="140"/>
      <c r="AB271" s="331"/>
      <c r="AC271" s="140"/>
      <c r="AD271" s="140"/>
      <c r="AE271" s="140"/>
      <c r="AF271" s="140"/>
      <c r="AG271" s="140"/>
    </row>
    <row r="272" spans="11:33" s="27" customFormat="1" ht="17.25" customHeight="1">
      <c r="K272" s="117"/>
      <c r="V272" s="140"/>
      <c r="W272" s="140"/>
      <c r="X272" s="140"/>
      <c r="Y272" s="140"/>
      <c r="Z272" s="140"/>
      <c r="AA272" s="140"/>
      <c r="AB272" s="331"/>
      <c r="AC272" s="140"/>
      <c r="AD272" s="140"/>
      <c r="AE272" s="140"/>
      <c r="AF272" s="140"/>
      <c r="AG272" s="140"/>
    </row>
    <row r="273" spans="11:33" s="27" customFormat="1" ht="17.25" customHeight="1">
      <c r="K273" s="117"/>
      <c r="V273" s="140"/>
      <c r="W273" s="140"/>
      <c r="X273" s="140"/>
      <c r="Y273" s="140"/>
      <c r="Z273" s="140"/>
      <c r="AA273" s="140"/>
      <c r="AB273" s="331"/>
      <c r="AC273" s="140"/>
      <c r="AD273" s="140"/>
      <c r="AE273" s="140"/>
      <c r="AF273" s="140"/>
      <c r="AG273" s="140"/>
    </row>
    <row r="274" spans="11:33" s="27" customFormat="1" ht="17.25" customHeight="1">
      <c r="K274" s="117"/>
      <c r="V274" s="140"/>
      <c r="W274" s="140"/>
      <c r="X274" s="140"/>
      <c r="Y274" s="140"/>
      <c r="Z274" s="140"/>
      <c r="AA274" s="140"/>
      <c r="AB274" s="331"/>
      <c r="AC274" s="140"/>
      <c r="AD274" s="140"/>
      <c r="AE274" s="140"/>
      <c r="AF274" s="140"/>
      <c r="AG274" s="140"/>
    </row>
    <row r="275" spans="11:33" s="27" customFormat="1" ht="17.25" customHeight="1">
      <c r="K275" s="117"/>
      <c r="V275" s="140"/>
      <c r="W275" s="140"/>
      <c r="X275" s="140"/>
      <c r="Y275" s="140"/>
      <c r="Z275" s="140"/>
      <c r="AA275" s="140"/>
      <c r="AB275" s="331"/>
      <c r="AC275" s="140"/>
      <c r="AD275" s="140"/>
      <c r="AE275" s="140"/>
      <c r="AF275" s="140"/>
      <c r="AG275" s="140"/>
    </row>
    <row r="276" spans="11:33" s="27" customFormat="1" ht="17.25" customHeight="1">
      <c r="K276" s="117"/>
      <c r="V276" s="140"/>
      <c r="W276" s="140"/>
      <c r="X276" s="140"/>
      <c r="Y276" s="140"/>
      <c r="Z276" s="140"/>
      <c r="AA276" s="140"/>
      <c r="AB276" s="331"/>
      <c r="AC276" s="140"/>
      <c r="AD276" s="140"/>
      <c r="AE276" s="140"/>
      <c r="AF276" s="140"/>
      <c r="AG276" s="140"/>
    </row>
    <row r="277" spans="11:33" s="27" customFormat="1" ht="17.25" customHeight="1">
      <c r="K277" s="117"/>
      <c r="V277" s="140"/>
      <c r="W277" s="140"/>
      <c r="X277" s="140"/>
      <c r="Y277" s="140"/>
      <c r="Z277" s="140"/>
      <c r="AA277" s="140"/>
      <c r="AB277" s="331"/>
      <c r="AC277" s="140"/>
      <c r="AD277" s="140"/>
      <c r="AE277" s="140"/>
      <c r="AF277" s="140"/>
      <c r="AG277" s="140"/>
    </row>
    <row r="278" spans="11:33" s="27" customFormat="1" ht="17.25" customHeight="1">
      <c r="K278" s="117"/>
      <c r="V278" s="140"/>
      <c r="W278" s="140"/>
      <c r="X278" s="140"/>
      <c r="Y278" s="140"/>
      <c r="Z278" s="140"/>
      <c r="AA278" s="140"/>
      <c r="AB278" s="331"/>
      <c r="AC278" s="140"/>
      <c r="AD278" s="140"/>
      <c r="AE278" s="140"/>
      <c r="AF278" s="140"/>
      <c r="AG278" s="140"/>
    </row>
    <row r="279" spans="11:33" s="27" customFormat="1" ht="17.25" customHeight="1">
      <c r="K279" s="117"/>
      <c r="V279" s="140"/>
      <c r="W279" s="140"/>
      <c r="X279" s="140"/>
      <c r="Y279" s="140"/>
      <c r="Z279" s="140"/>
      <c r="AA279" s="140"/>
      <c r="AB279" s="331"/>
      <c r="AC279" s="140"/>
      <c r="AD279" s="140"/>
      <c r="AE279" s="140"/>
      <c r="AF279" s="140"/>
      <c r="AG279" s="140"/>
    </row>
    <row r="280" spans="11:33" s="27" customFormat="1" ht="17.25" customHeight="1">
      <c r="K280" s="117"/>
      <c r="V280" s="140"/>
      <c r="W280" s="140"/>
      <c r="X280" s="140"/>
      <c r="Y280" s="140"/>
      <c r="Z280" s="140"/>
      <c r="AA280" s="140"/>
      <c r="AB280" s="331"/>
      <c r="AC280" s="140"/>
      <c r="AD280" s="140"/>
      <c r="AE280" s="140"/>
      <c r="AF280" s="140"/>
      <c r="AG280" s="140"/>
    </row>
    <row r="281" spans="11:33" s="27" customFormat="1" ht="17.25" customHeight="1">
      <c r="K281" s="117"/>
      <c r="V281" s="140"/>
      <c r="W281" s="140"/>
      <c r="X281" s="140"/>
      <c r="Y281" s="140"/>
      <c r="Z281" s="140"/>
      <c r="AA281" s="140"/>
      <c r="AB281" s="331"/>
      <c r="AC281" s="140"/>
      <c r="AD281" s="140"/>
      <c r="AE281" s="140"/>
      <c r="AF281" s="140"/>
      <c r="AG281" s="140"/>
    </row>
    <row r="282" spans="11:33" s="27" customFormat="1" ht="17.25" customHeight="1">
      <c r="K282" s="117"/>
      <c r="V282" s="140"/>
      <c r="W282" s="140"/>
      <c r="X282" s="140"/>
      <c r="Y282" s="140"/>
      <c r="Z282" s="140"/>
      <c r="AA282" s="140"/>
      <c r="AB282" s="331"/>
      <c r="AC282" s="140"/>
      <c r="AD282" s="140"/>
      <c r="AE282" s="140"/>
      <c r="AF282" s="140"/>
      <c r="AG282" s="140"/>
    </row>
    <row r="283" spans="11:33" s="27" customFormat="1" ht="17.25" customHeight="1">
      <c r="K283" s="117"/>
      <c r="V283" s="140"/>
      <c r="W283" s="140"/>
      <c r="X283" s="140"/>
      <c r="Y283" s="140"/>
      <c r="Z283" s="140"/>
      <c r="AA283" s="140"/>
      <c r="AB283" s="331"/>
      <c r="AC283" s="140"/>
      <c r="AD283" s="140"/>
      <c r="AE283" s="140"/>
      <c r="AF283" s="140"/>
      <c r="AG283" s="140"/>
    </row>
    <row r="284" spans="11:33" s="27" customFormat="1" ht="17.25" customHeight="1">
      <c r="K284" s="117"/>
      <c r="V284" s="140"/>
      <c r="W284" s="140"/>
      <c r="X284" s="140"/>
      <c r="Y284" s="140"/>
      <c r="Z284" s="140"/>
      <c r="AA284" s="140"/>
      <c r="AB284" s="331"/>
      <c r="AC284" s="140"/>
      <c r="AD284" s="140"/>
      <c r="AE284" s="140"/>
      <c r="AF284" s="140"/>
      <c r="AG284" s="140"/>
    </row>
    <row r="285" spans="11:33" s="27" customFormat="1" ht="17.25" customHeight="1">
      <c r="K285" s="117"/>
      <c r="V285" s="140"/>
      <c r="W285" s="140"/>
      <c r="X285" s="140"/>
      <c r="Y285" s="140"/>
      <c r="Z285" s="140"/>
      <c r="AA285" s="140"/>
      <c r="AB285" s="331"/>
      <c r="AC285" s="140"/>
      <c r="AD285" s="140"/>
      <c r="AE285" s="140"/>
      <c r="AF285" s="140"/>
      <c r="AG285" s="140"/>
    </row>
    <row r="286" spans="11:33" s="27" customFormat="1" ht="17.25" customHeight="1">
      <c r="K286" s="117"/>
      <c r="V286" s="140"/>
      <c r="W286" s="140"/>
      <c r="X286" s="140"/>
      <c r="Y286" s="140"/>
      <c r="Z286" s="140"/>
      <c r="AA286" s="140"/>
      <c r="AB286" s="331"/>
      <c r="AC286" s="140"/>
      <c r="AD286" s="140"/>
      <c r="AE286" s="140"/>
      <c r="AF286" s="140"/>
      <c r="AG286" s="140"/>
    </row>
    <row r="287" spans="11:33" s="27" customFormat="1" ht="17.25" customHeight="1">
      <c r="K287" s="117"/>
      <c r="V287" s="140"/>
      <c r="W287" s="140"/>
      <c r="X287" s="140"/>
      <c r="Y287" s="140"/>
      <c r="Z287" s="140"/>
      <c r="AA287" s="140"/>
      <c r="AB287" s="331"/>
      <c r="AC287" s="140"/>
      <c r="AD287" s="140"/>
      <c r="AE287" s="140"/>
      <c r="AF287" s="140"/>
      <c r="AG287" s="140"/>
    </row>
    <row r="288" spans="11:33" s="27" customFormat="1" ht="17.25" customHeight="1">
      <c r="K288" s="117"/>
      <c r="V288" s="140"/>
      <c r="W288" s="140"/>
      <c r="X288" s="140"/>
      <c r="Y288" s="140"/>
      <c r="Z288" s="140"/>
      <c r="AA288" s="140"/>
      <c r="AB288" s="331"/>
      <c r="AC288" s="140"/>
      <c r="AD288" s="140"/>
      <c r="AE288" s="140"/>
      <c r="AF288" s="140"/>
      <c r="AG288" s="140"/>
    </row>
    <row r="289" spans="11:33" s="27" customFormat="1" ht="17.25" customHeight="1">
      <c r="K289" s="117"/>
      <c r="V289" s="140"/>
      <c r="W289" s="140"/>
      <c r="X289" s="140"/>
      <c r="Y289" s="140"/>
      <c r="Z289" s="140"/>
      <c r="AA289" s="140"/>
      <c r="AB289" s="331"/>
      <c r="AC289" s="140"/>
      <c r="AD289" s="140"/>
      <c r="AE289" s="140"/>
      <c r="AF289" s="140"/>
      <c r="AG289" s="140"/>
    </row>
    <row r="290" spans="11:33" s="27" customFormat="1" ht="17.25" customHeight="1">
      <c r="K290" s="117"/>
      <c r="V290" s="140"/>
      <c r="W290" s="140"/>
      <c r="X290" s="140"/>
      <c r="Y290" s="140"/>
      <c r="Z290" s="140"/>
      <c r="AA290" s="140"/>
      <c r="AB290" s="331"/>
      <c r="AC290" s="140"/>
      <c r="AD290" s="140"/>
      <c r="AE290" s="140"/>
      <c r="AF290" s="140"/>
      <c r="AG290" s="140"/>
    </row>
    <row r="291" spans="11:33" s="27" customFormat="1" ht="17.25" customHeight="1">
      <c r="K291" s="117"/>
      <c r="V291" s="140"/>
      <c r="W291" s="140"/>
      <c r="X291" s="140"/>
      <c r="Y291" s="140"/>
      <c r="Z291" s="140"/>
      <c r="AA291" s="140"/>
      <c r="AB291" s="331"/>
      <c r="AC291" s="140"/>
      <c r="AD291" s="140"/>
      <c r="AE291" s="140"/>
      <c r="AF291" s="140"/>
      <c r="AG291" s="140"/>
    </row>
    <row r="292" spans="11:33" s="27" customFormat="1" ht="17.25" customHeight="1">
      <c r="K292" s="117"/>
      <c r="V292" s="140"/>
      <c r="W292" s="140"/>
      <c r="X292" s="140"/>
      <c r="Y292" s="140"/>
      <c r="Z292" s="140"/>
      <c r="AA292" s="140"/>
      <c r="AB292" s="331"/>
      <c r="AC292" s="140"/>
      <c r="AD292" s="140"/>
      <c r="AE292" s="140"/>
      <c r="AF292" s="140"/>
      <c r="AG292" s="140"/>
    </row>
    <row r="293" spans="11:33" s="27" customFormat="1" ht="17.25" customHeight="1">
      <c r="K293" s="117"/>
      <c r="V293" s="140"/>
      <c r="W293" s="140"/>
      <c r="X293" s="140"/>
      <c r="Y293" s="140"/>
      <c r="Z293" s="140"/>
      <c r="AA293" s="140"/>
      <c r="AB293" s="331"/>
      <c r="AC293" s="140"/>
      <c r="AD293" s="140"/>
      <c r="AE293" s="140"/>
      <c r="AF293" s="140"/>
      <c r="AG293" s="140"/>
    </row>
    <row r="294" spans="11:33" s="27" customFormat="1" ht="17.25" customHeight="1">
      <c r="K294" s="117"/>
      <c r="V294" s="140"/>
      <c r="W294" s="140"/>
      <c r="X294" s="140"/>
      <c r="Y294" s="140"/>
      <c r="Z294" s="140"/>
      <c r="AA294" s="140"/>
      <c r="AB294" s="331"/>
      <c r="AC294" s="140"/>
      <c r="AD294" s="140"/>
      <c r="AE294" s="140"/>
      <c r="AF294" s="140"/>
      <c r="AG294" s="140"/>
    </row>
    <row r="295" spans="11:33" s="27" customFormat="1" ht="17.25" customHeight="1">
      <c r="K295" s="117"/>
      <c r="V295" s="140"/>
      <c r="W295" s="140"/>
      <c r="X295" s="140"/>
      <c r="Y295" s="140"/>
      <c r="Z295" s="140"/>
      <c r="AA295" s="140"/>
      <c r="AB295" s="331"/>
      <c r="AC295" s="140"/>
      <c r="AD295" s="140"/>
      <c r="AE295" s="140"/>
      <c r="AF295" s="140"/>
      <c r="AG295" s="140"/>
    </row>
    <row r="296" spans="11:33" s="27" customFormat="1" ht="17.25" customHeight="1">
      <c r="K296" s="117"/>
      <c r="V296" s="140"/>
      <c r="W296" s="140"/>
      <c r="X296" s="140"/>
      <c r="Y296" s="140"/>
      <c r="Z296" s="140"/>
      <c r="AA296" s="140"/>
      <c r="AB296" s="331"/>
      <c r="AC296" s="140"/>
      <c r="AD296" s="140"/>
      <c r="AE296" s="140"/>
      <c r="AF296" s="140"/>
      <c r="AG296" s="140"/>
    </row>
    <row r="297" spans="11:33" s="27" customFormat="1" ht="17.25" customHeight="1">
      <c r="K297" s="117"/>
      <c r="V297" s="140"/>
      <c r="W297" s="140"/>
      <c r="X297" s="140"/>
      <c r="Y297" s="140"/>
      <c r="Z297" s="140"/>
      <c r="AA297" s="140"/>
      <c r="AB297" s="331"/>
      <c r="AC297" s="140"/>
      <c r="AD297" s="140"/>
      <c r="AE297" s="140"/>
      <c r="AF297" s="140"/>
      <c r="AG297" s="140"/>
    </row>
    <row r="298" spans="11:33" s="27" customFormat="1" ht="17.25" customHeight="1">
      <c r="K298" s="117"/>
      <c r="V298" s="140"/>
      <c r="W298" s="140"/>
      <c r="X298" s="140"/>
      <c r="Y298" s="140"/>
      <c r="Z298" s="140"/>
      <c r="AA298" s="140"/>
      <c r="AB298" s="331"/>
      <c r="AC298" s="140"/>
      <c r="AD298" s="140"/>
      <c r="AE298" s="140"/>
      <c r="AF298" s="140"/>
      <c r="AG298" s="140"/>
    </row>
    <row r="299" spans="11:33" s="27" customFormat="1" ht="17.25" customHeight="1">
      <c r="K299" s="117"/>
      <c r="V299" s="140"/>
      <c r="W299" s="140"/>
      <c r="X299" s="140"/>
      <c r="Y299" s="140"/>
      <c r="Z299" s="140"/>
      <c r="AA299" s="140"/>
      <c r="AB299" s="331"/>
      <c r="AC299" s="140"/>
      <c r="AD299" s="140"/>
      <c r="AE299" s="140"/>
      <c r="AF299" s="140"/>
      <c r="AG299" s="140"/>
    </row>
    <row r="300" spans="11:33" s="27" customFormat="1" ht="17.25" customHeight="1">
      <c r="K300" s="117"/>
      <c r="V300" s="140"/>
      <c r="W300" s="140"/>
      <c r="X300" s="140"/>
      <c r="Y300" s="140"/>
      <c r="Z300" s="140"/>
      <c r="AA300" s="140"/>
      <c r="AB300" s="331"/>
      <c r="AC300" s="140"/>
      <c r="AD300" s="140"/>
      <c r="AE300" s="140"/>
      <c r="AF300" s="140"/>
      <c r="AG300" s="140"/>
    </row>
    <row r="301" spans="11:33" s="27" customFormat="1" ht="17.25" customHeight="1">
      <c r="K301" s="117"/>
      <c r="V301" s="140"/>
      <c r="W301" s="140"/>
      <c r="X301" s="140"/>
      <c r="Y301" s="140"/>
      <c r="Z301" s="140"/>
      <c r="AA301" s="140"/>
      <c r="AB301" s="331"/>
      <c r="AC301" s="140"/>
      <c r="AD301" s="140"/>
      <c r="AE301" s="140"/>
      <c r="AF301" s="140"/>
      <c r="AG301" s="140"/>
    </row>
    <row r="302" spans="11:33" s="27" customFormat="1" ht="17.25" customHeight="1">
      <c r="K302" s="117"/>
      <c r="V302" s="140"/>
      <c r="W302" s="140"/>
      <c r="X302" s="140"/>
      <c r="Y302" s="140"/>
      <c r="Z302" s="140"/>
      <c r="AA302" s="140"/>
      <c r="AB302" s="331"/>
      <c r="AC302" s="140"/>
      <c r="AD302" s="140"/>
      <c r="AE302" s="140"/>
      <c r="AF302" s="140"/>
      <c r="AG302" s="140"/>
    </row>
    <row r="303" spans="11:33" s="27" customFormat="1" ht="17.25" customHeight="1">
      <c r="K303" s="117"/>
      <c r="V303" s="140"/>
      <c r="W303" s="140"/>
      <c r="X303" s="140"/>
      <c r="Y303" s="140"/>
      <c r="Z303" s="140"/>
      <c r="AA303" s="140"/>
      <c r="AB303" s="331"/>
      <c r="AC303" s="140"/>
      <c r="AD303" s="140"/>
      <c r="AE303" s="140"/>
      <c r="AF303" s="140"/>
      <c r="AG303" s="140"/>
    </row>
    <row r="304" spans="11:33" s="27" customFormat="1" ht="17.25" customHeight="1">
      <c r="K304" s="117"/>
      <c r="V304" s="140"/>
      <c r="W304" s="140"/>
      <c r="X304" s="140"/>
      <c r="Y304" s="140"/>
      <c r="Z304" s="140"/>
      <c r="AA304" s="140"/>
      <c r="AB304" s="331"/>
      <c r="AC304" s="140"/>
      <c r="AD304" s="140"/>
      <c r="AE304" s="140"/>
      <c r="AF304" s="140"/>
      <c r="AG304" s="140"/>
    </row>
    <row r="305" spans="11:33" s="27" customFormat="1" ht="17.25" customHeight="1">
      <c r="K305" s="117"/>
      <c r="V305" s="140"/>
      <c r="W305" s="140"/>
      <c r="X305" s="140"/>
      <c r="Y305" s="140"/>
      <c r="Z305" s="140"/>
      <c r="AA305" s="140"/>
      <c r="AB305" s="331"/>
      <c r="AC305" s="140"/>
      <c r="AD305" s="140"/>
      <c r="AE305" s="140"/>
      <c r="AF305" s="140"/>
      <c r="AG305" s="140"/>
    </row>
    <row r="306" spans="11:33" s="27" customFormat="1" ht="17.25" customHeight="1">
      <c r="K306" s="117"/>
      <c r="V306" s="140"/>
      <c r="W306" s="140"/>
      <c r="X306" s="140"/>
      <c r="Y306" s="140"/>
      <c r="Z306" s="140"/>
      <c r="AA306" s="140"/>
      <c r="AB306" s="331"/>
      <c r="AC306" s="140"/>
      <c r="AD306" s="140"/>
      <c r="AE306" s="140"/>
      <c r="AF306" s="140"/>
      <c r="AG306" s="140"/>
    </row>
    <row r="307" spans="11:33" s="27" customFormat="1" ht="17.25" customHeight="1">
      <c r="K307" s="117"/>
      <c r="V307" s="140"/>
      <c r="W307" s="140"/>
      <c r="X307" s="140"/>
      <c r="Y307" s="140"/>
      <c r="Z307" s="140"/>
      <c r="AA307" s="140"/>
      <c r="AB307" s="331"/>
      <c r="AC307" s="140"/>
      <c r="AD307" s="140"/>
      <c r="AE307" s="140"/>
      <c r="AF307" s="140"/>
      <c r="AG307" s="140"/>
    </row>
    <row r="308" spans="11:33" s="27" customFormat="1" ht="17.25" customHeight="1">
      <c r="K308" s="117"/>
      <c r="V308" s="140"/>
      <c r="W308" s="140"/>
      <c r="X308" s="140"/>
      <c r="Y308" s="140"/>
      <c r="Z308" s="140"/>
      <c r="AA308" s="140"/>
      <c r="AB308" s="331"/>
      <c r="AC308" s="140"/>
      <c r="AD308" s="140"/>
      <c r="AE308" s="140"/>
      <c r="AF308" s="140"/>
      <c r="AG308" s="140"/>
    </row>
    <row r="309" spans="11:33" s="27" customFormat="1" ht="17.25" customHeight="1">
      <c r="K309" s="117"/>
      <c r="V309" s="140"/>
      <c r="W309" s="140"/>
      <c r="X309" s="140"/>
      <c r="Y309" s="140"/>
      <c r="Z309" s="140"/>
      <c r="AA309" s="140"/>
      <c r="AB309" s="331"/>
      <c r="AC309" s="140"/>
      <c r="AD309" s="140"/>
      <c r="AE309" s="140"/>
      <c r="AF309" s="140"/>
      <c r="AG309" s="140"/>
    </row>
    <row r="310" spans="11:33" s="27" customFormat="1" ht="17.25" customHeight="1">
      <c r="K310" s="117"/>
      <c r="V310" s="140"/>
      <c r="W310" s="140"/>
      <c r="X310" s="140"/>
      <c r="Y310" s="140"/>
      <c r="Z310" s="140"/>
      <c r="AA310" s="140"/>
      <c r="AB310" s="331"/>
      <c r="AC310" s="140"/>
      <c r="AD310" s="140"/>
      <c r="AE310" s="140"/>
      <c r="AF310" s="140"/>
      <c r="AG310" s="140"/>
    </row>
    <row r="311" spans="11:33" s="27" customFormat="1" ht="17.25" customHeight="1">
      <c r="K311" s="117"/>
      <c r="V311" s="140"/>
      <c r="W311" s="140"/>
      <c r="X311" s="140"/>
      <c r="Y311" s="140"/>
      <c r="Z311" s="140"/>
      <c r="AA311" s="140"/>
      <c r="AB311" s="331"/>
      <c r="AC311" s="140"/>
      <c r="AD311" s="140"/>
      <c r="AE311" s="140"/>
      <c r="AF311" s="140"/>
      <c r="AG311" s="140"/>
    </row>
    <row r="312" spans="11:33" s="27" customFormat="1" ht="17.25" customHeight="1">
      <c r="K312" s="117"/>
      <c r="V312" s="140"/>
      <c r="W312" s="140"/>
      <c r="X312" s="140"/>
      <c r="Y312" s="140"/>
      <c r="Z312" s="140"/>
      <c r="AA312" s="140"/>
      <c r="AB312" s="331"/>
      <c r="AC312" s="140"/>
      <c r="AD312" s="140"/>
      <c r="AE312" s="140"/>
      <c r="AF312" s="140"/>
      <c r="AG312" s="140"/>
    </row>
    <row r="313" spans="11:33" s="27" customFormat="1" ht="17.25" customHeight="1">
      <c r="K313" s="117"/>
      <c r="V313" s="140"/>
      <c r="W313" s="140"/>
      <c r="X313" s="140"/>
      <c r="Y313" s="140"/>
      <c r="Z313" s="140"/>
      <c r="AA313" s="140"/>
      <c r="AB313" s="331"/>
      <c r="AC313" s="140"/>
      <c r="AD313" s="140"/>
      <c r="AE313" s="140"/>
      <c r="AF313" s="140"/>
      <c r="AG313" s="140"/>
    </row>
    <row r="314" spans="11:33" s="27" customFormat="1" ht="17.25" customHeight="1">
      <c r="K314" s="117"/>
      <c r="V314" s="140"/>
      <c r="W314" s="140"/>
      <c r="X314" s="140"/>
      <c r="Y314" s="140"/>
      <c r="Z314" s="140"/>
      <c r="AA314" s="140"/>
      <c r="AB314" s="331"/>
      <c r="AC314" s="140"/>
      <c r="AD314" s="140"/>
      <c r="AE314" s="140"/>
      <c r="AF314" s="140"/>
      <c r="AG314" s="140"/>
    </row>
    <row r="315" spans="11:33" s="27" customFormat="1" ht="17.25" customHeight="1">
      <c r="K315" s="117"/>
      <c r="V315" s="140"/>
      <c r="W315" s="140"/>
      <c r="X315" s="140"/>
      <c r="Y315" s="140"/>
      <c r="Z315" s="140"/>
      <c r="AA315" s="140"/>
      <c r="AB315" s="331"/>
      <c r="AC315" s="140"/>
      <c r="AD315" s="140"/>
      <c r="AE315" s="140"/>
      <c r="AF315" s="140"/>
      <c r="AG315" s="140"/>
    </row>
    <row r="316" spans="11:33" s="27" customFormat="1" ht="17.25" customHeight="1">
      <c r="K316" s="117"/>
      <c r="V316" s="140"/>
      <c r="W316" s="140"/>
      <c r="X316" s="140"/>
      <c r="Y316" s="140"/>
      <c r="Z316" s="140"/>
      <c r="AA316" s="140"/>
      <c r="AB316" s="331"/>
      <c r="AC316" s="140"/>
      <c r="AD316" s="140"/>
      <c r="AE316" s="140"/>
      <c r="AF316" s="140"/>
      <c r="AG316" s="140"/>
    </row>
    <row r="317" spans="11:33" s="27" customFormat="1" ht="17.25" customHeight="1">
      <c r="K317" s="117"/>
      <c r="V317" s="140"/>
      <c r="W317" s="140"/>
      <c r="X317" s="140"/>
      <c r="Y317" s="140"/>
      <c r="Z317" s="140"/>
      <c r="AA317" s="140"/>
      <c r="AB317" s="331"/>
      <c r="AC317" s="140"/>
      <c r="AD317" s="140"/>
      <c r="AE317" s="140"/>
      <c r="AF317" s="140"/>
      <c r="AG317" s="140"/>
    </row>
    <row r="318" spans="11:33" s="27" customFormat="1" ht="17.25" customHeight="1">
      <c r="K318" s="117"/>
      <c r="V318" s="140"/>
      <c r="W318" s="140"/>
      <c r="X318" s="140"/>
      <c r="Y318" s="140"/>
      <c r="Z318" s="140"/>
      <c r="AA318" s="140"/>
      <c r="AB318" s="331"/>
      <c r="AC318" s="140"/>
      <c r="AD318" s="140"/>
      <c r="AE318" s="140"/>
      <c r="AF318" s="140"/>
      <c r="AG318" s="140"/>
    </row>
    <row r="319" spans="11:33" s="27" customFormat="1" ht="17.25" customHeight="1">
      <c r="K319" s="117"/>
      <c r="V319" s="140"/>
      <c r="W319" s="140"/>
      <c r="X319" s="140"/>
      <c r="Y319" s="140"/>
      <c r="Z319" s="140"/>
      <c r="AA319" s="140"/>
      <c r="AB319" s="331"/>
      <c r="AC319" s="140"/>
      <c r="AD319" s="140"/>
      <c r="AE319" s="140"/>
      <c r="AF319" s="140"/>
      <c r="AG319" s="140"/>
    </row>
    <row r="320" spans="11:33" s="27" customFormat="1" ht="17.25" customHeight="1">
      <c r="K320" s="117"/>
      <c r="V320" s="140"/>
      <c r="W320" s="140"/>
      <c r="X320" s="140"/>
      <c r="Y320" s="140"/>
      <c r="Z320" s="140"/>
      <c r="AA320" s="140"/>
      <c r="AB320" s="331"/>
      <c r="AC320" s="140"/>
      <c r="AD320" s="140"/>
      <c r="AE320" s="140"/>
      <c r="AF320" s="140"/>
      <c r="AG320" s="140"/>
    </row>
    <row r="321" spans="11:33" s="27" customFormat="1" ht="17.25" customHeight="1">
      <c r="K321" s="117"/>
      <c r="V321" s="140"/>
      <c r="W321" s="140"/>
      <c r="X321" s="140"/>
      <c r="Y321" s="140"/>
      <c r="Z321" s="140"/>
      <c r="AA321" s="140"/>
      <c r="AB321" s="331"/>
      <c r="AC321" s="140"/>
      <c r="AD321" s="140"/>
      <c r="AE321" s="140"/>
      <c r="AF321" s="140"/>
      <c r="AG321" s="140"/>
    </row>
    <row r="322" spans="11:33" s="27" customFormat="1" ht="17.25" customHeight="1">
      <c r="K322" s="117"/>
      <c r="V322" s="140"/>
      <c r="W322" s="140"/>
      <c r="X322" s="140"/>
      <c r="Y322" s="140"/>
      <c r="Z322" s="140"/>
      <c r="AA322" s="140"/>
      <c r="AB322" s="331"/>
      <c r="AC322" s="140"/>
      <c r="AD322" s="140"/>
      <c r="AE322" s="140"/>
      <c r="AF322" s="140"/>
      <c r="AG322" s="140"/>
    </row>
    <row r="323" spans="11:33" s="27" customFormat="1" ht="17.25" customHeight="1">
      <c r="K323" s="117"/>
      <c r="V323" s="140"/>
      <c r="W323" s="140"/>
      <c r="X323" s="140"/>
      <c r="Y323" s="140"/>
      <c r="Z323" s="140"/>
      <c r="AA323" s="140"/>
      <c r="AB323" s="331"/>
      <c r="AC323" s="140"/>
      <c r="AD323" s="140"/>
      <c r="AE323" s="140"/>
      <c r="AF323" s="140"/>
      <c r="AG323" s="140"/>
    </row>
    <row r="324" spans="11:33" s="27" customFormat="1" ht="17.25" customHeight="1">
      <c r="K324" s="117"/>
      <c r="V324" s="140"/>
      <c r="W324" s="140"/>
      <c r="X324" s="140"/>
      <c r="Y324" s="140"/>
      <c r="Z324" s="140"/>
      <c r="AA324" s="140"/>
      <c r="AB324" s="331"/>
      <c r="AC324" s="140"/>
      <c r="AD324" s="140"/>
      <c r="AE324" s="140"/>
      <c r="AF324" s="140"/>
      <c r="AG324" s="140"/>
    </row>
    <row r="325" spans="11:33" s="27" customFormat="1" ht="17.25" customHeight="1">
      <c r="K325" s="117"/>
      <c r="V325" s="140"/>
      <c r="W325" s="140"/>
      <c r="X325" s="140"/>
      <c r="Y325" s="140"/>
      <c r="Z325" s="140"/>
      <c r="AA325" s="140"/>
      <c r="AB325" s="331"/>
      <c r="AC325" s="140"/>
      <c r="AD325" s="140"/>
      <c r="AE325" s="140"/>
      <c r="AF325" s="140"/>
      <c r="AG325" s="140"/>
    </row>
    <row r="326" spans="11:33" s="27" customFormat="1" ht="17.25" customHeight="1">
      <c r="K326" s="117"/>
      <c r="V326" s="140"/>
      <c r="W326" s="140"/>
      <c r="X326" s="140"/>
      <c r="Y326" s="140"/>
      <c r="Z326" s="140"/>
      <c r="AA326" s="140"/>
      <c r="AB326" s="331"/>
      <c r="AC326" s="140"/>
      <c r="AD326" s="140"/>
      <c r="AE326" s="140"/>
      <c r="AF326" s="140"/>
      <c r="AG326" s="140"/>
    </row>
    <row r="327" spans="11:33" s="27" customFormat="1" ht="17.25" customHeight="1">
      <c r="K327" s="117"/>
      <c r="V327" s="140"/>
      <c r="W327" s="140"/>
      <c r="X327" s="140"/>
      <c r="Y327" s="140"/>
      <c r="Z327" s="140"/>
      <c r="AA327" s="140"/>
      <c r="AB327" s="331"/>
      <c r="AC327" s="140"/>
      <c r="AD327" s="140"/>
      <c r="AE327" s="140"/>
      <c r="AF327" s="140"/>
      <c r="AG327" s="140"/>
    </row>
    <row r="328" spans="11:33" s="27" customFormat="1" ht="17.25" customHeight="1">
      <c r="K328" s="117"/>
      <c r="V328" s="140"/>
      <c r="W328" s="140"/>
      <c r="X328" s="140"/>
      <c r="Y328" s="140"/>
      <c r="Z328" s="140"/>
      <c r="AA328" s="140"/>
      <c r="AB328" s="331"/>
      <c r="AC328" s="140"/>
      <c r="AD328" s="140"/>
      <c r="AE328" s="140"/>
      <c r="AF328" s="140"/>
      <c r="AG328" s="140"/>
    </row>
    <row r="329" spans="11:33" s="27" customFormat="1" ht="17.25" customHeight="1">
      <c r="K329" s="117"/>
      <c r="V329" s="140"/>
      <c r="W329" s="140"/>
      <c r="X329" s="140"/>
      <c r="Y329" s="140"/>
      <c r="Z329" s="140"/>
      <c r="AA329" s="140"/>
      <c r="AB329" s="331"/>
      <c r="AC329" s="140"/>
      <c r="AD329" s="140"/>
      <c r="AE329" s="140"/>
      <c r="AF329" s="140"/>
      <c r="AG329" s="140"/>
    </row>
    <row r="330" spans="11:33" s="27" customFormat="1" ht="17.25" customHeight="1">
      <c r="K330" s="117"/>
      <c r="V330" s="140"/>
      <c r="W330" s="140"/>
      <c r="X330" s="140"/>
      <c r="Y330" s="140"/>
      <c r="Z330" s="140"/>
      <c r="AA330" s="140"/>
      <c r="AB330" s="331"/>
      <c r="AC330" s="140"/>
      <c r="AD330" s="140"/>
      <c r="AE330" s="140"/>
      <c r="AF330" s="140"/>
      <c r="AG330" s="140"/>
    </row>
    <row r="331" spans="11:33" s="27" customFormat="1" ht="17.25" customHeight="1">
      <c r="K331" s="117"/>
      <c r="V331" s="140"/>
      <c r="W331" s="140"/>
      <c r="X331" s="140"/>
      <c r="Y331" s="140"/>
      <c r="Z331" s="140"/>
      <c r="AA331" s="140"/>
      <c r="AB331" s="331"/>
      <c r="AC331" s="140"/>
      <c r="AD331" s="140"/>
      <c r="AE331" s="140"/>
      <c r="AF331" s="140"/>
      <c r="AG331" s="140"/>
    </row>
    <row r="332" spans="11:33" s="27" customFormat="1" ht="17.25" customHeight="1">
      <c r="K332" s="117"/>
      <c r="V332" s="140"/>
      <c r="W332" s="140"/>
      <c r="X332" s="140"/>
      <c r="Y332" s="140"/>
      <c r="Z332" s="140"/>
      <c r="AA332" s="140"/>
      <c r="AB332" s="331"/>
      <c r="AC332" s="140"/>
      <c r="AD332" s="140"/>
      <c r="AE332" s="140"/>
      <c r="AF332" s="140"/>
      <c r="AG332" s="140"/>
    </row>
    <row r="333" spans="11:33" s="27" customFormat="1" ht="17.25" customHeight="1">
      <c r="K333" s="117"/>
      <c r="V333" s="140"/>
      <c r="W333" s="140"/>
      <c r="X333" s="140"/>
      <c r="Y333" s="140"/>
      <c r="Z333" s="140"/>
      <c r="AA333" s="140"/>
      <c r="AB333" s="331"/>
      <c r="AC333" s="140"/>
      <c r="AD333" s="140"/>
      <c r="AE333" s="140"/>
      <c r="AF333" s="140"/>
      <c r="AG333" s="140"/>
    </row>
    <row r="334" spans="11:33" s="27" customFormat="1" ht="17.25" customHeight="1">
      <c r="K334" s="117"/>
      <c r="V334" s="140"/>
      <c r="W334" s="140"/>
      <c r="X334" s="140"/>
      <c r="Y334" s="140"/>
      <c r="Z334" s="140"/>
      <c r="AA334" s="140"/>
      <c r="AB334" s="331"/>
      <c r="AC334" s="140"/>
      <c r="AD334" s="140"/>
      <c r="AE334" s="140"/>
      <c r="AF334" s="140"/>
      <c r="AG334" s="140"/>
    </row>
    <row r="335" spans="11:33" s="27" customFormat="1" ht="17.25" customHeight="1">
      <c r="K335" s="117"/>
      <c r="V335" s="140"/>
      <c r="W335" s="140"/>
      <c r="X335" s="140"/>
      <c r="Y335" s="140"/>
      <c r="Z335" s="140"/>
      <c r="AA335" s="140"/>
      <c r="AB335" s="331"/>
      <c r="AC335" s="140"/>
      <c r="AD335" s="140"/>
      <c r="AE335" s="140"/>
      <c r="AF335" s="140"/>
      <c r="AG335" s="140"/>
    </row>
    <row r="336" spans="11:33" s="27" customFormat="1" ht="17.25" customHeight="1">
      <c r="K336" s="117"/>
      <c r="V336" s="140"/>
      <c r="W336" s="140"/>
      <c r="X336" s="140"/>
      <c r="Y336" s="140"/>
      <c r="Z336" s="140"/>
      <c r="AA336" s="140"/>
      <c r="AB336" s="331"/>
      <c r="AC336" s="140"/>
      <c r="AD336" s="140"/>
      <c r="AE336" s="140"/>
      <c r="AF336" s="140"/>
      <c r="AG336" s="140"/>
    </row>
    <row r="337" spans="11:33" s="27" customFormat="1" ht="17.25" customHeight="1">
      <c r="K337" s="117"/>
      <c r="V337" s="140"/>
      <c r="W337" s="140"/>
      <c r="X337" s="140"/>
      <c r="Y337" s="140"/>
      <c r="Z337" s="140"/>
      <c r="AA337" s="140"/>
      <c r="AB337" s="331"/>
      <c r="AC337" s="140"/>
      <c r="AD337" s="140"/>
      <c r="AE337" s="140"/>
      <c r="AF337" s="140"/>
      <c r="AG337" s="140"/>
    </row>
    <row r="338" spans="11:33" s="27" customFormat="1" ht="17.25" customHeight="1">
      <c r="K338" s="117"/>
      <c r="V338" s="140"/>
      <c r="W338" s="140"/>
      <c r="X338" s="140"/>
      <c r="Y338" s="140"/>
      <c r="Z338" s="140"/>
      <c r="AA338" s="140"/>
      <c r="AB338" s="331"/>
      <c r="AC338" s="140"/>
      <c r="AD338" s="140"/>
      <c r="AE338" s="140"/>
      <c r="AF338" s="140"/>
      <c r="AG338" s="140"/>
    </row>
    <row r="339" spans="11:33" s="27" customFormat="1" ht="17.25" customHeight="1">
      <c r="K339" s="117"/>
      <c r="V339" s="140"/>
      <c r="W339" s="140"/>
      <c r="X339" s="140"/>
      <c r="Y339" s="140"/>
      <c r="Z339" s="140"/>
      <c r="AA339" s="140"/>
      <c r="AB339" s="331"/>
      <c r="AC339" s="140"/>
      <c r="AD339" s="140"/>
      <c r="AE339" s="140"/>
      <c r="AF339" s="140"/>
      <c r="AG339" s="140"/>
    </row>
    <row r="340" spans="11:33" s="27" customFormat="1" ht="17.25" customHeight="1">
      <c r="K340" s="117"/>
      <c r="V340" s="140"/>
      <c r="W340" s="140"/>
      <c r="X340" s="140"/>
      <c r="Y340" s="140"/>
      <c r="Z340" s="140"/>
      <c r="AA340" s="140"/>
      <c r="AB340" s="331"/>
      <c r="AC340" s="140"/>
      <c r="AD340" s="140"/>
      <c r="AE340" s="140"/>
      <c r="AF340" s="140"/>
      <c r="AG340" s="140"/>
    </row>
    <row r="341" spans="11:33" s="27" customFormat="1" ht="17.25" customHeight="1">
      <c r="K341" s="117"/>
      <c r="V341" s="140"/>
      <c r="W341" s="140"/>
      <c r="X341" s="140"/>
      <c r="Y341" s="140"/>
      <c r="Z341" s="140"/>
      <c r="AA341" s="140"/>
      <c r="AB341" s="331"/>
      <c r="AC341" s="140"/>
      <c r="AD341" s="140"/>
      <c r="AE341" s="140"/>
      <c r="AF341" s="140"/>
      <c r="AG341" s="140"/>
    </row>
    <row r="342" spans="11:33" s="27" customFormat="1" ht="17.25" customHeight="1">
      <c r="K342" s="117"/>
      <c r="V342" s="140"/>
      <c r="W342" s="140"/>
      <c r="X342" s="140"/>
      <c r="Y342" s="140"/>
      <c r="Z342" s="140"/>
      <c r="AA342" s="140"/>
      <c r="AB342" s="331"/>
      <c r="AC342" s="140"/>
      <c r="AD342" s="140"/>
      <c r="AE342" s="140"/>
      <c r="AF342" s="140"/>
      <c r="AG342" s="140"/>
    </row>
    <row r="343" spans="11:33" s="27" customFormat="1" ht="17.25" customHeight="1">
      <c r="K343" s="117"/>
      <c r="V343" s="140"/>
      <c r="W343" s="140"/>
      <c r="X343" s="140"/>
      <c r="Y343" s="140"/>
      <c r="Z343" s="140"/>
      <c r="AA343" s="140"/>
      <c r="AB343" s="331"/>
      <c r="AC343" s="140"/>
      <c r="AD343" s="140"/>
      <c r="AE343" s="140"/>
      <c r="AF343" s="140"/>
      <c r="AG343" s="140"/>
    </row>
    <row r="344" spans="11:33" s="27" customFormat="1" ht="17.25" customHeight="1">
      <c r="K344" s="117"/>
      <c r="V344" s="140"/>
      <c r="W344" s="140"/>
      <c r="X344" s="140"/>
      <c r="Y344" s="140"/>
      <c r="Z344" s="140"/>
      <c r="AA344" s="140"/>
      <c r="AB344" s="331"/>
      <c r="AC344" s="140"/>
      <c r="AD344" s="140"/>
      <c r="AE344" s="140"/>
      <c r="AF344" s="140"/>
      <c r="AG344" s="140"/>
    </row>
    <row r="345" spans="11:33" s="27" customFormat="1" ht="17.25" customHeight="1">
      <c r="K345" s="117"/>
      <c r="V345" s="140"/>
      <c r="W345" s="140"/>
      <c r="X345" s="140"/>
      <c r="Y345" s="140"/>
      <c r="Z345" s="140"/>
      <c r="AA345" s="140"/>
      <c r="AB345" s="331"/>
      <c r="AC345" s="140"/>
      <c r="AD345" s="140"/>
      <c r="AE345" s="140"/>
      <c r="AF345" s="140"/>
      <c r="AG345" s="140"/>
    </row>
    <row r="346" spans="11:33" s="27" customFormat="1" ht="17.25" customHeight="1">
      <c r="K346" s="117"/>
      <c r="V346" s="140"/>
      <c r="W346" s="140"/>
      <c r="X346" s="140"/>
      <c r="Y346" s="140"/>
      <c r="Z346" s="140"/>
      <c r="AA346" s="140"/>
      <c r="AB346" s="331"/>
      <c r="AC346" s="140"/>
      <c r="AD346" s="140"/>
      <c r="AE346" s="140"/>
      <c r="AF346" s="140"/>
      <c r="AG346" s="140"/>
    </row>
    <row r="347" spans="11:33" s="27" customFormat="1" ht="17.25" customHeight="1">
      <c r="K347" s="117"/>
      <c r="V347" s="140"/>
      <c r="W347" s="140"/>
      <c r="X347" s="140"/>
      <c r="Y347" s="140"/>
      <c r="Z347" s="140"/>
      <c r="AA347" s="140"/>
      <c r="AB347" s="331"/>
      <c r="AC347" s="140"/>
      <c r="AD347" s="140"/>
      <c r="AE347" s="140"/>
      <c r="AF347" s="140"/>
      <c r="AG347" s="140"/>
    </row>
    <row r="348" spans="11:33" s="27" customFormat="1" ht="17.25" customHeight="1">
      <c r="K348" s="117"/>
      <c r="V348" s="140"/>
      <c r="W348" s="140"/>
      <c r="X348" s="140"/>
      <c r="Y348" s="140"/>
      <c r="Z348" s="140"/>
      <c r="AA348" s="140"/>
      <c r="AB348" s="331"/>
      <c r="AC348" s="140"/>
      <c r="AD348" s="140"/>
      <c r="AE348" s="140"/>
      <c r="AF348" s="140"/>
      <c r="AG348" s="140"/>
    </row>
    <row r="349" spans="11:33" s="27" customFormat="1" ht="17.25" customHeight="1">
      <c r="K349" s="117"/>
      <c r="V349" s="140"/>
      <c r="W349" s="140"/>
      <c r="X349" s="140"/>
      <c r="Y349" s="140"/>
      <c r="Z349" s="140"/>
      <c r="AA349" s="140"/>
      <c r="AB349" s="331"/>
      <c r="AC349" s="140"/>
      <c r="AD349" s="140"/>
      <c r="AE349" s="140"/>
      <c r="AF349" s="140"/>
      <c r="AG349" s="140"/>
    </row>
    <row r="350" spans="11:33" s="27" customFormat="1" ht="17.25" customHeight="1">
      <c r="K350" s="117"/>
      <c r="V350" s="140"/>
      <c r="W350" s="140"/>
      <c r="X350" s="140"/>
      <c r="Y350" s="140"/>
      <c r="Z350" s="140"/>
      <c r="AA350" s="140"/>
      <c r="AB350" s="331"/>
      <c r="AC350" s="140"/>
      <c r="AD350" s="140"/>
      <c r="AE350" s="140"/>
      <c r="AF350" s="140"/>
      <c r="AG350" s="140"/>
    </row>
    <row r="351" spans="11:33" s="27" customFormat="1" ht="17.25" customHeight="1">
      <c r="K351" s="117"/>
      <c r="V351" s="140"/>
      <c r="W351" s="140"/>
      <c r="X351" s="140"/>
      <c r="Y351" s="140"/>
      <c r="Z351" s="140"/>
      <c r="AA351" s="140"/>
      <c r="AB351" s="331"/>
      <c r="AC351" s="140"/>
      <c r="AD351" s="140"/>
      <c r="AE351" s="140"/>
      <c r="AF351" s="140"/>
      <c r="AG351" s="140"/>
    </row>
    <row r="352" spans="11:33" s="27" customFormat="1" ht="17.25" customHeight="1">
      <c r="K352" s="117"/>
      <c r="V352" s="140"/>
      <c r="W352" s="140"/>
      <c r="X352" s="140"/>
      <c r="Y352" s="140"/>
      <c r="Z352" s="140"/>
      <c r="AA352" s="140"/>
      <c r="AB352" s="331"/>
      <c r="AC352" s="140"/>
      <c r="AD352" s="140"/>
      <c r="AE352" s="140"/>
      <c r="AF352" s="140"/>
      <c r="AG352" s="140"/>
    </row>
    <row r="353" spans="11:33" s="27" customFormat="1" ht="17.25" customHeight="1">
      <c r="K353" s="117"/>
      <c r="V353" s="140"/>
      <c r="W353" s="140"/>
      <c r="X353" s="140"/>
      <c r="Y353" s="140"/>
      <c r="Z353" s="140"/>
      <c r="AA353" s="140"/>
      <c r="AB353" s="331"/>
      <c r="AC353" s="140"/>
      <c r="AD353" s="140"/>
      <c r="AE353" s="140"/>
      <c r="AF353" s="140"/>
      <c r="AG353" s="140"/>
    </row>
    <row r="354" spans="11:33" s="27" customFormat="1" ht="17.25" customHeight="1">
      <c r="K354" s="117"/>
      <c r="V354" s="140"/>
      <c r="W354" s="140"/>
      <c r="X354" s="140"/>
      <c r="Y354" s="140"/>
      <c r="Z354" s="140"/>
      <c r="AA354" s="140"/>
      <c r="AB354" s="331"/>
      <c r="AC354" s="140"/>
      <c r="AD354" s="140"/>
      <c r="AE354" s="140"/>
      <c r="AF354" s="140"/>
      <c r="AG354" s="140"/>
    </row>
    <row r="355" spans="11:33" s="27" customFormat="1" ht="17.25" customHeight="1">
      <c r="K355" s="117"/>
      <c r="V355" s="140"/>
      <c r="W355" s="140"/>
      <c r="X355" s="140"/>
      <c r="Y355" s="140"/>
      <c r="Z355" s="140"/>
      <c r="AA355" s="140"/>
      <c r="AB355" s="331"/>
      <c r="AC355" s="140"/>
      <c r="AD355" s="140"/>
      <c r="AE355" s="140"/>
      <c r="AF355" s="140"/>
      <c r="AG355" s="140"/>
    </row>
    <row r="356" spans="11:33" s="27" customFormat="1" ht="17.25" customHeight="1">
      <c r="K356" s="117"/>
      <c r="V356" s="140"/>
      <c r="W356" s="140"/>
      <c r="X356" s="140"/>
      <c r="Y356" s="140"/>
      <c r="Z356" s="140"/>
      <c r="AA356" s="140"/>
      <c r="AB356" s="331"/>
      <c r="AC356" s="140"/>
      <c r="AD356" s="140"/>
      <c r="AE356" s="140"/>
      <c r="AF356" s="140"/>
      <c r="AG356" s="140"/>
    </row>
    <row r="357" spans="11:33" s="27" customFormat="1" ht="17.25" customHeight="1">
      <c r="K357" s="117"/>
      <c r="V357" s="140"/>
      <c r="W357" s="140"/>
      <c r="X357" s="140"/>
      <c r="Y357" s="140"/>
      <c r="Z357" s="140"/>
      <c r="AA357" s="140"/>
      <c r="AB357" s="331"/>
      <c r="AC357" s="140"/>
      <c r="AD357" s="140"/>
      <c r="AE357" s="140"/>
      <c r="AF357" s="140"/>
      <c r="AG357" s="140"/>
    </row>
    <row r="358" spans="11:33" s="27" customFormat="1" ht="17.25" customHeight="1">
      <c r="K358" s="117"/>
      <c r="V358" s="140"/>
      <c r="W358" s="140"/>
      <c r="X358" s="140"/>
      <c r="Y358" s="140"/>
      <c r="Z358" s="140"/>
      <c r="AA358" s="140"/>
      <c r="AB358" s="331"/>
      <c r="AC358" s="140"/>
      <c r="AD358" s="140"/>
      <c r="AE358" s="140"/>
      <c r="AF358" s="140"/>
      <c r="AG358" s="140"/>
    </row>
    <row r="359" spans="11:33" s="27" customFormat="1" ht="17.25" customHeight="1">
      <c r="K359" s="117"/>
      <c r="V359" s="140"/>
      <c r="W359" s="140"/>
      <c r="X359" s="140"/>
      <c r="Y359" s="140"/>
      <c r="Z359" s="140"/>
      <c r="AA359" s="140"/>
      <c r="AB359" s="331"/>
      <c r="AC359" s="140"/>
      <c r="AD359" s="140"/>
      <c r="AE359" s="140"/>
      <c r="AF359" s="140"/>
      <c r="AG359" s="140"/>
    </row>
    <row r="360" spans="11:33" s="27" customFormat="1" ht="17.25" customHeight="1">
      <c r="K360" s="117"/>
      <c r="V360" s="140"/>
      <c r="W360" s="140"/>
      <c r="X360" s="140"/>
      <c r="Y360" s="140"/>
      <c r="Z360" s="140"/>
      <c r="AA360" s="140"/>
      <c r="AB360" s="331"/>
      <c r="AC360" s="140"/>
      <c r="AD360" s="140"/>
      <c r="AE360" s="140"/>
      <c r="AF360" s="140"/>
      <c r="AG360" s="140"/>
    </row>
    <row r="361" spans="11:33" s="27" customFormat="1" ht="17.25" customHeight="1">
      <c r="K361" s="117"/>
      <c r="V361" s="140"/>
      <c r="W361" s="140"/>
      <c r="X361" s="140"/>
      <c r="Y361" s="140"/>
      <c r="Z361" s="140"/>
      <c r="AA361" s="140"/>
      <c r="AB361" s="331"/>
      <c r="AC361" s="140"/>
      <c r="AD361" s="140"/>
      <c r="AE361" s="140"/>
      <c r="AF361" s="140"/>
      <c r="AG361" s="140"/>
    </row>
    <row r="362" spans="11:33" s="27" customFormat="1" ht="17.25" customHeight="1">
      <c r="K362" s="117"/>
      <c r="V362" s="140"/>
      <c r="W362" s="140"/>
      <c r="X362" s="140"/>
      <c r="Y362" s="140"/>
      <c r="Z362" s="140"/>
      <c r="AA362" s="140"/>
      <c r="AB362" s="331"/>
      <c r="AC362" s="140"/>
      <c r="AD362" s="140"/>
      <c r="AE362" s="140"/>
      <c r="AF362" s="140"/>
      <c r="AG362" s="140"/>
    </row>
    <row r="363" spans="11:33" s="27" customFormat="1" ht="17.25" customHeight="1">
      <c r="K363" s="117"/>
      <c r="V363" s="140"/>
      <c r="W363" s="140"/>
      <c r="X363" s="140"/>
      <c r="Y363" s="140"/>
      <c r="Z363" s="140"/>
      <c r="AA363" s="140"/>
      <c r="AB363" s="331"/>
      <c r="AC363" s="140"/>
      <c r="AD363" s="140"/>
      <c r="AE363" s="140"/>
      <c r="AF363" s="140"/>
      <c r="AG363" s="140"/>
    </row>
    <row r="364" spans="11:33" s="27" customFormat="1" ht="17.25" customHeight="1">
      <c r="K364" s="117"/>
      <c r="V364" s="140"/>
      <c r="W364" s="140"/>
      <c r="X364" s="140"/>
      <c r="Y364" s="140"/>
      <c r="Z364" s="140"/>
      <c r="AA364" s="140"/>
      <c r="AB364" s="331"/>
      <c r="AC364" s="140"/>
      <c r="AD364" s="140"/>
      <c r="AE364" s="140"/>
      <c r="AF364" s="140"/>
      <c r="AG364" s="140"/>
    </row>
    <row r="365" spans="11:33" s="27" customFormat="1" ht="17.25" customHeight="1">
      <c r="K365" s="117"/>
      <c r="V365" s="140"/>
      <c r="W365" s="140"/>
      <c r="X365" s="140"/>
      <c r="Y365" s="140"/>
      <c r="Z365" s="140"/>
      <c r="AA365" s="140"/>
      <c r="AB365" s="331"/>
      <c r="AC365" s="140"/>
      <c r="AD365" s="140"/>
      <c r="AE365" s="140"/>
      <c r="AF365" s="140"/>
      <c r="AG365" s="140"/>
    </row>
    <row r="366" spans="11:33" s="27" customFormat="1" ht="17.25" customHeight="1">
      <c r="K366" s="117"/>
      <c r="V366" s="140"/>
      <c r="W366" s="140"/>
      <c r="X366" s="140"/>
      <c r="Y366" s="140"/>
      <c r="Z366" s="140"/>
      <c r="AA366" s="140"/>
      <c r="AB366" s="331"/>
      <c r="AC366" s="140"/>
      <c r="AD366" s="140"/>
      <c r="AE366" s="140"/>
      <c r="AF366" s="140"/>
      <c r="AG366" s="140"/>
    </row>
    <row r="367" spans="11:33" s="27" customFormat="1" ht="17.25" customHeight="1">
      <c r="K367" s="117"/>
      <c r="V367" s="140"/>
      <c r="W367" s="140"/>
      <c r="X367" s="140"/>
      <c r="Y367" s="140"/>
      <c r="Z367" s="140"/>
      <c r="AA367" s="140"/>
      <c r="AB367" s="331"/>
      <c r="AC367" s="140"/>
      <c r="AD367" s="140"/>
      <c r="AE367" s="140"/>
      <c r="AF367" s="140"/>
      <c r="AG367" s="140"/>
    </row>
    <row r="368" spans="11:33" s="27" customFormat="1" ht="17.25" customHeight="1">
      <c r="K368" s="117"/>
      <c r="V368" s="140"/>
      <c r="W368" s="140"/>
      <c r="X368" s="140"/>
      <c r="Y368" s="140"/>
      <c r="Z368" s="140"/>
      <c r="AA368" s="140"/>
      <c r="AB368" s="331"/>
      <c r="AC368" s="140"/>
      <c r="AD368" s="140"/>
      <c r="AE368" s="140"/>
      <c r="AF368" s="140"/>
      <c r="AG368" s="140"/>
    </row>
    <row r="369" spans="11:33" s="27" customFormat="1" ht="17.25" customHeight="1">
      <c r="K369" s="117"/>
      <c r="V369" s="140"/>
      <c r="W369" s="140"/>
      <c r="X369" s="140"/>
      <c r="Y369" s="140"/>
      <c r="Z369" s="140"/>
      <c r="AA369" s="140"/>
      <c r="AB369" s="331"/>
      <c r="AC369" s="140"/>
      <c r="AD369" s="140"/>
      <c r="AE369" s="140"/>
      <c r="AF369" s="140"/>
      <c r="AG369" s="140"/>
    </row>
    <row r="370" spans="11:33" s="27" customFormat="1" ht="17.25" customHeight="1">
      <c r="K370" s="117"/>
      <c r="V370" s="140"/>
      <c r="W370" s="140"/>
      <c r="X370" s="140"/>
      <c r="Y370" s="140"/>
      <c r="Z370" s="140"/>
      <c r="AA370" s="140"/>
      <c r="AB370" s="331"/>
      <c r="AC370" s="140"/>
      <c r="AD370" s="140"/>
      <c r="AE370" s="140"/>
      <c r="AF370" s="140"/>
      <c r="AG370" s="140"/>
    </row>
    <row r="371" spans="11:33" s="27" customFormat="1" ht="17.25" customHeight="1">
      <c r="K371" s="117"/>
      <c r="V371" s="140"/>
      <c r="W371" s="140"/>
      <c r="X371" s="140"/>
      <c r="Y371" s="140"/>
      <c r="Z371" s="140"/>
      <c r="AA371" s="140"/>
      <c r="AB371" s="331"/>
      <c r="AC371" s="140"/>
      <c r="AD371" s="140"/>
      <c r="AE371" s="140"/>
      <c r="AF371" s="140"/>
      <c r="AG371" s="140"/>
    </row>
    <row r="372" spans="11:33" s="27" customFormat="1" ht="17.25" customHeight="1">
      <c r="K372" s="117"/>
      <c r="V372" s="140"/>
      <c r="W372" s="140"/>
      <c r="X372" s="140"/>
      <c r="Y372" s="140"/>
      <c r="Z372" s="140"/>
      <c r="AA372" s="140"/>
      <c r="AB372" s="331"/>
      <c r="AC372" s="140"/>
      <c r="AD372" s="140"/>
      <c r="AE372" s="140"/>
      <c r="AF372" s="140"/>
      <c r="AG372" s="140"/>
    </row>
    <row r="373" spans="11:33" s="27" customFormat="1" ht="17.25" customHeight="1">
      <c r="K373" s="117"/>
      <c r="V373" s="140"/>
      <c r="W373" s="140"/>
      <c r="X373" s="140"/>
      <c r="Y373" s="140"/>
      <c r="Z373" s="140"/>
      <c r="AA373" s="140"/>
      <c r="AB373" s="331"/>
      <c r="AC373" s="140"/>
      <c r="AD373" s="140"/>
      <c r="AE373" s="140"/>
      <c r="AF373" s="140"/>
      <c r="AG373" s="140"/>
    </row>
    <row r="374" spans="11:33" s="27" customFormat="1" ht="17.25" customHeight="1">
      <c r="K374" s="117"/>
      <c r="V374" s="140"/>
      <c r="W374" s="140"/>
      <c r="X374" s="140"/>
      <c r="Y374" s="140"/>
      <c r="Z374" s="140"/>
      <c r="AA374" s="140"/>
      <c r="AB374" s="331"/>
      <c r="AC374" s="140"/>
      <c r="AD374" s="140"/>
      <c r="AE374" s="140"/>
      <c r="AF374" s="140"/>
      <c r="AG374" s="140"/>
    </row>
    <row r="375" spans="11:33" s="27" customFormat="1" ht="17.25" customHeight="1">
      <c r="K375" s="117"/>
      <c r="V375" s="140"/>
      <c r="W375" s="140"/>
      <c r="X375" s="140"/>
      <c r="Y375" s="140"/>
      <c r="Z375" s="140"/>
      <c r="AA375" s="140"/>
      <c r="AB375" s="331"/>
      <c r="AC375" s="140"/>
      <c r="AD375" s="140"/>
      <c r="AE375" s="140"/>
      <c r="AF375" s="140"/>
      <c r="AG375" s="140"/>
    </row>
    <row r="376" spans="11:33" s="27" customFormat="1" ht="17.25" customHeight="1">
      <c r="K376" s="117"/>
      <c r="V376" s="140"/>
      <c r="W376" s="140"/>
      <c r="X376" s="140"/>
      <c r="Y376" s="140"/>
      <c r="Z376" s="140"/>
      <c r="AA376" s="140"/>
      <c r="AB376" s="331"/>
      <c r="AC376" s="140"/>
      <c r="AD376" s="140"/>
      <c r="AE376" s="140"/>
      <c r="AF376" s="140"/>
      <c r="AG376" s="140"/>
    </row>
    <row r="377" spans="11:33" s="27" customFormat="1" ht="17.25" customHeight="1">
      <c r="K377" s="117"/>
      <c r="V377" s="140"/>
      <c r="W377" s="140"/>
      <c r="X377" s="140"/>
      <c r="Y377" s="140"/>
      <c r="Z377" s="140"/>
      <c r="AA377" s="140"/>
      <c r="AB377" s="331"/>
      <c r="AC377" s="140"/>
      <c r="AD377" s="140"/>
      <c r="AE377" s="140"/>
      <c r="AF377" s="140"/>
      <c r="AG377" s="140"/>
    </row>
    <row r="378" spans="11:33" s="27" customFormat="1" ht="17.25" customHeight="1">
      <c r="K378" s="117"/>
      <c r="V378" s="140"/>
      <c r="W378" s="140"/>
      <c r="X378" s="140"/>
      <c r="Y378" s="140"/>
      <c r="Z378" s="140"/>
      <c r="AA378" s="140"/>
      <c r="AB378" s="331"/>
      <c r="AC378" s="140"/>
      <c r="AD378" s="140"/>
      <c r="AE378" s="140"/>
      <c r="AF378" s="140"/>
      <c r="AG378" s="140"/>
    </row>
    <row r="379" spans="11:33" s="27" customFormat="1" ht="17.25" customHeight="1">
      <c r="K379" s="117"/>
      <c r="V379" s="140"/>
      <c r="W379" s="140"/>
      <c r="X379" s="140"/>
      <c r="Y379" s="140"/>
      <c r="Z379" s="140"/>
      <c r="AA379" s="140"/>
      <c r="AB379" s="331"/>
      <c r="AC379" s="140"/>
      <c r="AD379" s="140"/>
      <c r="AE379" s="140"/>
      <c r="AF379" s="140"/>
      <c r="AG379" s="140"/>
    </row>
    <row r="380" spans="11:33" s="27" customFormat="1" ht="17.25" customHeight="1">
      <c r="K380" s="117"/>
      <c r="V380" s="140"/>
      <c r="W380" s="140"/>
      <c r="X380" s="140"/>
      <c r="Y380" s="140"/>
      <c r="Z380" s="140"/>
      <c r="AA380" s="140"/>
      <c r="AB380" s="331"/>
      <c r="AC380" s="140"/>
      <c r="AD380" s="140"/>
      <c r="AE380" s="140"/>
      <c r="AF380" s="140"/>
      <c r="AG380" s="140"/>
    </row>
    <row r="381" spans="11:33" s="27" customFormat="1" ht="17.25" customHeight="1">
      <c r="K381" s="117"/>
      <c r="V381" s="140"/>
      <c r="W381" s="140"/>
      <c r="X381" s="140"/>
      <c r="Y381" s="140"/>
      <c r="Z381" s="140"/>
      <c r="AA381" s="140"/>
      <c r="AB381" s="331"/>
      <c r="AC381" s="140"/>
      <c r="AD381" s="140"/>
      <c r="AE381" s="140"/>
      <c r="AF381" s="140"/>
      <c r="AG381" s="140"/>
    </row>
    <row r="382" spans="11:33" s="27" customFormat="1" ht="17.25" customHeight="1">
      <c r="K382" s="117"/>
      <c r="V382" s="140"/>
      <c r="W382" s="140"/>
      <c r="X382" s="140"/>
      <c r="Y382" s="140"/>
      <c r="Z382" s="140"/>
      <c r="AA382" s="140"/>
      <c r="AB382" s="331"/>
      <c r="AC382" s="140"/>
      <c r="AD382" s="140"/>
      <c r="AE382" s="140"/>
      <c r="AF382" s="140"/>
      <c r="AG382" s="140"/>
    </row>
    <row r="383" spans="11:33" s="27" customFormat="1" ht="17.25" customHeight="1">
      <c r="K383" s="117"/>
      <c r="V383" s="140"/>
      <c r="W383" s="140"/>
      <c r="X383" s="140"/>
      <c r="Y383" s="140"/>
      <c r="Z383" s="140"/>
      <c r="AA383" s="140"/>
      <c r="AB383" s="331"/>
      <c r="AC383" s="140"/>
      <c r="AD383" s="140"/>
      <c r="AE383" s="140"/>
      <c r="AF383" s="140"/>
      <c r="AG383" s="140"/>
    </row>
    <row r="384" spans="11:33" s="27" customFormat="1" ht="17.25" customHeight="1">
      <c r="K384" s="117"/>
      <c r="V384" s="140"/>
      <c r="W384" s="140"/>
      <c r="X384" s="140"/>
      <c r="Y384" s="140"/>
      <c r="Z384" s="140"/>
      <c r="AA384" s="140"/>
      <c r="AB384" s="331"/>
      <c r="AC384" s="140"/>
      <c r="AD384" s="140"/>
      <c r="AE384" s="140"/>
      <c r="AF384" s="140"/>
      <c r="AG384" s="140"/>
    </row>
    <row r="385" spans="11:33" s="27" customFormat="1" ht="17.25" customHeight="1">
      <c r="K385" s="117"/>
      <c r="V385" s="140"/>
      <c r="W385" s="140"/>
      <c r="X385" s="140"/>
      <c r="Y385" s="140"/>
      <c r="Z385" s="140"/>
      <c r="AA385" s="140"/>
      <c r="AB385" s="331"/>
      <c r="AC385" s="140"/>
      <c r="AD385" s="140"/>
      <c r="AE385" s="140"/>
      <c r="AF385" s="140"/>
      <c r="AG385" s="140"/>
    </row>
    <row r="386" spans="11:33" s="27" customFormat="1" ht="17.25" customHeight="1">
      <c r="K386" s="117"/>
      <c r="V386" s="140"/>
      <c r="W386" s="140"/>
      <c r="X386" s="140"/>
      <c r="Y386" s="140"/>
      <c r="Z386" s="140"/>
      <c r="AA386" s="140"/>
      <c r="AB386" s="331"/>
      <c r="AC386" s="140"/>
      <c r="AD386" s="140"/>
      <c r="AE386" s="140"/>
      <c r="AF386" s="140"/>
      <c r="AG386" s="140"/>
    </row>
    <row r="387" spans="11:33" s="27" customFormat="1" ht="17.25" customHeight="1">
      <c r="K387" s="117"/>
      <c r="V387" s="140"/>
      <c r="W387" s="140"/>
      <c r="X387" s="140"/>
      <c r="Y387" s="140"/>
      <c r="Z387" s="140"/>
      <c r="AA387" s="140"/>
      <c r="AB387" s="331"/>
      <c r="AC387" s="140"/>
      <c r="AD387" s="140"/>
      <c r="AE387" s="140"/>
      <c r="AF387" s="140"/>
      <c r="AG387" s="140"/>
    </row>
    <row r="388" spans="11:33" s="27" customFormat="1" ht="17.25" customHeight="1">
      <c r="K388" s="117"/>
      <c r="V388" s="140"/>
      <c r="W388" s="140"/>
      <c r="X388" s="140"/>
      <c r="Y388" s="140"/>
      <c r="Z388" s="140"/>
      <c r="AA388" s="140"/>
      <c r="AB388" s="331"/>
      <c r="AC388" s="140"/>
      <c r="AD388" s="140"/>
      <c r="AE388" s="140"/>
      <c r="AF388" s="140"/>
      <c r="AG388" s="140"/>
    </row>
    <row r="389" spans="11:33" s="27" customFormat="1" ht="17.25" customHeight="1">
      <c r="K389" s="117"/>
      <c r="V389" s="140"/>
      <c r="W389" s="140"/>
      <c r="X389" s="140"/>
      <c r="Y389" s="140"/>
      <c r="Z389" s="140"/>
      <c r="AA389" s="140"/>
      <c r="AB389" s="331"/>
      <c r="AC389" s="140"/>
      <c r="AD389" s="140"/>
      <c r="AE389" s="140"/>
      <c r="AF389" s="140"/>
      <c r="AG389" s="140"/>
    </row>
    <row r="390" spans="11:33" s="27" customFormat="1" ht="17.25" customHeight="1">
      <c r="K390" s="117"/>
      <c r="V390" s="140"/>
      <c r="W390" s="140"/>
      <c r="X390" s="140"/>
      <c r="Y390" s="140"/>
      <c r="Z390" s="140"/>
      <c r="AA390" s="140"/>
      <c r="AB390" s="331"/>
      <c r="AC390" s="140"/>
      <c r="AD390" s="140"/>
      <c r="AE390" s="140"/>
      <c r="AF390" s="140"/>
      <c r="AG390" s="140"/>
    </row>
    <row r="391" spans="11:33" s="27" customFormat="1" ht="17.25" customHeight="1">
      <c r="K391" s="117"/>
      <c r="V391" s="140"/>
      <c r="W391" s="140"/>
      <c r="X391" s="140"/>
      <c r="Y391" s="140"/>
      <c r="Z391" s="140"/>
      <c r="AA391" s="140"/>
      <c r="AB391" s="331"/>
      <c r="AC391" s="140"/>
      <c r="AD391" s="140"/>
      <c r="AE391" s="140"/>
      <c r="AF391" s="140"/>
      <c r="AG391" s="140"/>
    </row>
    <row r="392" spans="11:33" s="27" customFormat="1" ht="17.25" customHeight="1">
      <c r="K392" s="117"/>
      <c r="V392" s="140"/>
      <c r="W392" s="140"/>
      <c r="X392" s="140"/>
      <c r="Y392" s="140"/>
      <c r="Z392" s="140"/>
      <c r="AA392" s="140"/>
      <c r="AB392" s="331"/>
      <c r="AC392" s="140"/>
      <c r="AD392" s="140"/>
      <c r="AE392" s="140"/>
      <c r="AF392" s="140"/>
      <c r="AG392" s="140"/>
    </row>
    <row r="393" spans="11:33" s="27" customFormat="1" ht="17.25" customHeight="1">
      <c r="K393" s="117"/>
      <c r="V393" s="140"/>
      <c r="W393" s="140"/>
      <c r="X393" s="140"/>
      <c r="Y393" s="140"/>
      <c r="Z393" s="140"/>
      <c r="AA393" s="140"/>
      <c r="AB393" s="331"/>
      <c r="AC393" s="140"/>
      <c r="AD393" s="140"/>
      <c r="AE393" s="140"/>
      <c r="AF393" s="140"/>
      <c r="AG393" s="140"/>
    </row>
    <row r="394" spans="11:33" s="27" customFormat="1" ht="17.25" customHeight="1">
      <c r="K394" s="117"/>
      <c r="V394" s="140"/>
      <c r="W394" s="140"/>
      <c r="X394" s="140"/>
      <c r="Y394" s="140"/>
      <c r="Z394" s="140"/>
      <c r="AA394" s="140"/>
      <c r="AB394" s="331"/>
      <c r="AC394" s="140"/>
      <c r="AD394" s="140"/>
      <c r="AE394" s="140"/>
      <c r="AF394" s="140"/>
      <c r="AG394" s="140"/>
    </row>
    <row r="395" spans="11:33" s="27" customFormat="1" ht="17.25" customHeight="1">
      <c r="K395" s="117"/>
      <c r="V395" s="140"/>
      <c r="W395" s="140"/>
      <c r="X395" s="140"/>
      <c r="Y395" s="140"/>
      <c r="Z395" s="140"/>
      <c r="AA395" s="140"/>
      <c r="AB395" s="331"/>
      <c r="AC395" s="140"/>
      <c r="AD395" s="140"/>
      <c r="AE395" s="140"/>
      <c r="AF395" s="140"/>
      <c r="AG395" s="140"/>
    </row>
    <row r="396" spans="11:33" s="27" customFormat="1" ht="17.25" customHeight="1">
      <c r="K396" s="117"/>
      <c r="V396" s="140"/>
      <c r="W396" s="140"/>
      <c r="X396" s="140"/>
      <c r="Y396" s="140"/>
      <c r="Z396" s="140"/>
      <c r="AA396" s="140"/>
      <c r="AB396" s="331"/>
      <c r="AC396" s="140"/>
      <c r="AD396" s="140"/>
      <c r="AE396" s="140"/>
      <c r="AF396" s="140"/>
      <c r="AG396" s="140"/>
    </row>
    <row r="397" spans="11:33" s="27" customFormat="1" ht="17.25" customHeight="1">
      <c r="K397" s="117"/>
      <c r="V397" s="140"/>
      <c r="W397" s="140"/>
      <c r="X397" s="140"/>
      <c r="Y397" s="140"/>
      <c r="Z397" s="140"/>
      <c r="AA397" s="140"/>
      <c r="AB397" s="331"/>
      <c r="AC397" s="140"/>
      <c r="AD397" s="140"/>
      <c r="AE397" s="140"/>
      <c r="AF397" s="140"/>
      <c r="AG397" s="140"/>
    </row>
    <row r="398" spans="11:33" s="27" customFormat="1" ht="17.25" customHeight="1">
      <c r="K398" s="117"/>
      <c r="V398" s="140"/>
      <c r="W398" s="140"/>
      <c r="X398" s="140"/>
      <c r="Y398" s="140"/>
      <c r="Z398" s="140"/>
      <c r="AA398" s="140"/>
      <c r="AB398" s="331"/>
      <c r="AC398" s="140"/>
      <c r="AD398" s="140"/>
      <c r="AE398" s="140"/>
      <c r="AF398" s="140"/>
      <c r="AG398" s="140"/>
    </row>
    <row r="399" spans="11:33" s="27" customFormat="1" ht="17.25" customHeight="1">
      <c r="K399" s="117"/>
      <c r="V399" s="140"/>
      <c r="W399" s="140"/>
      <c r="X399" s="140"/>
      <c r="Y399" s="140"/>
      <c r="Z399" s="140"/>
      <c r="AA399" s="140"/>
      <c r="AB399" s="331"/>
      <c r="AC399" s="140"/>
      <c r="AD399" s="140"/>
      <c r="AE399" s="140"/>
      <c r="AF399" s="140"/>
      <c r="AG399" s="140"/>
    </row>
    <row r="400" spans="11:33" s="27" customFormat="1" ht="17.25" customHeight="1">
      <c r="K400" s="117"/>
      <c r="V400" s="140"/>
      <c r="W400" s="140"/>
      <c r="X400" s="140"/>
      <c r="Y400" s="140"/>
      <c r="Z400" s="140"/>
      <c r="AA400" s="140"/>
      <c r="AB400" s="331"/>
      <c r="AC400" s="140"/>
      <c r="AD400" s="140"/>
      <c r="AE400" s="140"/>
      <c r="AF400" s="140"/>
      <c r="AG400" s="140"/>
    </row>
    <row r="401" spans="11:33" s="27" customFormat="1" ht="17.25" customHeight="1">
      <c r="K401" s="117"/>
      <c r="V401" s="140"/>
      <c r="W401" s="140"/>
      <c r="X401" s="140"/>
      <c r="Y401" s="140"/>
      <c r="Z401" s="140"/>
      <c r="AA401" s="140"/>
      <c r="AB401" s="331"/>
      <c r="AC401" s="140"/>
      <c r="AD401" s="140"/>
      <c r="AE401" s="140"/>
      <c r="AF401" s="140"/>
      <c r="AG401" s="140"/>
    </row>
    <row r="402" spans="11:33" s="27" customFormat="1" ht="17.25" customHeight="1">
      <c r="K402" s="117"/>
      <c r="V402" s="140"/>
      <c r="W402" s="140"/>
      <c r="X402" s="140"/>
      <c r="Y402" s="140"/>
      <c r="Z402" s="140"/>
      <c r="AA402" s="140"/>
      <c r="AB402" s="331"/>
      <c r="AC402" s="140"/>
      <c r="AD402" s="140"/>
      <c r="AE402" s="140"/>
      <c r="AF402" s="140"/>
      <c r="AG402" s="140"/>
    </row>
    <row r="403" spans="11:33" s="27" customFormat="1" ht="17.25" customHeight="1">
      <c r="K403" s="117"/>
      <c r="V403" s="140"/>
      <c r="W403" s="140"/>
      <c r="X403" s="140"/>
      <c r="Y403" s="140"/>
      <c r="Z403" s="140"/>
      <c r="AA403" s="140"/>
      <c r="AB403" s="331"/>
      <c r="AC403" s="140"/>
      <c r="AD403" s="140"/>
      <c r="AE403" s="140"/>
      <c r="AF403" s="140"/>
      <c r="AG403" s="140"/>
    </row>
    <row r="404" spans="11:33" s="27" customFormat="1" ht="17.25" customHeight="1">
      <c r="K404" s="117"/>
      <c r="V404" s="140"/>
      <c r="W404" s="140"/>
      <c r="X404" s="140"/>
      <c r="Y404" s="140"/>
      <c r="Z404" s="140"/>
      <c r="AA404" s="140"/>
      <c r="AB404" s="331"/>
      <c r="AC404" s="140"/>
      <c r="AD404" s="140"/>
      <c r="AE404" s="140"/>
      <c r="AF404" s="140"/>
      <c r="AG404" s="140"/>
    </row>
    <row r="405" spans="11:33" s="27" customFormat="1" ht="17.25" customHeight="1">
      <c r="K405" s="117"/>
      <c r="V405" s="140"/>
      <c r="W405" s="140"/>
      <c r="X405" s="140"/>
      <c r="Y405" s="140"/>
      <c r="Z405" s="140"/>
      <c r="AA405" s="140"/>
      <c r="AB405" s="331"/>
      <c r="AC405" s="140"/>
      <c r="AD405" s="140"/>
      <c r="AE405" s="140"/>
      <c r="AF405" s="140"/>
      <c r="AG405" s="140"/>
    </row>
    <row r="406" spans="11:33" s="27" customFormat="1" ht="17.25" customHeight="1">
      <c r="K406" s="117"/>
      <c r="V406" s="140"/>
      <c r="W406" s="140"/>
      <c r="X406" s="140"/>
      <c r="Y406" s="140"/>
      <c r="Z406" s="140"/>
      <c r="AA406" s="140"/>
      <c r="AB406" s="331"/>
      <c r="AC406" s="140"/>
      <c r="AD406" s="140"/>
      <c r="AE406" s="140"/>
      <c r="AF406" s="140"/>
      <c r="AG406" s="140"/>
    </row>
    <row r="407" spans="11:33" s="27" customFormat="1" ht="17.25" customHeight="1">
      <c r="K407" s="117"/>
      <c r="V407" s="140"/>
      <c r="W407" s="140"/>
      <c r="X407" s="140"/>
      <c r="Y407" s="140"/>
      <c r="Z407" s="140"/>
      <c r="AA407" s="140"/>
      <c r="AB407" s="331"/>
      <c r="AC407" s="140"/>
      <c r="AD407" s="140"/>
      <c r="AE407" s="140"/>
      <c r="AF407" s="140"/>
      <c r="AG407" s="140"/>
    </row>
    <row r="408" spans="11:33" s="27" customFormat="1" ht="17.25" customHeight="1">
      <c r="K408" s="117"/>
      <c r="V408" s="140"/>
      <c r="W408" s="140"/>
      <c r="X408" s="140"/>
      <c r="Y408" s="140"/>
      <c r="Z408" s="140"/>
      <c r="AA408" s="140"/>
      <c r="AB408" s="331"/>
      <c r="AC408" s="140"/>
      <c r="AD408" s="140"/>
      <c r="AE408" s="140"/>
      <c r="AF408" s="140"/>
      <c r="AG408" s="140"/>
    </row>
    <row r="409" spans="11:33" s="27" customFormat="1" ht="17.25" customHeight="1">
      <c r="K409" s="117"/>
      <c r="V409" s="140"/>
      <c r="W409" s="140"/>
      <c r="X409" s="140"/>
      <c r="Y409" s="140"/>
      <c r="Z409" s="140"/>
      <c r="AA409" s="140"/>
      <c r="AB409" s="331"/>
      <c r="AC409" s="140"/>
      <c r="AD409" s="140"/>
      <c r="AE409" s="140"/>
      <c r="AF409" s="140"/>
      <c r="AG409" s="140"/>
    </row>
    <row r="410" spans="11:33" s="27" customFormat="1" ht="17.25" customHeight="1">
      <c r="K410" s="117"/>
      <c r="V410" s="140"/>
      <c r="W410" s="140"/>
      <c r="X410" s="140"/>
      <c r="Y410" s="140"/>
      <c r="Z410" s="140"/>
      <c r="AA410" s="140"/>
      <c r="AB410" s="331"/>
      <c r="AC410" s="140"/>
      <c r="AD410" s="140"/>
      <c r="AE410" s="140"/>
      <c r="AF410" s="140"/>
      <c r="AG410" s="140"/>
    </row>
    <row r="411" spans="11:33" s="27" customFormat="1" ht="17.25" customHeight="1">
      <c r="K411" s="117"/>
      <c r="V411" s="140"/>
      <c r="W411" s="140"/>
      <c r="X411" s="140"/>
      <c r="Y411" s="140"/>
      <c r="Z411" s="140"/>
      <c r="AA411" s="140"/>
      <c r="AB411" s="331"/>
      <c r="AC411" s="140"/>
      <c r="AD411" s="140"/>
      <c r="AE411" s="140"/>
      <c r="AF411" s="140"/>
      <c r="AG411" s="140"/>
    </row>
    <row r="412" spans="11:33" s="27" customFormat="1" ht="17.25" customHeight="1">
      <c r="K412" s="117"/>
      <c r="V412" s="140"/>
      <c r="W412" s="140"/>
      <c r="X412" s="140"/>
      <c r="Y412" s="140"/>
      <c r="Z412" s="140"/>
      <c r="AA412" s="140"/>
      <c r="AB412" s="331"/>
      <c r="AC412" s="140"/>
      <c r="AD412" s="140"/>
      <c r="AE412" s="140"/>
      <c r="AF412" s="140"/>
      <c r="AG412" s="140"/>
    </row>
    <row r="413" spans="11:33" s="27" customFormat="1" ht="17.25" customHeight="1">
      <c r="K413" s="117"/>
      <c r="V413" s="140"/>
      <c r="W413" s="140"/>
      <c r="X413" s="140"/>
      <c r="Y413" s="140"/>
      <c r="Z413" s="140"/>
      <c r="AA413" s="140"/>
      <c r="AB413" s="331"/>
      <c r="AC413" s="140"/>
      <c r="AD413" s="140"/>
      <c r="AE413" s="140"/>
      <c r="AF413" s="140"/>
      <c r="AG413" s="140"/>
    </row>
    <row r="414" spans="11:33" s="27" customFormat="1" ht="17.25" customHeight="1">
      <c r="K414" s="117"/>
      <c r="V414" s="140"/>
      <c r="W414" s="140"/>
      <c r="X414" s="140"/>
      <c r="Y414" s="140"/>
      <c r="Z414" s="140"/>
      <c r="AA414" s="140"/>
      <c r="AB414" s="331"/>
      <c r="AC414" s="140"/>
      <c r="AD414" s="140"/>
      <c r="AE414" s="140"/>
      <c r="AF414" s="140"/>
      <c r="AG414" s="140"/>
    </row>
    <row r="415" spans="11:33" s="27" customFormat="1" ht="17.25" customHeight="1">
      <c r="K415" s="117"/>
      <c r="V415" s="140"/>
      <c r="W415" s="140"/>
      <c r="X415" s="140"/>
      <c r="Y415" s="140"/>
      <c r="Z415" s="140"/>
      <c r="AA415" s="140"/>
      <c r="AB415" s="331"/>
      <c r="AC415" s="140"/>
      <c r="AD415" s="140"/>
      <c r="AE415" s="140"/>
      <c r="AF415" s="140"/>
      <c r="AG415" s="140"/>
    </row>
    <row r="416" spans="11:33" s="27" customFormat="1" ht="17.25" customHeight="1">
      <c r="K416" s="117"/>
      <c r="V416" s="140"/>
      <c r="W416" s="140"/>
      <c r="X416" s="140"/>
      <c r="Y416" s="140"/>
      <c r="Z416" s="140"/>
      <c r="AA416" s="140"/>
      <c r="AB416" s="331"/>
      <c r="AC416" s="140"/>
      <c r="AD416" s="140"/>
      <c r="AE416" s="140"/>
      <c r="AF416" s="140"/>
      <c r="AG416" s="140"/>
    </row>
    <row r="417" spans="11:33" s="27" customFormat="1" ht="17.25" customHeight="1">
      <c r="K417" s="117"/>
      <c r="V417" s="140"/>
      <c r="W417" s="140"/>
      <c r="X417" s="140"/>
      <c r="Y417" s="140"/>
      <c r="Z417" s="140"/>
      <c r="AA417" s="140"/>
      <c r="AB417" s="331"/>
      <c r="AC417" s="140"/>
      <c r="AD417" s="140"/>
      <c r="AE417" s="140"/>
      <c r="AF417" s="140"/>
      <c r="AG417" s="140"/>
    </row>
    <row r="418" spans="11:33" s="27" customFormat="1" ht="17.25" customHeight="1">
      <c r="K418" s="117"/>
      <c r="V418" s="140"/>
      <c r="W418" s="140"/>
      <c r="X418" s="140"/>
      <c r="Y418" s="140"/>
      <c r="Z418" s="140"/>
      <c r="AA418" s="140"/>
      <c r="AB418" s="331"/>
      <c r="AC418" s="140"/>
      <c r="AD418" s="140"/>
      <c r="AE418" s="140"/>
      <c r="AF418" s="140"/>
      <c r="AG418" s="140"/>
    </row>
    <row r="419" spans="11:33" s="27" customFormat="1" ht="17.25" customHeight="1">
      <c r="K419" s="117"/>
      <c r="V419" s="140"/>
      <c r="W419" s="140"/>
      <c r="X419" s="140"/>
      <c r="Y419" s="140"/>
      <c r="Z419" s="140"/>
      <c r="AA419" s="140"/>
      <c r="AB419" s="331"/>
      <c r="AC419" s="140"/>
      <c r="AD419" s="140"/>
      <c r="AE419" s="140"/>
      <c r="AF419" s="140"/>
      <c r="AG419" s="140"/>
    </row>
    <row r="420" spans="11:33" s="27" customFormat="1" ht="17.25" customHeight="1">
      <c r="K420" s="117"/>
      <c r="V420" s="140"/>
      <c r="W420" s="140"/>
      <c r="X420" s="140"/>
      <c r="Y420" s="140"/>
      <c r="Z420" s="140"/>
      <c r="AA420" s="140"/>
      <c r="AB420" s="331"/>
      <c r="AC420" s="140"/>
      <c r="AD420" s="140"/>
      <c r="AE420" s="140"/>
      <c r="AF420" s="140"/>
      <c r="AG420" s="140"/>
    </row>
    <row r="421" spans="11:33" s="27" customFormat="1" ht="17.25" customHeight="1">
      <c r="K421" s="117"/>
      <c r="V421" s="140"/>
      <c r="W421" s="140"/>
      <c r="X421" s="140"/>
      <c r="Y421" s="140"/>
      <c r="Z421" s="140"/>
      <c r="AA421" s="140"/>
      <c r="AB421" s="331"/>
      <c r="AC421" s="140"/>
      <c r="AD421" s="140"/>
      <c r="AE421" s="140"/>
      <c r="AF421" s="140"/>
      <c r="AG421" s="140"/>
    </row>
    <row r="422" spans="11:33" s="27" customFormat="1" ht="17.25" customHeight="1">
      <c r="K422" s="117"/>
      <c r="V422" s="140"/>
      <c r="W422" s="140"/>
      <c r="X422" s="140"/>
      <c r="Y422" s="140"/>
      <c r="Z422" s="140"/>
      <c r="AA422" s="140"/>
      <c r="AB422" s="331"/>
      <c r="AC422" s="140"/>
      <c r="AD422" s="140"/>
      <c r="AE422" s="140"/>
      <c r="AF422" s="140"/>
      <c r="AG422" s="140"/>
    </row>
    <row r="423" spans="11:33" s="27" customFormat="1" ht="17.25" customHeight="1">
      <c r="K423" s="117"/>
      <c r="V423" s="140"/>
      <c r="W423" s="140"/>
      <c r="X423" s="140"/>
      <c r="Y423" s="140"/>
      <c r="Z423" s="140"/>
      <c r="AA423" s="140"/>
      <c r="AB423" s="331"/>
      <c r="AC423" s="140"/>
      <c r="AD423" s="140"/>
      <c r="AE423" s="140"/>
      <c r="AF423" s="140"/>
      <c r="AG423" s="140"/>
    </row>
    <row r="424" spans="11:33" s="27" customFormat="1" ht="17.25" customHeight="1">
      <c r="K424" s="117"/>
      <c r="V424" s="140"/>
      <c r="W424" s="140"/>
      <c r="X424" s="140"/>
      <c r="Y424" s="140"/>
      <c r="Z424" s="140"/>
      <c r="AA424" s="140"/>
      <c r="AB424" s="331"/>
      <c r="AC424" s="140"/>
      <c r="AD424" s="140"/>
      <c r="AE424" s="140"/>
      <c r="AF424" s="140"/>
      <c r="AG424" s="140"/>
    </row>
    <row r="425" spans="11:33" s="27" customFormat="1" ht="17.25" customHeight="1">
      <c r="K425" s="117"/>
      <c r="V425" s="140"/>
      <c r="W425" s="140"/>
      <c r="X425" s="140"/>
      <c r="Y425" s="140"/>
      <c r="Z425" s="140"/>
      <c r="AA425" s="140"/>
      <c r="AB425" s="331"/>
      <c r="AC425" s="140"/>
      <c r="AD425" s="140"/>
      <c r="AE425" s="140"/>
      <c r="AF425" s="140"/>
      <c r="AG425" s="140"/>
    </row>
    <row r="426" spans="11:33" s="27" customFormat="1" ht="17.25" customHeight="1">
      <c r="K426" s="117"/>
      <c r="V426" s="140"/>
      <c r="W426" s="140"/>
      <c r="X426" s="140"/>
      <c r="Y426" s="140"/>
      <c r="Z426" s="140"/>
      <c r="AA426" s="140"/>
      <c r="AB426" s="331"/>
      <c r="AC426" s="140"/>
      <c r="AD426" s="140"/>
      <c r="AE426" s="140"/>
      <c r="AF426" s="140"/>
      <c r="AG426" s="140"/>
    </row>
    <row r="427" spans="11:33" s="27" customFormat="1" ht="17.25" customHeight="1">
      <c r="K427" s="117"/>
      <c r="V427" s="140"/>
      <c r="W427" s="140"/>
      <c r="X427" s="140"/>
      <c r="Y427" s="140"/>
      <c r="Z427" s="140"/>
      <c r="AA427" s="140"/>
      <c r="AB427" s="331"/>
      <c r="AC427" s="140"/>
      <c r="AD427" s="140"/>
      <c r="AE427" s="140"/>
      <c r="AF427" s="140"/>
      <c r="AG427" s="140"/>
    </row>
    <row r="428" spans="11:33" s="27" customFormat="1" ht="17.25" customHeight="1">
      <c r="K428" s="117"/>
      <c r="V428" s="140"/>
      <c r="W428" s="140"/>
      <c r="X428" s="140"/>
      <c r="Y428" s="140"/>
      <c r="Z428" s="140"/>
      <c r="AA428" s="140"/>
      <c r="AB428" s="331"/>
      <c r="AC428" s="140"/>
      <c r="AD428" s="140"/>
      <c r="AE428" s="140"/>
      <c r="AF428" s="140"/>
      <c r="AG428" s="140"/>
    </row>
    <row r="429" spans="11:33" s="27" customFormat="1" ht="17.25" customHeight="1">
      <c r="K429" s="117"/>
      <c r="V429" s="140"/>
      <c r="W429" s="140"/>
      <c r="X429" s="140"/>
      <c r="Y429" s="140"/>
      <c r="Z429" s="140"/>
      <c r="AA429" s="140"/>
      <c r="AB429" s="331"/>
      <c r="AC429" s="140"/>
      <c r="AD429" s="140"/>
      <c r="AE429" s="140"/>
      <c r="AF429" s="140"/>
      <c r="AG429" s="140"/>
    </row>
    <row r="430" spans="11:33" s="27" customFormat="1" ht="17.25" customHeight="1">
      <c r="K430" s="117"/>
      <c r="V430" s="140"/>
      <c r="W430" s="140"/>
      <c r="X430" s="140"/>
      <c r="Y430" s="140"/>
      <c r="Z430" s="140"/>
      <c r="AA430" s="140"/>
      <c r="AB430" s="331"/>
      <c r="AC430" s="140"/>
      <c r="AD430" s="140"/>
      <c r="AE430" s="140"/>
      <c r="AF430" s="140"/>
      <c r="AG430" s="140"/>
    </row>
    <row r="431" spans="11:33" s="27" customFormat="1" ht="17.25" customHeight="1">
      <c r="K431" s="117"/>
      <c r="V431" s="140"/>
      <c r="W431" s="140"/>
      <c r="X431" s="140"/>
      <c r="Y431" s="140"/>
      <c r="Z431" s="140"/>
      <c r="AA431" s="140"/>
      <c r="AB431" s="331"/>
      <c r="AC431" s="140"/>
      <c r="AD431" s="140"/>
      <c r="AE431" s="140"/>
      <c r="AF431" s="140"/>
      <c r="AG431" s="140"/>
    </row>
    <row r="432" spans="11:33" s="27" customFormat="1" ht="17.25" customHeight="1">
      <c r="K432" s="117"/>
      <c r="V432" s="140"/>
      <c r="W432" s="140"/>
      <c r="X432" s="140"/>
      <c r="Y432" s="140"/>
      <c r="Z432" s="140"/>
      <c r="AA432" s="140"/>
      <c r="AB432" s="331"/>
      <c r="AC432" s="140"/>
      <c r="AD432" s="140"/>
      <c r="AE432" s="140"/>
      <c r="AF432" s="140"/>
      <c r="AG432" s="140"/>
    </row>
    <row r="433" spans="11:33" s="27" customFormat="1" ht="17.25" customHeight="1">
      <c r="K433" s="117"/>
      <c r="V433" s="140"/>
      <c r="W433" s="140"/>
      <c r="X433" s="140"/>
      <c r="Y433" s="140"/>
      <c r="Z433" s="140"/>
      <c r="AA433" s="140"/>
      <c r="AB433" s="331"/>
      <c r="AC433" s="140"/>
      <c r="AD433" s="140"/>
      <c r="AE433" s="140"/>
      <c r="AF433" s="140"/>
      <c r="AG433" s="140"/>
    </row>
    <row r="434" spans="11:33" s="27" customFormat="1" ht="17.25" customHeight="1">
      <c r="K434" s="117"/>
      <c r="V434" s="140"/>
      <c r="W434" s="140"/>
      <c r="X434" s="140"/>
      <c r="Y434" s="140"/>
      <c r="Z434" s="140"/>
      <c r="AA434" s="140"/>
      <c r="AB434" s="331"/>
      <c r="AC434" s="140"/>
      <c r="AD434" s="140"/>
      <c r="AE434" s="140"/>
      <c r="AF434" s="140"/>
      <c r="AG434" s="140"/>
    </row>
    <row r="435" spans="11:33" s="27" customFormat="1" ht="17.25" customHeight="1">
      <c r="K435" s="117"/>
      <c r="V435" s="140"/>
      <c r="W435" s="140"/>
      <c r="X435" s="140"/>
      <c r="Y435" s="140"/>
      <c r="Z435" s="140"/>
      <c r="AA435" s="140"/>
      <c r="AB435" s="331"/>
      <c r="AC435" s="140"/>
      <c r="AD435" s="140"/>
      <c r="AE435" s="140"/>
      <c r="AF435" s="140"/>
      <c r="AG435" s="140"/>
    </row>
    <row r="436" spans="11:33" s="27" customFormat="1" ht="17.25" customHeight="1">
      <c r="K436" s="117"/>
      <c r="V436" s="140"/>
      <c r="W436" s="140"/>
      <c r="X436" s="140"/>
      <c r="Y436" s="140"/>
      <c r="Z436" s="140"/>
      <c r="AA436" s="140"/>
      <c r="AB436" s="331"/>
      <c r="AC436" s="140"/>
      <c r="AD436" s="140"/>
      <c r="AE436" s="140"/>
      <c r="AF436" s="140"/>
      <c r="AG436" s="140"/>
    </row>
    <row r="437" spans="11:33" s="27" customFormat="1" ht="17.25" customHeight="1">
      <c r="K437" s="117"/>
      <c r="V437" s="140"/>
      <c r="W437" s="140"/>
      <c r="X437" s="140"/>
      <c r="Y437" s="140"/>
      <c r="Z437" s="140"/>
      <c r="AA437" s="140"/>
      <c r="AB437" s="331"/>
      <c r="AC437" s="140"/>
      <c r="AD437" s="140"/>
      <c r="AE437" s="140"/>
      <c r="AF437" s="140"/>
      <c r="AG437" s="140"/>
    </row>
    <row r="438" spans="11:33" s="27" customFormat="1" ht="17.25" customHeight="1">
      <c r="K438" s="117"/>
      <c r="V438" s="140"/>
      <c r="W438" s="140"/>
      <c r="X438" s="140"/>
      <c r="Y438" s="140"/>
      <c r="Z438" s="140"/>
      <c r="AA438" s="140"/>
      <c r="AB438" s="331"/>
      <c r="AC438" s="140"/>
      <c r="AD438" s="140"/>
      <c r="AE438" s="140"/>
      <c r="AF438" s="140"/>
      <c r="AG438" s="140"/>
    </row>
    <row r="439" spans="11:33" s="27" customFormat="1" ht="17.25" customHeight="1">
      <c r="K439" s="117"/>
      <c r="V439" s="140"/>
      <c r="W439" s="140"/>
      <c r="X439" s="140"/>
      <c r="Y439" s="140"/>
      <c r="Z439" s="140"/>
      <c r="AA439" s="140"/>
      <c r="AB439" s="331"/>
      <c r="AC439" s="140"/>
      <c r="AD439" s="140"/>
      <c r="AE439" s="140"/>
      <c r="AF439" s="140"/>
      <c r="AG439" s="140"/>
    </row>
    <row r="440" spans="11:33" s="27" customFormat="1" ht="17.25" customHeight="1">
      <c r="K440" s="117"/>
      <c r="V440" s="140"/>
      <c r="W440" s="140"/>
      <c r="X440" s="140"/>
      <c r="Y440" s="140"/>
      <c r="Z440" s="140"/>
      <c r="AA440" s="140"/>
      <c r="AB440" s="331"/>
      <c r="AC440" s="140"/>
      <c r="AD440" s="140"/>
      <c r="AE440" s="140"/>
      <c r="AF440" s="140"/>
      <c r="AG440" s="140"/>
    </row>
    <row r="441" spans="11:33" s="27" customFormat="1" ht="17.25" customHeight="1">
      <c r="K441" s="117"/>
      <c r="V441" s="140"/>
      <c r="W441" s="140"/>
      <c r="X441" s="140"/>
      <c r="Y441" s="140"/>
      <c r="Z441" s="140"/>
      <c r="AA441" s="140"/>
      <c r="AB441" s="331"/>
      <c r="AC441" s="140"/>
      <c r="AD441" s="140"/>
      <c r="AE441" s="140"/>
      <c r="AF441" s="140"/>
      <c r="AG441" s="140"/>
    </row>
    <row r="442" spans="11:33" s="27" customFormat="1" ht="17.25" customHeight="1">
      <c r="K442" s="117"/>
      <c r="V442" s="140"/>
      <c r="W442" s="140"/>
      <c r="X442" s="140"/>
      <c r="Y442" s="140"/>
      <c r="Z442" s="140"/>
      <c r="AA442" s="140"/>
      <c r="AB442" s="331"/>
      <c r="AC442" s="140"/>
      <c r="AD442" s="140"/>
      <c r="AE442" s="140"/>
      <c r="AF442" s="140"/>
      <c r="AG442" s="140"/>
    </row>
    <row r="443" spans="11:33" s="27" customFormat="1" ht="17.25" customHeight="1">
      <c r="K443" s="117"/>
      <c r="V443" s="140"/>
      <c r="W443" s="140"/>
      <c r="X443" s="140"/>
      <c r="Y443" s="140"/>
      <c r="Z443" s="140"/>
      <c r="AA443" s="140"/>
      <c r="AB443" s="331"/>
      <c r="AC443" s="140"/>
      <c r="AD443" s="140"/>
      <c r="AE443" s="140"/>
      <c r="AF443" s="140"/>
      <c r="AG443" s="140"/>
    </row>
    <row r="444" spans="11:33" s="27" customFormat="1" ht="17.25" customHeight="1">
      <c r="K444" s="117"/>
      <c r="V444" s="140"/>
      <c r="W444" s="140"/>
      <c r="X444" s="140"/>
      <c r="Y444" s="140"/>
      <c r="Z444" s="140"/>
      <c r="AA444" s="140"/>
      <c r="AB444" s="331"/>
      <c r="AC444" s="140"/>
      <c r="AD444" s="140"/>
      <c r="AE444" s="140"/>
      <c r="AF444" s="140"/>
      <c r="AG444" s="140"/>
    </row>
    <row r="445" spans="11:33" s="27" customFormat="1" ht="17.25" customHeight="1">
      <c r="K445" s="117"/>
      <c r="V445" s="140"/>
      <c r="W445" s="140"/>
      <c r="X445" s="140"/>
      <c r="Y445" s="140"/>
      <c r="Z445" s="140"/>
      <c r="AA445" s="140"/>
      <c r="AB445" s="331"/>
      <c r="AC445" s="140"/>
      <c r="AD445" s="140"/>
      <c r="AE445" s="140"/>
      <c r="AF445" s="140"/>
      <c r="AG445" s="140"/>
    </row>
    <row r="446" spans="11:33" s="27" customFormat="1" ht="17.25" customHeight="1">
      <c r="K446" s="117"/>
      <c r="V446" s="140"/>
      <c r="W446" s="140"/>
      <c r="X446" s="140"/>
      <c r="Y446" s="140"/>
      <c r="Z446" s="140"/>
      <c r="AA446" s="140"/>
      <c r="AB446" s="331"/>
      <c r="AC446" s="140"/>
      <c r="AD446" s="140"/>
      <c r="AE446" s="140"/>
      <c r="AF446" s="140"/>
      <c r="AG446" s="140"/>
    </row>
    <row r="447" spans="11:33" s="27" customFormat="1" ht="17.25" customHeight="1">
      <c r="K447" s="117"/>
      <c r="V447" s="140"/>
      <c r="W447" s="140"/>
      <c r="X447" s="140"/>
      <c r="Y447" s="140"/>
      <c r="Z447" s="140"/>
      <c r="AA447" s="140"/>
      <c r="AB447" s="331"/>
      <c r="AC447" s="140"/>
      <c r="AD447" s="140"/>
      <c r="AE447" s="140"/>
      <c r="AF447" s="140"/>
      <c r="AG447" s="140"/>
    </row>
    <row r="448" spans="11:33" s="27" customFormat="1" ht="17.25" customHeight="1">
      <c r="K448" s="117"/>
      <c r="V448" s="140"/>
      <c r="W448" s="140"/>
      <c r="X448" s="140"/>
      <c r="Y448" s="140"/>
      <c r="Z448" s="140"/>
      <c r="AA448" s="140"/>
      <c r="AB448" s="331"/>
      <c r="AC448" s="140"/>
      <c r="AD448" s="140"/>
      <c r="AE448" s="140"/>
      <c r="AF448" s="140"/>
      <c r="AG448" s="140"/>
    </row>
    <row r="449" spans="11:33" s="27" customFormat="1" ht="17.25" customHeight="1">
      <c r="K449" s="117"/>
      <c r="V449" s="140"/>
      <c r="W449" s="140"/>
      <c r="X449" s="140"/>
      <c r="Y449" s="140"/>
      <c r="Z449" s="140"/>
      <c r="AA449" s="140"/>
      <c r="AB449" s="331"/>
      <c r="AC449" s="140"/>
      <c r="AD449" s="140"/>
      <c r="AE449" s="140"/>
      <c r="AF449" s="140"/>
      <c r="AG449" s="140"/>
    </row>
    <row r="450" spans="11:33" s="27" customFormat="1" ht="17.25" customHeight="1">
      <c r="K450" s="117"/>
      <c r="V450" s="140"/>
      <c r="W450" s="140"/>
      <c r="X450" s="140"/>
      <c r="Y450" s="140"/>
      <c r="Z450" s="140"/>
      <c r="AA450" s="140"/>
      <c r="AB450" s="331"/>
      <c r="AC450" s="140"/>
      <c r="AD450" s="140"/>
      <c r="AE450" s="140"/>
      <c r="AF450" s="140"/>
      <c r="AG450" s="140"/>
    </row>
    <row r="451" spans="11:33" s="27" customFormat="1" ht="17.25" customHeight="1">
      <c r="K451" s="117"/>
      <c r="V451" s="140"/>
      <c r="W451" s="140"/>
      <c r="X451" s="140"/>
      <c r="Y451" s="140"/>
      <c r="Z451" s="140"/>
      <c r="AA451" s="140"/>
      <c r="AB451" s="331"/>
      <c r="AC451" s="140"/>
      <c r="AD451" s="140"/>
      <c r="AE451" s="140"/>
      <c r="AF451" s="140"/>
      <c r="AG451" s="140"/>
    </row>
    <row r="452" spans="11:33" s="27" customFormat="1" ht="17.25" customHeight="1">
      <c r="K452" s="117"/>
      <c r="V452" s="140"/>
      <c r="W452" s="140"/>
      <c r="X452" s="140"/>
      <c r="Y452" s="140"/>
      <c r="Z452" s="140"/>
      <c r="AA452" s="140"/>
      <c r="AB452" s="331"/>
      <c r="AC452" s="140"/>
      <c r="AD452" s="140"/>
      <c r="AE452" s="140"/>
      <c r="AF452" s="140"/>
      <c r="AG452" s="140"/>
    </row>
    <row r="453" spans="11:33" s="27" customFormat="1" ht="17.25" customHeight="1">
      <c r="K453" s="117"/>
      <c r="V453" s="140"/>
      <c r="W453" s="140"/>
      <c r="X453" s="140"/>
      <c r="Y453" s="140"/>
      <c r="Z453" s="140"/>
      <c r="AA453" s="140"/>
      <c r="AB453" s="331"/>
      <c r="AC453" s="140"/>
      <c r="AD453" s="140"/>
      <c r="AE453" s="140"/>
      <c r="AF453" s="140"/>
      <c r="AG453" s="140"/>
    </row>
    <row r="454" spans="11:33" s="27" customFormat="1" ht="17.25" customHeight="1">
      <c r="K454" s="117"/>
      <c r="V454" s="140"/>
      <c r="W454" s="140"/>
      <c r="X454" s="140"/>
      <c r="Y454" s="140"/>
      <c r="Z454" s="140"/>
      <c r="AA454" s="140"/>
      <c r="AB454" s="331"/>
      <c r="AC454" s="140"/>
      <c r="AD454" s="140"/>
      <c r="AE454" s="140"/>
      <c r="AF454" s="140"/>
      <c r="AG454" s="140"/>
    </row>
    <row r="455" spans="11:33" s="27" customFormat="1" ht="17.25" customHeight="1">
      <c r="K455" s="117"/>
      <c r="V455" s="140"/>
      <c r="W455" s="140"/>
      <c r="X455" s="140"/>
      <c r="Y455" s="140"/>
      <c r="Z455" s="140"/>
      <c r="AA455" s="140"/>
      <c r="AB455" s="331"/>
      <c r="AC455" s="140"/>
      <c r="AD455" s="140"/>
      <c r="AE455" s="140"/>
      <c r="AF455" s="140"/>
      <c r="AG455" s="140"/>
    </row>
    <row r="456" spans="11:33" s="27" customFormat="1" ht="17.25" customHeight="1">
      <c r="K456" s="117"/>
      <c r="V456" s="140"/>
      <c r="W456" s="140"/>
      <c r="X456" s="140"/>
      <c r="Y456" s="140"/>
      <c r="Z456" s="140"/>
      <c r="AA456" s="140"/>
      <c r="AB456" s="331"/>
      <c r="AC456" s="140"/>
      <c r="AD456" s="140"/>
      <c r="AE456" s="140"/>
      <c r="AF456" s="140"/>
      <c r="AG456" s="140"/>
    </row>
    <row r="457" spans="11:33" s="27" customFormat="1">
      <c r="K457" s="117"/>
      <c r="V457" s="140"/>
      <c r="W457" s="140"/>
      <c r="X457" s="140"/>
      <c r="Y457" s="140"/>
      <c r="Z457" s="140"/>
      <c r="AA457" s="140"/>
      <c r="AB457" s="331"/>
      <c r="AC457" s="140"/>
      <c r="AD457" s="140"/>
      <c r="AE457" s="140"/>
      <c r="AF457" s="140"/>
      <c r="AG457" s="140"/>
    </row>
    <row r="458" spans="11:33" s="27" customFormat="1">
      <c r="K458" s="117"/>
      <c r="V458" s="140"/>
      <c r="W458" s="140"/>
      <c r="X458" s="140"/>
      <c r="Y458" s="140"/>
      <c r="Z458" s="140"/>
      <c r="AA458" s="140"/>
      <c r="AB458" s="331"/>
      <c r="AC458" s="140"/>
      <c r="AD458" s="140"/>
      <c r="AE458" s="140"/>
      <c r="AF458" s="140"/>
      <c r="AG458" s="140"/>
    </row>
    <row r="459" spans="11:33" s="27" customFormat="1">
      <c r="K459" s="117"/>
      <c r="V459" s="140"/>
      <c r="W459" s="140"/>
      <c r="X459" s="140"/>
      <c r="Y459" s="140"/>
      <c r="Z459" s="140"/>
      <c r="AA459" s="140"/>
      <c r="AB459" s="331"/>
      <c r="AC459" s="140"/>
      <c r="AD459" s="140"/>
      <c r="AE459" s="140"/>
      <c r="AF459" s="140"/>
      <c r="AG459" s="140"/>
    </row>
    <row r="460" spans="11:33" s="27" customFormat="1">
      <c r="K460" s="117"/>
      <c r="V460" s="140"/>
      <c r="W460" s="140"/>
      <c r="X460" s="140"/>
      <c r="Y460" s="140"/>
      <c r="Z460" s="140"/>
      <c r="AA460" s="140"/>
      <c r="AB460" s="331"/>
      <c r="AC460" s="140"/>
      <c r="AD460" s="140"/>
      <c r="AE460" s="140"/>
      <c r="AF460" s="140"/>
      <c r="AG460" s="140"/>
    </row>
    <row r="461" spans="11:33" s="27" customFormat="1">
      <c r="K461" s="117"/>
      <c r="V461" s="140"/>
      <c r="W461" s="140"/>
      <c r="X461" s="140"/>
      <c r="Y461" s="140"/>
      <c r="Z461" s="140"/>
      <c r="AA461" s="140"/>
      <c r="AB461" s="331"/>
      <c r="AC461" s="140"/>
      <c r="AD461" s="140"/>
      <c r="AE461" s="140"/>
      <c r="AF461" s="140"/>
      <c r="AG461" s="140"/>
    </row>
    <row r="462" spans="11:33" s="27" customFormat="1">
      <c r="K462" s="117"/>
      <c r="V462" s="140"/>
      <c r="W462" s="140"/>
      <c r="X462" s="140"/>
      <c r="Y462" s="140"/>
      <c r="Z462" s="140"/>
      <c r="AA462" s="140"/>
      <c r="AB462" s="331"/>
      <c r="AC462" s="140"/>
      <c r="AD462" s="140"/>
      <c r="AE462" s="140"/>
      <c r="AF462" s="140"/>
      <c r="AG462" s="140"/>
    </row>
    <row r="463" spans="11:33" s="27" customFormat="1">
      <c r="K463" s="117"/>
      <c r="V463" s="140"/>
      <c r="W463" s="140"/>
      <c r="X463" s="140"/>
      <c r="Y463" s="140"/>
      <c r="Z463" s="140"/>
      <c r="AA463" s="140"/>
      <c r="AB463" s="331"/>
      <c r="AC463" s="140"/>
      <c r="AD463" s="140"/>
      <c r="AE463" s="140"/>
      <c r="AF463" s="140"/>
      <c r="AG463" s="140"/>
    </row>
    <row r="464" spans="11:33" s="27" customFormat="1">
      <c r="K464" s="117"/>
      <c r="V464" s="140"/>
      <c r="W464" s="140"/>
      <c r="X464" s="140"/>
      <c r="Y464" s="140"/>
      <c r="Z464" s="140"/>
      <c r="AA464" s="140"/>
      <c r="AB464" s="331"/>
      <c r="AC464" s="140"/>
      <c r="AD464" s="140"/>
      <c r="AE464" s="140"/>
      <c r="AF464" s="140"/>
      <c r="AG464" s="140"/>
    </row>
    <row r="465" spans="11:33" s="27" customFormat="1">
      <c r="K465" s="117"/>
      <c r="V465" s="140"/>
      <c r="W465" s="140"/>
      <c r="X465" s="140"/>
      <c r="Y465" s="140"/>
      <c r="Z465" s="140"/>
      <c r="AA465" s="140"/>
      <c r="AB465" s="331"/>
      <c r="AC465" s="140"/>
      <c r="AD465" s="140"/>
      <c r="AE465" s="140"/>
      <c r="AF465" s="140"/>
      <c r="AG465" s="140"/>
    </row>
    <row r="466" spans="11:33" s="27" customFormat="1">
      <c r="K466" s="117"/>
      <c r="V466" s="140"/>
      <c r="W466" s="140"/>
      <c r="X466" s="140"/>
      <c r="Y466" s="140"/>
      <c r="Z466" s="140"/>
      <c r="AA466" s="140"/>
      <c r="AB466" s="331"/>
      <c r="AC466" s="140"/>
      <c r="AD466" s="140"/>
      <c r="AE466" s="140"/>
      <c r="AF466" s="140"/>
      <c r="AG466" s="140"/>
    </row>
    <row r="467" spans="11:33" s="27" customFormat="1">
      <c r="K467" s="117"/>
      <c r="V467" s="140"/>
      <c r="W467" s="140"/>
      <c r="X467" s="140"/>
      <c r="Y467" s="140"/>
      <c r="Z467" s="140"/>
      <c r="AA467" s="140"/>
      <c r="AB467" s="331"/>
      <c r="AC467" s="140"/>
      <c r="AD467" s="140"/>
      <c r="AE467" s="140"/>
      <c r="AF467" s="140"/>
      <c r="AG467" s="140"/>
    </row>
    <row r="468" spans="11:33" s="27" customFormat="1">
      <c r="K468" s="117"/>
      <c r="V468" s="140"/>
      <c r="W468" s="140"/>
      <c r="X468" s="140"/>
      <c r="Y468" s="140"/>
      <c r="Z468" s="140"/>
      <c r="AA468" s="140"/>
      <c r="AB468" s="331"/>
      <c r="AC468" s="140"/>
      <c r="AD468" s="140"/>
      <c r="AE468" s="140"/>
      <c r="AF468" s="140"/>
      <c r="AG468" s="140"/>
    </row>
    <row r="469" spans="11:33" s="27" customFormat="1">
      <c r="K469" s="117"/>
      <c r="V469" s="140"/>
      <c r="W469" s="140"/>
      <c r="X469" s="140"/>
      <c r="Y469" s="140"/>
      <c r="Z469" s="140"/>
      <c r="AA469" s="140"/>
      <c r="AB469" s="331"/>
      <c r="AC469" s="140"/>
      <c r="AD469" s="140"/>
      <c r="AE469" s="140"/>
      <c r="AF469" s="140"/>
      <c r="AG469" s="140"/>
    </row>
    <row r="470" spans="11:33" s="27" customFormat="1">
      <c r="K470" s="117"/>
      <c r="V470" s="140"/>
      <c r="W470" s="140"/>
      <c r="X470" s="140"/>
      <c r="Y470" s="140"/>
      <c r="Z470" s="140"/>
      <c r="AA470" s="140"/>
      <c r="AB470" s="331"/>
      <c r="AC470" s="140"/>
      <c r="AD470" s="140"/>
      <c r="AE470" s="140"/>
      <c r="AF470" s="140"/>
      <c r="AG470" s="140"/>
    </row>
    <row r="471" spans="11:33" s="27" customFormat="1">
      <c r="K471" s="117"/>
      <c r="V471" s="140"/>
      <c r="W471" s="140"/>
      <c r="X471" s="140"/>
      <c r="Y471" s="140"/>
      <c r="Z471" s="140"/>
      <c r="AA471" s="140"/>
      <c r="AB471" s="331"/>
      <c r="AC471" s="140"/>
      <c r="AD471" s="140"/>
      <c r="AE471" s="140"/>
      <c r="AF471" s="140"/>
      <c r="AG471" s="140"/>
    </row>
    <row r="472" spans="11:33" s="27" customFormat="1">
      <c r="K472" s="117"/>
      <c r="V472" s="140"/>
      <c r="W472" s="140"/>
      <c r="X472" s="140"/>
      <c r="Y472" s="140"/>
      <c r="Z472" s="140"/>
      <c r="AA472" s="140"/>
      <c r="AB472" s="331"/>
      <c r="AC472" s="140"/>
      <c r="AD472" s="140"/>
      <c r="AE472" s="140"/>
      <c r="AF472" s="140"/>
      <c r="AG472" s="140"/>
    </row>
    <row r="473" spans="11:33" s="27" customFormat="1">
      <c r="K473" s="117"/>
      <c r="V473" s="140"/>
      <c r="W473" s="140"/>
      <c r="X473" s="140"/>
      <c r="Y473" s="140"/>
      <c r="Z473" s="140"/>
      <c r="AA473" s="140"/>
      <c r="AB473" s="331"/>
      <c r="AC473" s="140"/>
      <c r="AD473" s="140"/>
      <c r="AE473" s="140"/>
      <c r="AF473" s="140"/>
      <c r="AG473" s="140"/>
    </row>
    <row r="474" spans="11:33" s="27" customFormat="1">
      <c r="K474" s="117"/>
      <c r="V474" s="140"/>
      <c r="W474" s="140"/>
      <c r="X474" s="140"/>
      <c r="Y474" s="140"/>
      <c r="Z474" s="140"/>
      <c r="AA474" s="140"/>
      <c r="AB474" s="331"/>
      <c r="AC474" s="140"/>
      <c r="AD474" s="140"/>
      <c r="AE474" s="140"/>
      <c r="AF474" s="140"/>
      <c r="AG474" s="140"/>
    </row>
    <row r="475" spans="11:33" s="27" customFormat="1">
      <c r="K475" s="117"/>
      <c r="V475" s="140"/>
      <c r="W475" s="140"/>
      <c r="X475" s="140"/>
      <c r="Y475" s="140"/>
      <c r="Z475" s="140"/>
      <c r="AA475" s="140"/>
      <c r="AB475" s="331"/>
      <c r="AC475" s="140"/>
      <c r="AD475" s="140"/>
      <c r="AE475" s="140"/>
      <c r="AF475" s="140"/>
      <c r="AG475" s="140"/>
    </row>
    <row r="476" spans="11:33" s="27" customFormat="1">
      <c r="K476" s="117"/>
      <c r="V476" s="140"/>
      <c r="W476" s="140"/>
      <c r="X476" s="140"/>
      <c r="Y476" s="140"/>
      <c r="Z476" s="140"/>
      <c r="AA476" s="140"/>
      <c r="AB476" s="331"/>
      <c r="AC476" s="140"/>
      <c r="AD476" s="140"/>
      <c r="AE476" s="140"/>
      <c r="AF476" s="140"/>
      <c r="AG476" s="140"/>
    </row>
    <row r="477" spans="11:33" s="27" customFormat="1">
      <c r="K477" s="117"/>
      <c r="V477" s="140"/>
      <c r="W477" s="140"/>
      <c r="X477" s="140"/>
      <c r="Y477" s="140"/>
      <c r="Z477" s="140"/>
      <c r="AA477" s="140"/>
      <c r="AB477" s="331"/>
      <c r="AC477" s="140"/>
      <c r="AD477" s="140"/>
      <c r="AE477" s="140"/>
      <c r="AF477" s="140"/>
      <c r="AG477" s="140"/>
    </row>
    <row r="478" spans="11:33" s="27" customFormat="1">
      <c r="K478" s="117"/>
      <c r="V478" s="140"/>
      <c r="W478" s="140"/>
      <c r="X478" s="140"/>
      <c r="Y478" s="140"/>
      <c r="Z478" s="140"/>
      <c r="AA478" s="140"/>
      <c r="AB478" s="331"/>
      <c r="AC478" s="140"/>
      <c r="AD478" s="140"/>
      <c r="AE478" s="140"/>
      <c r="AF478" s="140"/>
      <c r="AG478" s="140"/>
    </row>
    <row r="479" spans="11:33" s="27" customFormat="1">
      <c r="K479" s="117"/>
      <c r="V479" s="140"/>
      <c r="W479" s="140"/>
      <c r="X479" s="140"/>
      <c r="Y479" s="140"/>
      <c r="Z479" s="140"/>
      <c r="AA479" s="140"/>
      <c r="AB479" s="331"/>
      <c r="AC479" s="140"/>
      <c r="AD479" s="140"/>
      <c r="AE479" s="140"/>
      <c r="AF479" s="140"/>
      <c r="AG479" s="140"/>
    </row>
    <row r="480" spans="11:33" s="27" customFormat="1">
      <c r="K480" s="117"/>
      <c r="V480" s="140"/>
      <c r="W480" s="140"/>
      <c r="X480" s="140"/>
      <c r="Y480" s="140"/>
      <c r="Z480" s="140"/>
      <c r="AA480" s="140"/>
      <c r="AB480" s="331"/>
      <c r="AC480" s="140"/>
      <c r="AD480" s="140"/>
      <c r="AE480" s="140"/>
      <c r="AF480" s="140"/>
      <c r="AG480" s="140"/>
    </row>
    <row r="481" spans="11:33" s="27" customFormat="1">
      <c r="K481" s="117"/>
      <c r="V481" s="140"/>
      <c r="W481" s="140"/>
      <c r="X481" s="140"/>
      <c r="Y481" s="140"/>
      <c r="Z481" s="140"/>
      <c r="AA481" s="140"/>
      <c r="AB481" s="331"/>
      <c r="AC481" s="140"/>
      <c r="AD481" s="140"/>
      <c r="AE481" s="140"/>
      <c r="AF481" s="140"/>
      <c r="AG481" s="140"/>
    </row>
    <row r="482" spans="11:33" s="27" customFormat="1">
      <c r="K482" s="117"/>
      <c r="V482" s="140"/>
      <c r="W482" s="140"/>
      <c r="X482" s="140"/>
      <c r="Y482" s="140"/>
      <c r="Z482" s="140"/>
      <c r="AA482" s="140"/>
      <c r="AB482" s="331"/>
      <c r="AC482" s="140"/>
      <c r="AD482" s="140"/>
      <c r="AE482" s="140"/>
      <c r="AF482" s="140"/>
      <c r="AG482" s="140"/>
    </row>
    <row r="483" spans="11:33" s="27" customFormat="1">
      <c r="K483" s="117"/>
      <c r="V483" s="140"/>
      <c r="W483" s="140"/>
      <c r="X483" s="140"/>
      <c r="Y483" s="140"/>
      <c r="Z483" s="140"/>
      <c r="AA483" s="140"/>
      <c r="AB483" s="331"/>
      <c r="AC483" s="140"/>
      <c r="AD483" s="140"/>
      <c r="AE483" s="140"/>
      <c r="AF483" s="140"/>
      <c r="AG483" s="140"/>
    </row>
    <row r="484" spans="11:33" s="27" customFormat="1">
      <c r="K484" s="117"/>
      <c r="V484" s="140"/>
      <c r="W484" s="140"/>
      <c r="X484" s="140"/>
      <c r="Y484" s="140"/>
      <c r="Z484" s="140"/>
      <c r="AA484" s="140"/>
      <c r="AB484" s="331"/>
      <c r="AC484" s="140"/>
      <c r="AD484" s="140"/>
      <c r="AE484" s="140"/>
      <c r="AF484" s="140"/>
      <c r="AG484" s="140"/>
    </row>
    <row r="485" spans="11:33" s="27" customFormat="1">
      <c r="K485" s="117"/>
      <c r="V485" s="140"/>
      <c r="W485" s="140"/>
      <c r="X485" s="140"/>
      <c r="Y485" s="140"/>
      <c r="Z485" s="140"/>
      <c r="AA485" s="140"/>
      <c r="AB485" s="331"/>
      <c r="AC485" s="140"/>
      <c r="AD485" s="140"/>
      <c r="AE485" s="140"/>
      <c r="AF485" s="140"/>
      <c r="AG485" s="140"/>
    </row>
    <row r="486" spans="11:33" s="27" customFormat="1">
      <c r="K486" s="117"/>
      <c r="V486" s="140"/>
      <c r="W486" s="140"/>
      <c r="X486" s="140"/>
      <c r="Y486" s="140"/>
      <c r="Z486" s="140"/>
      <c r="AA486" s="140"/>
      <c r="AB486" s="331"/>
      <c r="AC486" s="140"/>
      <c r="AD486" s="140"/>
      <c r="AE486" s="140"/>
      <c r="AF486" s="140"/>
      <c r="AG486" s="140"/>
    </row>
    <row r="487" spans="11:33" s="27" customFormat="1">
      <c r="K487" s="117"/>
      <c r="V487" s="140"/>
      <c r="W487" s="140"/>
      <c r="X487" s="140"/>
      <c r="Y487" s="140"/>
      <c r="Z487" s="140"/>
      <c r="AA487" s="140"/>
      <c r="AB487" s="331"/>
      <c r="AC487" s="140"/>
      <c r="AD487" s="140"/>
      <c r="AE487" s="140"/>
      <c r="AF487" s="140"/>
      <c r="AG487" s="140"/>
    </row>
    <row r="488" spans="11:33" s="27" customFormat="1">
      <c r="K488" s="117"/>
      <c r="V488" s="140"/>
      <c r="W488" s="140"/>
      <c r="X488" s="140"/>
      <c r="Y488" s="140"/>
      <c r="Z488" s="140"/>
      <c r="AA488" s="140"/>
      <c r="AB488" s="331"/>
      <c r="AC488" s="140"/>
      <c r="AD488" s="140"/>
      <c r="AE488" s="140"/>
      <c r="AF488" s="140"/>
      <c r="AG488" s="140"/>
    </row>
    <row r="489" spans="11:33" s="27" customFormat="1">
      <c r="K489" s="117"/>
      <c r="V489" s="140"/>
      <c r="W489" s="140"/>
      <c r="X489" s="140"/>
      <c r="Y489" s="140"/>
      <c r="Z489" s="140"/>
      <c r="AA489" s="140"/>
      <c r="AB489" s="331"/>
      <c r="AC489" s="140"/>
      <c r="AD489" s="140"/>
      <c r="AE489" s="140"/>
      <c r="AF489" s="140"/>
      <c r="AG489" s="140"/>
    </row>
    <row r="490" spans="11:33" s="27" customFormat="1">
      <c r="K490" s="117"/>
      <c r="V490" s="140"/>
      <c r="W490" s="140"/>
      <c r="X490" s="140"/>
      <c r="Y490" s="140"/>
      <c r="Z490" s="140"/>
      <c r="AA490" s="140"/>
      <c r="AB490" s="331"/>
      <c r="AC490" s="140"/>
      <c r="AD490" s="140"/>
      <c r="AE490" s="140"/>
      <c r="AF490" s="140"/>
      <c r="AG490" s="140"/>
    </row>
    <row r="491" spans="11:33" s="27" customFormat="1">
      <c r="K491" s="117"/>
      <c r="V491" s="140"/>
      <c r="W491" s="140"/>
      <c r="X491" s="140"/>
      <c r="Y491" s="140"/>
      <c r="Z491" s="140"/>
      <c r="AA491" s="140"/>
      <c r="AB491" s="331"/>
      <c r="AC491" s="140"/>
      <c r="AD491" s="140"/>
      <c r="AE491" s="140"/>
      <c r="AF491" s="140"/>
      <c r="AG491" s="140"/>
    </row>
    <row r="492" spans="11:33" s="27" customFormat="1">
      <c r="K492" s="117"/>
      <c r="V492" s="140"/>
      <c r="W492" s="140"/>
      <c r="X492" s="140"/>
      <c r="Y492" s="140"/>
      <c r="Z492" s="140"/>
      <c r="AA492" s="140"/>
      <c r="AB492" s="331"/>
      <c r="AC492" s="140"/>
      <c r="AD492" s="140"/>
      <c r="AE492" s="140"/>
      <c r="AF492" s="140"/>
      <c r="AG492" s="140"/>
    </row>
    <row r="493" spans="11:33" s="27" customFormat="1">
      <c r="K493" s="117"/>
      <c r="V493" s="140"/>
      <c r="W493" s="140"/>
      <c r="X493" s="140"/>
      <c r="Y493" s="140"/>
      <c r="Z493" s="140"/>
      <c r="AA493" s="140"/>
      <c r="AB493" s="331"/>
      <c r="AC493" s="140"/>
      <c r="AD493" s="140"/>
      <c r="AE493" s="140"/>
      <c r="AF493" s="140"/>
      <c r="AG493" s="140"/>
    </row>
    <row r="494" spans="11:33" s="27" customFormat="1">
      <c r="K494" s="117"/>
      <c r="V494" s="140"/>
      <c r="W494" s="140"/>
      <c r="X494" s="140"/>
      <c r="Y494" s="140"/>
      <c r="Z494" s="140"/>
      <c r="AA494" s="140"/>
      <c r="AB494" s="331"/>
      <c r="AC494" s="140"/>
      <c r="AD494" s="140"/>
      <c r="AE494" s="140"/>
      <c r="AF494" s="140"/>
      <c r="AG494" s="140"/>
    </row>
    <row r="495" spans="11:33" s="27" customFormat="1">
      <c r="K495" s="117"/>
      <c r="V495" s="140"/>
      <c r="W495" s="140"/>
      <c r="X495" s="140"/>
      <c r="Y495" s="140"/>
      <c r="Z495" s="140"/>
      <c r="AA495" s="140"/>
      <c r="AB495" s="331"/>
      <c r="AC495" s="140"/>
      <c r="AD495" s="140"/>
      <c r="AE495" s="140"/>
      <c r="AF495" s="140"/>
      <c r="AG495" s="140"/>
    </row>
    <row r="496" spans="11:33" s="27" customFormat="1">
      <c r="K496" s="117"/>
      <c r="V496" s="140"/>
      <c r="W496" s="140"/>
      <c r="X496" s="140"/>
      <c r="Y496" s="140"/>
      <c r="Z496" s="140"/>
      <c r="AA496" s="140"/>
      <c r="AB496" s="331"/>
      <c r="AC496" s="140"/>
      <c r="AD496" s="140"/>
      <c r="AE496" s="140"/>
      <c r="AF496" s="140"/>
      <c r="AG496" s="140"/>
    </row>
    <row r="497" spans="11:33" s="27" customFormat="1">
      <c r="K497" s="117"/>
      <c r="V497" s="140"/>
      <c r="W497" s="140"/>
      <c r="X497" s="140"/>
      <c r="Y497" s="140"/>
      <c r="Z497" s="140"/>
      <c r="AA497" s="140"/>
      <c r="AB497" s="331"/>
      <c r="AC497" s="140"/>
      <c r="AD497" s="140"/>
      <c r="AE497" s="140"/>
      <c r="AF497" s="140"/>
      <c r="AG497" s="140"/>
    </row>
    <row r="498" spans="11:33" s="27" customFormat="1">
      <c r="K498" s="117"/>
      <c r="V498" s="140"/>
      <c r="W498" s="140"/>
      <c r="X498" s="140"/>
      <c r="Y498" s="140"/>
      <c r="Z498" s="140"/>
      <c r="AA498" s="140"/>
      <c r="AB498" s="331"/>
      <c r="AC498" s="140"/>
      <c r="AD498" s="140"/>
      <c r="AE498" s="140"/>
      <c r="AF498" s="140"/>
      <c r="AG498" s="140"/>
    </row>
    <row r="499" spans="11:33" s="27" customFormat="1">
      <c r="K499" s="117"/>
      <c r="V499" s="140"/>
      <c r="W499" s="140"/>
      <c r="X499" s="140"/>
      <c r="Y499" s="140"/>
      <c r="Z499" s="140"/>
      <c r="AA499" s="140"/>
      <c r="AB499" s="331"/>
      <c r="AC499" s="140"/>
      <c r="AD499" s="140"/>
      <c r="AE499" s="140"/>
      <c r="AF499" s="140"/>
      <c r="AG499" s="140"/>
    </row>
    <row r="500" spans="11:33" s="27" customFormat="1">
      <c r="K500" s="117"/>
      <c r="V500" s="140"/>
      <c r="W500" s="140"/>
      <c r="X500" s="140"/>
      <c r="Y500" s="140"/>
      <c r="Z500" s="140"/>
      <c r="AA500" s="140"/>
      <c r="AB500" s="331"/>
      <c r="AC500" s="140"/>
      <c r="AD500" s="140"/>
      <c r="AE500" s="140"/>
      <c r="AF500" s="140"/>
      <c r="AG500" s="140"/>
    </row>
    <row r="501" spans="11:33" s="27" customFormat="1">
      <c r="K501" s="117"/>
      <c r="V501" s="140"/>
      <c r="W501" s="140"/>
      <c r="X501" s="140"/>
      <c r="Y501" s="140"/>
      <c r="Z501" s="140"/>
      <c r="AA501" s="140"/>
      <c r="AB501" s="331"/>
      <c r="AC501" s="140"/>
      <c r="AD501" s="140"/>
      <c r="AE501" s="140"/>
      <c r="AF501" s="140"/>
      <c r="AG501" s="140"/>
    </row>
    <row r="502" spans="11:33" s="27" customFormat="1">
      <c r="K502" s="117"/>
      <c r="V502" s="140"/>
      <c r="W502" s="140"/>
      <c r="X502" s="140"/>
      <c r="Y502" s="140"/>
      <c r="Z502" s="140"/>
      <c r="AA502" s="140"/>
      <c r="AB502" s="331"/>
      <c r="AC502" s="140"/>
      <c r="AD502" s="140"/>
      <c r="AE502" s="140"/>
      <c r="AF502" s="140"/>
      <c r="AG502" s="140"/>
    </row>
    <row r="503" spans="11:33" s="27" customFormat="1">
      <c r="K503" s="117"/>
      <c r="V503" s="140"/>
      <c r="W503" s="140"/>
      <c r="X503" s="140"/>
      <c r="Y503" s="140"/>
      <c r="Z503" s="140"/>
      <c r="AA503" s="140"/>
      <c r="AB503" s="331"/>
      <c r="AC503" s="140"/>
      <c r="AD503" s="140"/>
      <c r="AE503" s="140"/>
      <c r="AF503" s="140"/>
      <c r="AG503" s="140"/>
    </row>
    <row r="504" spans="11:33" s="27" customFormat="1">
      <c r="K504" s="117"/>
      <c r="V504" s="140"/>
      <c r="W504" s="140"/>
      <c r="X504" s="140"/>
      <c r="Y504" s="140"/>
      <c r="Z504" s="140"/>
      <c r="AA504" s="140"/>
      <c r="AB504" s="331"/>
      <c r="AC504" s="140"/>
      <c r="AD504" s="140"/>
      <c r="AE504" s="140"/>
      <c r="AF504" s="140"/>
      <c r="AG504" s="140"/>
    </row>
    <row r="505" spans="11:33" s="27" customFormat="1">
      <c r="K505" s="117"/>
      <c r="V505" s="140"/>
      <c r="W505" s="140"/>
      <c r="X505" s="140"/>
      <c r="Y505" s="140"/>
      <c r="Z505" s="140"/>
      <c r="AA505" s="140"/>
      <c r="AB505" s="331"/>
      <c r="AC505" s="140"/>
      <c r="AD505" s="140"/>
      <c r="AE505" s="140"/>
      <c r="AF505" s="140"/>
      <c r="AG505" s="140"/>
    </row>
    <row r="506" spans="11:33" s="27" customFormat="1">
      <c r="K506" s="117"/>
      <c r="V506" s="140"/>
      <c r="W506" s="140"/>
      <c r="X506" s="140"/>
      <c r="Y506" s="140"/>
      <c r="Z506" s="140"/>
      <c r="AA506" s="140"/>
      <c r="AB506" s="331"/>
      <c r="AC506" s="140"/>
      <c r="AD506" s="140"/>
      <c r="AE506" s="140"/>
      <c r="AF506" s="140"/>
      <c r="AG506" s="140"/>
    </row>
    <row r="507" spans="11:33" s="27" customFormat="1">
      <c r="K507" s="117"/>
      <c r="V507" s="140"/>
      <c r="W507" s="140"/>
      <c r="X507" s="140"/>
      <c r="Y507" s="140"/>
      <c r="Z507" s="140"/>
      <c r="AA507" s="140"/>
      <c r="AB507" s="331"/>
      <c r="AC507" s="140"/>
      <c r="AD507" s="140"/>
      <c r="AE507" s="140"/>
      <c r="AF507" s="140"/>
      <c r="AG507" s="140"/>
    </row>
    <row r="508" spans="11:33" s="27" customFormat="1">
      <c r="K508" s="117"/>
      <c r="V508" s="140"/>
      <c r="W508" s="140"/>
      <c r="X508" s="140"/>
      <c r="Y508" s="140"/>
      <c r="Z508" s="140"/>
      <c r="AA508" s="140"/>
      <c r="AB508" s="331"/>
      <c r="AC508" s="140"/>
      <c r="AD508" s="140"/>
      <c r="AE508" s="140"/>
      <c r="AF508" s="140"/>
      <c r="AG508" s="140"/>
    </row>
    <row r="509" spans="11:33" s="27" customFormat="1">
      <c r="K509" s="117"/>
      <c r="V509" s="140"/>
      <c r="W509" s="140"/>
      <c r="X509" s="140"/>
      <c r="Y509" s="140"/>
      <c r="Z509" s="140"/>
      <c r="AA509" s="140"/>
      <c r="AB509" s="331"/>
      <c r="AC509" s="140"/>
      <c r="AD509" s="140"/>
      <c r="AE509" s="140"/>
      <c r="AF509" s="140"/>
      <c r="AG509" s="140"/>
    </row>
    <row r="510" spans="11:33" s="27" customFormat="1">
      <c r="K510" s="117"/>
      <c r="V510" s="140"/>
      <c r="W510" s="140"/>
      <c r="X510" s="140"/>
      <c r="Y510" s="140"/>
      <c r="Z510" s="140"/>
      <c r="AA510" s="140"/>
      <c r="AB510" s="331"/>
      <c r="AC510" s="140"/>
      <c r="AD510" s="140"/>
      <c r="AE510" s="140"/>
      <c r="AF510" s="140"/>
      <c r="AG510" s="140"/>
    </row>
    <row r="511" spans="11:33" s="27" customFormat="1">
      <c r="K511" s="117"/>
      <c r="V511" s="140"/>
      <c r="W511" s="140"/>
      <c r="X511" s="140"/>
      <c r="Y511" s="140"/>
      <c r="Z511" s="140"/>
      <c r="AA511" s="140"/>
      <c r="AB511" s="331"/>
      <c r="AC511" s="140"/>
      <c r="AD511" s="140"/>
      <c r="AE511" s="140"/>
      <c r="AF511" s="140"/>
      <c r="AG511" s="140"/>
    </row>
    <row r="512" spans="11:33" s="27" customFormat="1">
      <c r="K512" s="117"/>
      <c r="V512" s="140"/>
      <c r="W512" s="140"/>
      <c r="X512" s="140"/>
      <c r="Y512" s="140"/>
      <c r="Z512" s="140"/>
      <c r="AA512" s="140"/>
      <c r="AB512" s="331"/>
      <c r="AC512" s="140"/>
      <c r="AD512" s="140"/>
      <c r="AE512" s="140"/>
      <c r="AF512" s="140"/>
      <c r="AG512" s="140"/>
    </row>
    <row r="513" spans="11:33" s="27" customFormat="1">
      <c r="K513" s="117"/>
      <c r="V513" s="140"/>
      <c r="W513" s="140"/>
      <c r="X513" s="140"/>
      <c r="Y513" s="140"/>
      <c r="Z513" s="140"/>
      <c r="AA513" s="140"/>
      <c r="AB513" s="331"/>
      <c r="AC513" s="140"/>
      <c r="AD513" s="140"/>
      <c r="AE513" s="140"/>
      <c r="AF513" s="140"/>
      <c r="AG513" s="140"/>
    </row>
    <row r="514" spans="11:33" s="27" customFormat="1">
      <c r="K514" s="117"/>
      <c r="V514" s="140"/>
      <c r="W514" s="140"/>
      <c r="X514" s="140"/>
      <c r="Y514" s="140"/>
      <c r="Z514" s="140"/>
      <c r="AA514" s="140"/>
      <c r="AB514" s="331"/>
      <c r="AC514" s="140"/>
      <c r="AD514" s="140"/>
      <c r="AE514" s="140"/>
      <c r="AF514" s="140"/>
      <c r="AG514" s="140"/>
    </row>
    <row r="515" spans="11:33" s="27" customFormat="1">
      <c r="K515" s="117"/>
      <c r="V515" s="140"/>
      <c r="W515" s="140"/>
      <c r="X515" s="140"/>
      <c r="Y515" s="140"/>
      <c r="Z515" s="140"/>
      <c r="AA515" s="140"/>
      <c r="AB515" s="331"/>
      <c r="AC515" s="140"/>
      <c r="AD515" s="140"/>
      <c r="AE515" s="140"/>
      <c r="AF515" s="140"/>
      <c r="AG515" s="140"/>
    </row>
    <row r="516" spans="11:33" s="27" customFormat="1">
      <c r="K516" s="117"/>
      <c r="V516" s="140"/>
      <c r="W516" s="140"/>
      <c r="X516" s="140"/>
      <c r="Y516" s="140"/>
      <c r="Z516" s="140"/>
      <c r="AA516" s="140"/>
      <c r="AB516" s="331"/>
      <c r="AC516" s="140"/>
      <c r="AD516" s="140"/>
      <c r="AE516" s="140"/>
      <c r="AF516" s="140"/>
      <c r="AG516" s="140"/>
    </row>
    <row r="517" spans="11:33" s="27" customFormat="1">
      <c r="K517" s="117"/>
      <c r="V517" s="140"/>
      <c r="W517" s="140"/>
      <c r="X517" s="140"/>
      <c r="Y517" s="140"/>
      <c r="Z517" s="140"/>
      <c r="AA517" s="140"/>
      <c r="AB517" s="331"/>
      <c r="AC517" s="140"/>
      <c r="AD517" s="140"/>
      <c r="AE517" s="140"/>
      <c r="AF517" s="140"/>
      <c r="AG517" s="140"/>
    </row>
    <row r="518" spans="11:33" s="27" customFormat="1">
      <c r="K518" s="117"/>
      <c r="V518" s="140"/>
      <c r="W518" s="140"/>
      <c r="X518" s="140"/>
      <c r="Y518" s="140"/>
      <c r="Z518" s="140"/>
      <c r="AA518" s="140"/>
      <c r="AB518" s="331"/>
      <c r="AC518" s="140"/>
      <c r="AD518" s="140"/>
      <c r="AE518" s="140"/>
      <c r="AF518" s="140"/>
      <c r="AG518" s="140"/>
    </row>
    <row r="519" spans="11:33" s="27" customFormat="1">
      <c r="K519" s="117"/>
      <c r="V519" s="140"/>
      <c r="W519" s="140"/>
      <c r="X519" s="140"/>
      <c r="Y519" s="140"/>
      <c r="Z519" s="140"/>
      <c r="AA519" s="140"/>
      <c r="AB519" s="331"/>
      <c r="AC519" s="140"/>
      <c r="AD519" s="140"/>
      <c r="AE519" s="140"/>
      <c r="AF519" s="140"/>
      <c r="AG519" s="140"/>
    </row>
    <row r="520" spans="11:33" s="27" customFormat="1">
      <c r="K520" s="117"/>
      <c r="V520" s="140"/>
      <c r="W520" s="140"/>
      <c r="X520" s="140"/>
      <c r="Y520" s="140"/>
      <c r="Z520" s="140"/>
      <c r="AA520" s="140"/>
      <c r="AB520" s="331"/>
      <c r="AC520" s="140"/>
      <c r="AD520" s="140"/>
      <c r="AE520" s="140"/>
      <c r="AF520" s="140"/>
      <c r="AG520" s="140"/>
    </row>
    <row r="521" spans="11:33" s="27" customFormat="1">
      <c r="K521" s="117"/>
      <c r="V521" s="140"/>
      <c r="W521" s="140"/>
      <c r="X521" s="140"/>
      <c r="Y521" s="140"/>
      <c r="Z521" s="140"/>
      <c r="AA521" s="140"/>
      <c r="AB521" s="331"/>
      <c r="AC521" s="140"/>
      <c r="AD521" s="140"/>
      <c r="AE521" s="140"/>
      <c r="AF521" s="140"/>
      <c r="AG521" s="140"/>
    </row>
    <row r="522" spans="11:33" s="27" customFormat="1">
      <c r="K522" s="117"/>
      <c r="V522" s="140"/>
      <c r="W522" s="140"/>
      <c r="X522" s="140"/>
      <c r="Y522" s="140"/>
      <c r="Z522" s="140"/>
      <c r="AA522" s="140"/>
      <c r="AB522" s="331"/>
      <c r="AC522" s="140"/>
      <c r="AD522" s="140"/>
      <c r="AE522" s="140"/>
      <c r="AF522" s="140"/>
      <c r="AG522" s="140"/>
    </row>
    <row r="523" spans="11:33" s="27" customFormat="1">
      <c r="K523" s="117"/>
      <c r="V523" s="140"/>
      <c r="W523" s="140"/>
      <c r="X523" s="140"/>
      <c r="Y523" s="140"/>
      <c r="Z523" s="140"/>
      <c r="AA523" s="140"/>
      <c r="AB523" s="331"/>
      <c r="AC523" s="140"/>
      <c r="AD523" s="140"/>
      <c r="AE523" s="140"/>
      <c r="AF523" s="140"/>
      <c r="AG523" s="140"/>
    </row>
    <row r="524" spans="11:33" s="27" customFormat="1">
      <c r="K524" s="117"/>
      <c r="V524" s="140"/>
      <c r="W524" s="140"/>
      <c r="X524" s="140"/>
      <c r="Y524" s="140"/>
      <c r="Z524" s="140"/>
      <c r="AA524" s="140"/>
      <c r="AB524" s="331"/>
      <c r="AC524" s="140"/>
      <c r="AD524" s="140"/>
      <c r="AE524" s="140"/>
      <c r="AF524" s="140"/>
      <c r="AG524" s="140"/>
    </row>
    <row r="525" spans="11:33" s="27" customFormat="1">
      <c r="K525" s="117"/>
      <c r="V525" s="140"/>
      <c r="W525" s="140"/>
      <c r="X525" s="140"/>
      <c r="Y525" s="140"/>
      <c r="Z525" s="140"/>
      <c r="AA525" s="140"/>
      <c r="AB525" s="331"/>
      <c r="AC525" s="140"/>
      <c r="AD525" s="140"/>
      <c r="AE525" s="140"/>
      <c r="AF525" s="140"/>
      <c r="AG525" s="140"/>
    </row>
    <row r="526" spans="11:33" s="27" customFormat="1">
      <c r="K526" s="117"/>
      <c r="V526" s="140"/>
      <c r="W526" s="140"/>
      <c r="X526" s="140"/>
      <c r="Y526" s="140"/>
      <c r="Z526" s="140"/>
      <c r="AA526" s="140"/>
      <c r="AB526" s="331"/>
      <c r="AC526" s="140"/>
      <c r="AD526" s="140"/>
      <c r="AE526" s="140"/>
      <c r="AF526" s="140"/>
      <c r="AG526" s="140"/>
    </row>
    <row r="527" spans="11:33" s="27" customFormat="1">
      <c r="K527" s="117"/>
      <c r="V527" s="140"/>
      <c r="W527" s="140"/>
      <c r="X527" s="140"/>
      <c r="Y527" s="140"/>
      <c r="Z527" s="140"/>
      <c r="AA527" s="140"/>
      <c r="AB527" s="331"/>
      <c r="AC527" s="140"/>
      <c r="AD527" s="140"/>
      <c r="AE527" s="140"/>
      <c r="AF527" s="140"/>
      <c r="AG527" s="140"/>
    </row>
    <row r="528" spans="11:33" s="27" customFormat="1">
      <c r="K528" s="117"/>
      <c r="V528" s="140"/>
      <c r="W528" s="140"/>
      <c r="X528" s="140"/>
      <c r="Y528" s="140"/>
      <c r="Z528" s="140"/>
      <c r="AA528" s="140"/>
      <c r="AB528" s="331"/>
      <c r="AC528" s="140"/>
      <c r="AD528" s="140"/>
      <c r="AE528" s="140"/>
      <c r="AF528" s="140"/>
      <c r="AG528" s="140"/>
    </row>
    <row r="529" spans="11:33" s="27" customFormat="1">
      <c r="K529" s="117"/>
      <c r="V529" s="140"/>
      <c r="W529" s="140"/>
      <c r="X529" s="140"/>
      <c r="Y529" s="140"/>
      <c r="Z529" s="140"/>
      <c r="AA529" s="140"/>
      <c r="AB529" s="331"/>
      <c r="AC529" s="140"/>
      <c r="AD529" s="140"/>
      <c r="AE529" s="140"/>
      <c r="AF529" s="140"/>
      <c r="AG529" s="140"/>
    </row>
    <row r="530" spans="11:33" s="27" customFormat="1">
      <c r="K530" s="117"/>
      <c r="V530" s="140"/>
      <c r="W530" s="140"/>
      <c r="X530" s="140"/>
      <c r="Y530" s="140"/>
      <c r="Z530" s="140"/>
      <c r="AA530" s="140"/>
      <c r="AB530" s="331"/>
      <c r="AC530" s="140"/>
      <c r="AD530" s="140"/>
      <c r="AE530" s="140"/>
      <c r="AF530" s="140"/>
      <c r="AG530" s="140"/>
    </row>
    <row r="531" spans="11:33" s="27" customFormat="1">
      <c r="K531" s="117"/>
      <c r="V531" s="140"/>
      <c r="W531" s="140"/>
      <c r="X531" s="140"/>
      <c r="Y531" s="140"/>
      <c r="Z531" s="140"/>
      <c r="AA531" s="140"/>
      <c r="AB531" s="331"/>
      <c r="AC531" s="140"/>
      <c r="AD531" s="140"/>
      <c r="AE531" s="140"/>
      <c r="AF531" s="140"/>
      <c r="AG531" s="140"/>
    </row>
    <row r="532" spans="11:33" s="27" customFormat="1">
      <c r="K532" s="117"/>
      <c r="V532" s="140"/>
      <c r="W532" s="140"/>
      <c r="X532" s="140"/>
      <c r="Y532" s="140"/>
      <c r="Z532" s="140"/>
      <c r="AA532" s="140"/>
      <c r="AB532" s="331"/>
      <c r="AC532" s="140"/>
      <c r="AD532" s="140"/>
      <c r="AE532" s="140"/>
      <c r="AF532" s="140"/>
      <c r="AG532" s="140"/>
    </row>
    <row r="533" spans="11:33" s="27" customFormat="1">
      <c r="K533" s="117"/>
      <c r="V533" s="140"/>
      <c r="W533" s="140"/>
      <c r="X533" s="140"/>
      <c r="Y533" s="140"/>
      <c r="Z533" s="140"/>
      <c r="AA533" s="140"/>
      <c r="AB533" s="331"/>
      <c r="AC533" s="140"/>
      <c r="AD533" s="140"/>
      <c r="AE533" s="140"/>
      <c r="AF533" s="140"/>
      <c r="AG533" s="140"/>
    </row>
    <row r="534" spans="11:33" s="27" customFormat="1">
      <c r="K534" s="117"/>
      <c r="V534" s="140"/>
      <c r="W534" s="140"/>
      <c r="X534" s="140"/>
      <c r="Y534" s="140"/>
      <c r="Z534" s="140"/>
      <c r="AA534" s="140"/>
      <c r="AB534" s="331"/>
      <c r="AC534" s="140"/>
      <c r="AD534" s="140"/>
      <c r="AE534" s="140"/>
      <c r="AF534" s="140"/>
      <c r="AG534" s="140"/>
    </row>
    <row r="535" spans="11:33" s="27" customFormat="1">
      <c r="K535" s="117"/>
      <c r="V535" s="140"/>
      <c r="W535" s="140"/>
      <c r="X535" s="140"/>
      <c r="Y535" s="140"/>
      <c r="Z535" s="140"/>
      <c r="AA535" s="140"/>
      <c r="AB535" s="331"/>
      <c r="AC535" s="140"/>
      <c r="AD535" s="140"/>
      <c r="AE535" s="140"/>
      <c r="AF535" s="140"/>
      <c r="AG535" s="140"/>
    </row>
    <row r="536" spans="11:33" s="27" customFormat="1">
      <c r="K536" s="117"/>
      <c r="V536" s="140"/>
      <c r="W536" s="140"/>
      <c r="X536" s="140"/>
      <c r="Y536" s="140"/>
      <c r="Z536" s="140"/>
      <c r="AA536" s="140"/>
      <c r="AB536" s="331"/>
      <c r="AC536" s="140"/>
      <c r="AD536" s="140"/>
      <c r="AE536" s="140"/>
      <c r="AF536" s="140"/>
      <c r="AG536" s="140"/>
    </row>
    <row r="537" spans="11:33" s="27" customFormat="1">
      <c r="K537" s="117"/>
      <c r="V537" s="140"/>
      <c r="W537" s="140"/>
      <c r="X537" s="140"/>
      <c r="Y537" s="140"/>
      <c r="Z537" s="140"/>
      <c r="AA537" s="140"/>
      <c r="AB537" s="331"/>
      <c r="AC537" s="140"/>
      <c r="AD537" s="140"/>
      <c r="AE537" s="140"/>
      <c r="AF537" s="140"/>
      <c r="AG537" s="140"/>
    </row>
    <row r="538" spans="11:33" s="27" customFormat="1">
      <c r="K538" s="117"/>
      <c r="V538" s="140"/>
      <c r="W538" s="140"/>
      <c r="X538" s="140"/>
      <c r="Y538" s="140"/>
      <c r="Z538" s="140"/>
      <c r="AA538" s="140"/>
      <c r="AB538" s="331"/>
      <c r="AC538" s="140"/>
      <c r="AD538" s="140"/>
      <c r="AE538" s="140"/>
      <c r="AF538" s="140"/>
      <c r="AG538" s="140"/>
    </row>
    <row r="539" spans="11:33" s="27" customFormat="1">
      <c r="K539" s="117"/>
      <c r="V539" s="140"/>
      <c r="W539" s="140"/>
      <c r="X539" s="140"/>
      <c r="Y539" s="140"/>
      <c r="Z539" s="140"/>
      <c r="AA539" s="140"/>
      <c r="AB539" s="331"/>
      <c r="AC539" s="140"/>
      <c r="AD539" s="140"/>
      <c r="AE539" s="140"/>
      <c r="AF539" s="140"/>
      <c r="AG539" s="140"/>
    </row>
    <row r="540" spans="11:33" s="27" customFormat="1">
      <c r="K540" s="117"/>
      <c r="V540" s="140"/>
      <c r="W540" s="140"/>
      <c r="X540" s="140"/>
      <c r="Y540" s="140"/>
      <c r="Z540" s="140"/>
      <c r="AA540" s="140"/>
      <c r="AB540" s="331"/>
      <c r="AC540" s="140"/>
      <c r="AD540" s="140"/>
      <c r="AE540" s="140"/>
      <c r="AF540" s="140"/>
      <c r="AG540" s="140"/>
    </row>
    <row r="541" spans="11:33" s="27" customFormat="1">
      <c r="K541" s="117"/>
      <c r="V541" s="140"/>
      <c r="W541" s="140"/>
      <c r="X541" s="140"/>
      <c r="Y541" s="140"/>
      <c r="Z541" s="140"/>
      <c r="AA541" s="140"/>
      <c r="AB541" s="331"/>
      <c r="AC541" s="140"/>
      <c r="AD541" s="140"/>
      <c r="AE541" s="140"/>
      <c r="AF541" s="140"/>
      <c r="AG541" s="140"/>
    </row>
    <row r="542" spans="11:33" s="27" customFormat="1">
      <c r="K542" s="117"/>
      <c r="V542" s="140"/>
      <c r="W542" s="140"/>
      <c r="X542" s="140"/>
      <c r="Y542" s="140"/>
      <c r="Z542" s="140"/>
      <c r="AA542" s="140"/>
      <c r="AB542" s="331"/>
      <c r="AC542" s="140"/>
      <c r="AD542" s="140"/>
      <c r="AE542" s="140"/>
      <c r="AF542" s="140"/>
      <c r="AG542" s="140"/>
    </row>
    <row r="543" spans="11:33" s="27" customFormat="1">
      <c r="K543" s="117"/>
      <c r="V543" s="140"/>
      <c r="W543" s="140"/>
      <c r="X543" s="140"/>
      <c r="Y543" s="140"/>
      <c r="Z543" s="140"/>
      <c r="AA543" s="140"/>
      <c r="AB543" s="331"/>
      <c r="AC543" s="140"/>
      <c r="AD543" s="140"/>
      <c r="AE543" s="140"/>
      <c r="AF543" s="140"/>
      <c r="AG543" s="140"/>
    </row>
    <row r="544" spans="11:33" s="27" customFormat="1">
      <c r="K544" s="117"/>
      <c r="V544" s="140"/>
      <c r="W544" s="140"/>
      <c r="X544" s="140"/>
      <c r="Y544" s="140"/>
      <c r="Z544" s="140"/>
      <c r="AA544" s="140"/>
      <c r="AB544" s="331"/>
      <c r="AC544" s="140"/>
      <c r="AD544" s="140"/>
      <c r="AE544" s="140"/>
      <c r="AF544" s="140"/>
      <c r="AG544" s="140"/>
    </row>
    <row r="545" spans="11:33" s="27" customFormat="1">
      <c r="K545" s="117"/>
      <c r="V545" s="140"/>
      <c r="W545" s="140"/>
      <c r="X545" s="140"/>
      <c r="Y545" s="140"/>
      <c r="Z545" s="140"/>
      <c r="AA545" s="140"/>
      <c r="AB545" s="331"/>
      <c r="AC545" s="140"/>
      <c r="AD545" s="140"/>
      <c r="AE545" s="140"/>
      <c r="AF545" s="140"/>
      <c r="AG545" s="140"/>
    </row>
    <row r="546" spans="11:33" s="27" customFormat="1">
      <c r="K546" s="117"/>
      <c r="V546" s="140"/>
      <c r="W546" s="140"/>
      <c r="X546" s="140"/>
      <c r="Y546" s="140"/>
      <c r="Z546" s="140"/>
      <c r="AA546" s="140"/>
      <c r="AB546" s="331"/>
      <c r="AC546" s="140"/>
      <c r="AD546" s="140"/>
      <c r="AE546" s="140"/>
      <c r="AF546" s="140"/>
      <c r="AG546" s="140"/>
    </row>
    <row r="547" spans="11:33" s="27" customFormat="1">
      <c r="K547" s="117"/>
      <c r="V547" s="140"/>
      <c r="W547" s="140"/>
      <c r="X547" s="140"/>
      <c r="Y547" s="140"/>
      <c r="Z547" s="140"/>
      <c r="AA547" s="140"/>
      <c r="AB547" s="331"/>
      <c r="AC547" s="140"/>
      <c r="AD547" s="140"/>
      <c r="AE547" s="140"/>
      <c r="AF547" s="140"/>
      <c r="AG547" s="140"/>
    </row>
    <row r="548" spans="11:33" s="27" customFormat="1">
      <c r="K548" s="117"/>
      <c r="V548" s="140"/>
      <c r="W548" s="140"/>
      <c r="X548" s="140"/>
      <c r="Y548" s="140"/>
      <c r="Z548" s="140"/>
      <c r="AA548" s="140"/>
      <c r="AB548" s="331"/>
      <c r="AC548" s="140"/>
      <c r="AD548" s="140"/>
      <c r="AE548" s="140"/>
      <c r="AF548" s="140"/>
      <c r="AG548" s="140"/>
    </row>
    <row r="549" spans="11:33" s="27" customFormat="1">
      <c r="K549" s="117"/>
      <c r="V549" s="140"/>
      <c r="W549" s="140"/>
      <c r="X549" s="140"/>
      <c r="Y549" s="140"/>
      <c r="Z549" s="140"/>
      <c r="AA549" s="140"/>
      <c r="AB549" s="331"/>
      <c r="AC549" s="140"/>
      <c r="AD549" s="140"/>
      <c r="AE549" s="140"/>
      <c r="AF549" s="140"/>
      <c r="AG549" s="140"/>
    </row>
    <row r="550" spans="11:33" s="27" customFormat="1">
      <c r="K550" s="117"/>
      <c r="V550" s="140"/>
      <c r="W550" s="140"/>
      <c r="X550" s="140"/>
      <c r="Y550" s="140"/>
      <c r="Z550" s="140"/>
      <c r="AA550" s="140"/>
      <c r="AB550" s="331"/>
      <c r="AC550" s="140"/>
      <c r="AD550" s="140"/>
      <c r="AE550" s="140"/>
      <c r="AF550" s="140"/>
      <c r="AG550" s="140"/>
    </row>
    <row r="551" spans="11:33" s="27" customFormat="1">
      <c r="K551" s="117"/>
      <c r="V551" s="140"/>
      <c r="W551" s="140"/>
      <c r="X551" s="140"/>
      <c r="Y551" s="140"/>
      <c r="Z551" s="140"/>
      <c r="AA551" s="140"/>
      <c r="AB551" s="331"/>
      <c r="AC551" s="140"/>
      <c r="AD551" s="140"/>
      <c r="AE551" s="140"/>
      <c r="AF551" s="140"/>
      <c r="AG551" s="140"/>
    </row>
    <row r="552" spans="11:33" s="27" customFormat="1">
      <c r="K552" s="117"/>
      <c r="V552" s="140"/>
      <c r="W552" s="140"/>
      <c r="X552" s="140"/>
      <c r="Y552" s="140"/>
      <c r="Z552" s="140"/>
      <c r="AA552" s="140"/>
      <c r="AB552" s="331"/>
      <c r="AC552" s="140"/>
      <c r="AD552" s="140"/>
      <c r="AE552" s="140"/>
      <c r="AF552" s="140"/>
      <c r="AG552" s="140"/>
    </row>
    <row r="553" spans="11:33" s="27" customFormat="1">
      <c r="K553" s="117"/>
      <c r="V553" s="140"/>
      <c r="W553" s="140"/>
      <c r="X553" s="140"/>
      <c r="Y553" s="140"/>
      <c r="Z553" s="140"/>
      <c r="AA553" s="140"/>
      <c r="AB553" s="331"/>
      <c r="AC553" s="140"/>
      <c r="AD553" s="140"/>
      <c r="AE553" s="140"/>
      <c r="AF553" s="140"/>
      <c r="AG553" s="140"/>
    </row>
    <row r="554" spans="11:33" s="27" customFormat="1">
      <c r="K554" s="117"/>
      <c r="V554" s="140"/>
      <c r="W554" s="140"/>
      <c r="X554" s="140"/>
      <c r="Y554" s="140"/>
      <c r="Z554" s="140"/>
      <c r="AA554" s="140"/>
      <c r="AB554" s="331"/>
      <c r="AC554" s="140"/>
      <c r="AD554" s="140"/>
      <c r="AE554" s="140"/>
      <c r="AF554" s="140"/>
      <c r="AG554" s="140"/>
    </row>
    <row r="555" spans="11:33" s="27" customFormat="1">
      <c r="K555" s="117"/>
      <c r="V555" s="140"/>
      <c r="W555" s="140"/>
      <c r="X555" s="140"/>
      <c r="Y555" s="140"/>
      <c r="Z555" s="140"/>
      <c r="AA555" s="140"/>
      <c r="AB555" s="331"/>
      <c r="AC555" s="140"/>
      <c r="AD555" s="140"/>
      <c r="AE555" s="140"/>
      <c r="AF555" s="140"/>
      <c r="AG555" s="140"/>
    </row>
    <row r="556" spans="11:33" s="27" customFormat="1">
      <c r="K556" s="117"/>
      <c r="V556" s="140"/>
      <c r="W556" s="140"/>
      <c r="X556" s="140"/>
      <c r="Y556" s="140"/>
      <c r="Z556" s="140"/>
      <c r="AA556" s="140"/>
      <c r="AB556" s="331"/>
      <c r="AC556" s="140"/>
      <c r="AD556" s="140"/>
      <c r="AE556" s="140"/>
      <c r="AF556" s="140"/>
      <c r="AG556" s="140"/>
    </row>
    <row r="557" spans="11:33" s="27" customFormat="1">
      <c r="K557" s="117"/>
      <c r="V557" s="140"/>
      <c r="W557" s="140"/>
      <c r="X557" s="140"/>
      <c r="Y557" s="140"/>
      <c r="Z557" s="140"/>
      <c r="AA557" s="140"/>
      <c r="AB557" s="331"/>
      <c r="AC557" s="140"/>
      <c r="AD557" s="140"/>
      <c r="AE557" s="140"/>
      <c r="AF557" s="140"/>
      <c r="AG557" s="140"/>
    </row>
    <row r="558" spans="11:33" s="27" customFormat="1">
      <c r="K558" s="117"/>
      <c r="V558" s="140"/>
      <c r="W558" s="140"/>
      <c r="X558" s="140"/>
      <c r="Y558" s="140"/>
      <c r="Z558" s="140"/>
      <c r="AA558" s="140"/>
      <c r="AB558" s="331"/>
      <c r="AC558" s="140"/>
      <c r="AD558" s="140"/>
      <c r="AE558" s="140"/>
      <c r="AF558" s="140"/>
      <c r="AG558" s="140"/>
    </row>
    <row r="559" spans="11:33" s="27" customFormat="1">
      <c r="K559" s="117"/>
      <c r="V559" s="140"/>
      <c r="W559" s="140"/>
      <c r="X559" s="140"/>
      <c r="Y559" s="140"/>
      <c r="Z559" s="140"/>
      <c r="AA559" s="140"/>
      <c r="AB559" s="331"/>
      <c r="AC559" s="140"/>
      <c r="AD559" s="140"/>
      <c r="AE559" s="140"/>
      <c r="AF559" s="140"/>
      <c r="AG559" s="140"/>
    </row>
    <row r="560" spans="11:33" s="27" customFormat="1">
      <c r="K560" s="117"/>
      <c r="V560" s="140"/>
      <c r="W560" s="140"/>
      <c r="X560" s="140"/>
      <c r="Y560" s="140"/>
      <c r="Z560" s="140"/>
      <c r="AA560" s="140"/>
      <c r="AB560" s="331"/>
      <c r="AC560" s="140"/>
      <c r="AD560" s="140"/>
      <c r="AE560" s="140"/>
      <c r="AF560" s="140"/>
      <c r="AG560" s="140"/>
    </row>
    <row r="561" spans="11:33" s="27" customFormat="1">
      <c r="K561" s="117"/>
      <c r="V561" s="140"/>
      <c r="W561" s="140"/>
      <c r="X561" s="140"/>
      <c r="Y561" s="140"/>
      <c r="Z561" s="140"/>
      <c r="AA561" s="140"/>
      <c r="AB561" s="331"/>
      <c r="AC561" s="140"/>
      <c r="AD561" s="140"/>
      <c r="AE561" s="140"/>
      <c r="AF561" s="140"/>
      <c r="AG561" s="140"/>
    </row>
    <row r="562" spans="11:33" s="27" customFormat="1">
      <c r="K562" s="117"/>
      <c r="V562" s="140"/>
      <c r="W562" s="140"/>
      <c r="X562" s="140"/>
      <c r="Y562" s="140"/>
      <c r="Z562" s="140"/>
      <c r="AA562" s="140"/>
      <c r="AB562" s="331"/>
      <c r="AC562" s="140"/>
      <c r="AD562" s="140"/>
      <c r="AE562" s="140"/>
      <c r="AF562" s="140"/>
      <c r="AG562" s="140"/>
    </row>
    <row r="563" spans="11:33" s="27" customFormat="1">
      <c r="K563" s="117"/>
      <c r="V563" s="140"/>
      <c r="W563" s="140"/>
      <c r="X563" s="140"/>
      <c r="Y563" s="140"/>
      <c r="Z563" s="140"/>
      <c r="AA563" s="140"/>
      <c r="AB563" s="331"/>
      <c r="AC563" s="140"/>
      <c r="AD563" s="140"/>
      <c r="AE563" s="140"/>
      <c r="AF563" s="140"/>
      <c r="AG563" s="140"/>
    </row>
    <row r="564" spans="11:33" s="27" customFormat="1">
      <c r="K564" s="117"/>
      <c r="V564" s="140"/>
      <c r="W564" s="140"/>
      <c r="X564" s="140"/>
      <c r="Y564" s="140"/>
      <c r="Z564" s="140"/>
      <c r="AA564" s="140"/>
      <c r="AB564" s="331"/>
      <c r="AC564" s="140"/>
      <c r="AD564" s="140"/>
      <c r="AE564" s="140"/>
      <c r="AF564" s="140"/>
      <c r="AG564" s="140"/>
    </row>
    <row r="565" spans="11:33" s="27" customFormat="1">
      <c r="K565" s="117"/>
      <c r="V565" s="140"/>
      <c r="W565" s="140"/>
      <c r="X565" s="140"/>
      <c r="Y565" s="140"/>
      <c r="Z565" s="140"/>
      <c r="AA565" s="140"/>
      <c r="AB565" s="331"/>
      <c r="AC565" s="140"/>
      <c r="AD565" s="140"/>
      <c r="AE565" s="140"/>
      <c r="AF565" s="140"/>
      <c r="AG565" s="140"/>
    </row>
    <row r="566" spans="11:33" s="27" customFormat="1">
      <c r="K566" s="117"/>
      <c r="V566" s="140"/>
      <c r="W566" s="140"/>
      <c r="X566" s="140"/>
      <c r="Y566" s="140"/>
      <c r="Z566" s="140"/>
      <c r="AA566" s="140"/>
      <c r="AB566" s="331"/>
      <c r="AC566" s="140"/>
      <c r="AD566" s="140"/>
      <c r="AE566" s="140"/>
      <c r="AF566" s="140"/>
      <c r="AG566" s="140"/>
    </row>
    <row r="567" spans="11:33" s="27" customFormat="1">
      <c r="K567" s="117"/>
      <c r="V567" s="140"/>
      <c r="W567" s="140"/>
      <c r="X567" s="140"/>
      <c r="Y567" s="140"/>
      <c r="Z567" s="140"/>
      <c r="AA567" s="140"/>
      <c r="AB567" s="331"/>
      <c r="AC567" s="140"/>
      <c r="AD567" s="140"/>
      <c r="AE567" s="140"/>
      <c r="AF567" s="140"/>
      <c r="AG567" s="140"/>
    </row>
    <row r="568" spans="11:33" s="27" customFormat="1">
      <c r="K568" s="117"/>
      <c r="V568" s="140"/>
      <c r="W568" s="140"/>
      <c r="X568" s="140"/>
      <c r="Y568" s="140"/>
      <c r="Z568" s="140"/>
      <c r="AA568" s="140"/>
      <c r="AB568" s="331"/>
      <c r="AC568" s="140"/>
      <c r="AD568" s="140"/>
      <c r="AE568" s="140"/>
      <c r="AF568" s="140"/>
      <c r="AG568" s="140"/>
    </row>
    <row r="569" spans="11:33" s="27" customFormat="1">
      <c r="K569" s="117"/>
      <c r="V569" s="140"/>
      <c r="W569" s="140"/>
      <c r="X569" s="140"/>
      <c r="Y569" s="140"/>
      <c r="Z569" s="140"/>
      <c r="AA569" s="140"/>
      <c r="AB569" s="331"/>
      <c r="AC569" s="140"/>
      <c r="AD569" s="140"/>
      <c r="AE569" s="140"/>
      <c r="AF569" s="140"/>
      <c r="AG569" s="140"/>
    </row>
    <row r="570" spans="11:33" s="27" customFormat="1">
      <c r="K570" s="117"/>
      <c r="V570" s="140"/>
      <c r="W570" s="140"/>
      <c r="X570" s="140"/>
      <c r="Y570" s="140"/>
      <c r="Z570" s="140"/>
      <c r="AA570" s="140"/>
      <c r="AB570" s="331"/>
      <c r="AC570" s="140"/>
      <c r="AD570" s="140"/>
      <c r="AE570" s="140"/>
      <c r="AF570" s="140"/>
      <c r="AG570" s="140"/>
    </row>
    <row r="571" spans="11:33" s="27" customFormat="1">
      <c r="K571" s="117"/>
      <c r="V571" s="140"/>
      <c r="W571" s="140"/>
      <c r="X571" s="140"/>
      <c r="Y571" s="140"/>
      <c r="Z571" s="140"/>
      <c r="AA571" s="140"/>
      <c r="AB571" s="331"/>
      <c r="AC571" s="140"/>
      <c r="AD571" s="140"/>
      <c r="AE571" s="140"/>
      <c r="AF571" s="140"/>
      <c r="AG571" s="140"/>
    </row>
    <row r="572" spans="11:33" s="27" customFormat="1">
      <c r="K572" s="117"/>
      <c r="V572" s="140"/>
      <c r="W572" s="140"/>
      <c r="X572" s="140"/>
      <c r="Y572" s="140"/>
      <c r="Z572" s="140"/>
      <c r="AA572" s="140"/>
      <c r="AB572" s="331"/>
      <c r="AC572" s="140"/>
      <c r="AD572" s="140"/>
      <c r="AE572" s="140"/>
      <c r="AF572" s="140"/>
      <c r="AG572" s="140"/>
    </row>
    <row r="573" spans="11:33" s="27" customFormat="1">
      <c r="K573" s="117"/>
      <c r="V573" s="140"/>
      <c r="W573" s="140"/>
      <c r="X573" s="140"/>
      <c r="Y573" s="140"/>
      <c r="Z573" s="140"/>
      <c r="AA573" s="140"/>
      <c r="AB573" s="331"/>
      <c r="AC573" s="140"/>
      <c r="AD573" s="140"/>
      <c r="AE573" s="140"/>
      <c r="AF573" s="140"/>
      <c r="AG573" s="140"/>
    </row>
    <row r="574" spans="11:33" s="27" customFormat="1">
      <c r="K574" s="117"/>
      <c r="V574" s="140"/>
      <c r="W574" s="140"/>
      <c r="X574" s="140"/>
      <c r="Y574" s="140"/>
      <c r="Z574" s="140"/>
      <c r="AA574" s="140"/>
      <c r="AB574" s="331"/>
      <c r="AC574" s="140"/>
      <c r="AD574" s="140"/>
      <c r="AE574" s="140"/>
      <c r="AF574" s="140"/>
      <c r="AG574" s="140"/>
    </row>
    <row r="575" spans="11:33" s="27" customFormat="1">
      <c r="K575" s="117"/>
      <c r="V575" s="140"/>
      <c r="W575" s="140"/>
      <c r="X575" s="140"/>
      <c r="Y575" s="140"/>
      <c r="Z575" s="140"/>
      <c r="AA575" s="140"/>
      <c r="AB575" s="331"/>
      <c r="AC575" s="140"/>
      <c r="AD575" s="140"/>
      <c r="AE575" s="140"/>
      <c r="AF575" s="140"/>
      <c r="AG575" s="140"/>
    </row>
    <row r="576" spans="11:33" s="27" customFormat="1">
      <c r="K576" s="117"/>
      <c r="V576" s="140"/>
      <c r="W576" s="140"/>
      <c r="X576" s="140"/>
      <c r="Y576" s="140"/>
      <c r="Z576" s="140"/>
      <c r="AA576" s="140"/>
      <c r="AB576" s="331"/>
      <c r="AC576" s="140"/>
      <c r="AD576" s="140"/>
      <c r="AE576" s="140"/>
      <c r="AF576" s="140"/>
      <c r="AG576" s="140"/>
    </row>
    <row r="577" spans="11:33" s="27" customFormat="1">
      <c r="K577" s="117"/>
      <c r="V577" s="140"/>
      <c r="W577" s="140"/>
      <c r="X577" s="140"/>
      <c r="Y577" s="140"/>
      <c r="Z577" s="140"/>
      <c r="AA577" s="140"/>
      <c r="AB577" s="331"/>
      <c r="AC577" s="140"/>
      <c r="AD577" s="140"/>
      <c r="AE577" s="140"/>
      <c r="AF577" s="140"/>
      <c r="AG577" s="140"/>
    </row>
    <row r="578" spans="11:33" s="27" customFormat="1">
      <c r="K578" s="117"/>
      <c r="V578" s="140"/>
      <c r="W578" s="140"/>
      <c r="X578" s="140"/>
      <c r="Y578" s="140"/>
      <c r="Z578" s="140"/>
      <c r="AA578" s="140"/>
      <c r="AB578" s="331"/>
      <c r="AC578" s="140"/>
      <c r="AD578" s="140"/>
      <c r="AE578" s="140"/>
      <c r="AF578" s="140"/>
      <c r="AG578" s="140"/>
    </row>
    <row r="579" spans="11:33" s="27" customFormat="1">
      <c r="K579" s="117"/>
      <c r="V579" s="140"/>
      <c r="W579" s="140"/>
      <c r="X579" s="140"/>
      <c r="Y579" s="140"/>
      <c r="Z579" s="140"/>
      <c r="AA579" s="140"/>
      <c r="AB579" s="331"/>
      <c r="AC579" s="140"/>
      <c r="AD579" s="140"/>
      <c r="AE579" s="140"/>
      <c r="AF579" s="140"/>
      <c r="AG579" s="140"/>
    </row>
    <row r="580" spans="11:33" s="27" customFormat="1">
      <c r="K580" s="117"/>
      <c r="V580" s="140"/>
      <c r="W580" s="140"/>
      <c r="X580" s="140"/>
      <c r="Y580" s="140"/>
      <c r="Z580" s="140"/>
      <c r="AA580" s="140"/>
      <c r="AB580" s="331"/>
      <c r="AC580" s="140"/>
      <c r="AD580" s="140"/>
      <c r="AE580" s="140"/>
      <c r="AF580" s="140"/>
      <c r="AG580" s="140"/>
    </row>
    <row r="581" spans="11:33" s="27" customFormat="1">
      <c r="K581" s="117"/>
      <c r="V581" s="140"/>
      <c r="W581" s="140"/>
      <c r="X581" s="140"/>
      <c r="Y581" s="140"/>
      <c r="Z581" s="140"/>
      <c r="AA581" s="140"/>
      <c r="AB581" s="331"/>
      <c r="AC581" s="140"/>
      <c r="AD581" s="140"/>
      <c r="AE581" s="140"/>
      <c r="AF581" s="140"/>
      <c r="AG581" s="140"/>
    </row>
    <row r="582" spans="11:33" s="27" customFormat="1">
      <c r="K582" s="117"/>
      <c r="V582" s="140"/>
      <c r="W582" s="140"/>
      <c r="X582" s="140"/>
      <c r="Y582" s="140"/>
      <c r="Z582" s="140"/>
      <c r="AA582" s="140"/>
      <c r="AB582" s="331"/>
      <c r="AC582" s="140"/>
      <c r="AD582" s="140"/>
      <c r="AE582" s="140"/>
      <c r="AF582" s="140"/>
      <c r="AG582" s="140"/>
    </row>
    <row r="583" spans="11:33" s="27" customFormat="1">
      <c r="K583" s="117"/>
      <c r="V583" s="140"/>
      <c r="W583" s="140"/>
      <c r="X583" s="140"/>
      <c r="Y583" s="140"/>
      <c r="Z583" s="140"/>
      <c r="AA583" s="140"/>
      <c r="AB583" s="331"/>
      <c r="AC583" s="140"/>
      <c r="AD583" s="140"/>
      <c r="AE583" s="140"/>
      <c r="AF583" s="140"/>
      <c r="AG583" s="140"/>
    </row>
    <row r="584" spans="11:33" s="27" customFormat="1">
      <c r="K584" s="117"/>
      <c r="V584" s="140"/>
      <c r="W584" s="140"/>
      <c r="X584" s="140"/>
      <c r="Y584" s="140"/>
      <c r="Z584" s="140"/>
      <c r="AA584" s="140"/>
      <c r="AB584" s="331"/>
      <c r="AC584" s="140"/>
      <c r="AD584" s="140"/>
      <c r="AE584" s="140"/>
      <c r="AF584" s="140"/>
      <c r="AG584" s="140"/>
    </row>
    <row r="585" spans="11:33" s="27" customFormat="1">
      <c r="K585" s="117"/>
      <c r="V585" s="140"/>
      <c r="W585" s="140"/>
      <c r="X585" s="140"/>
      <c r="Y585" s="140"/>
      <c r="Z585" s="140"/>
      <c r="AA585" s="140"/>
      <c r="AB585" s="331"/>
      <c r="AC585" s="140"/>
      <c r="AD585" s="140"/>
      <c r="AE585" s="140"/>
      <c r="AF585" s="140"/>
      <c r="AG585" s="140"/>
    </row>
    <row r="586" spans="11:33" s="27" customFormat="1">
      <c r="K586" s="117"/>
      <c r="V586" s="140"/>
      <c r="W586" s="140"/>
      <c r="X586" s="140"/>
      <c r="Y586" s="140"/>
      <c r="Z586" s="140"/>
      <c r="AA586" s="140"/>
      <c r="AB586" s="331"/>
      <c r="AC586" s="140"/>
      <c r="AD586" s="140"/>
      <c r="AE586" s="140"/>
      <c r="AF586" s="140"/>
      <c r="AG586" s="140"/>
    </row>
    <row r="587" spans="11:33" s="27" customFormat="1">
      <c r="K587" s="117"/>
      <c r="V587" s="140"/>
      <c r="W587" s="140"/>
      <c r="X587" s="140"/>
      <c r="Y587" s="140"/>
      <c r="Z587" s="140"/>
      <c r="AA587" s="140"/>
      <c r="AB587" s="331"/>
      <c r="AC587" s="140"/>
      <c r="AD587" s="140"/>
      <c r="AE587" s="140"/>
      <c r="AF587" s="140"/>
      <c r="AG587" s="140"/>
    </row>
    <row r="588" spans="11:33" s="27" customFormat="1">
      <c r="K588" s="117"/>
      <c r="V588" s="140"/>
      <c r="W588" s="140"/>
      <c r="X588" s="140"/>
      <c r="Y588" s="140"/>
      <c r="Z588" s="140"/>
      <c r="AA588" s="140"/>
      <c r="AB588" s="331"/>
      <c r="AC588" s="140"/>
      <c r="AD588" s="140"/>
      <c r="AE588" s="140"/>
      <c r="AF588" s="140"/>
      <c r="AG588" s="140"/>
    </row>
    <row r="589" spans="11:33" s="27" customFormat="1">
      <c r="K589" s="117"/>
      <c r="V589" s="140"/>
      <c r="W589" s="140"/>
      <c r="X589" s="140"/>
      <c r="Y589" s="140"/>
      <c r="Z589" s="140"/>
      <c r="AA589" s="140"/>
      <c r="AB589" s="331"/>
      <c r="AC589" s="140"/>
      <c r="AD589" s="140"/>
      <c r="AE589" s="140"/>
      <c r="AF589" s="140"/>
      <c r="AG589" s="140"/>
    </row>
    <row r="590" spans="11:33" s="27" customFormat="1">
      <c r="K590" s="117"/>
      <c r="V590" s="140"/>
      <c r="W590" s="140"/>
      <c r="X590" s="140"/>
      <c r="Y590" s="140"/>
      <c r="Z590" s="140"/>
      <c r="AA590" s="140"/>
      <c r="AB590" s="331"/>
      <c r="AC590" s="140"/>
      <c r="AD590" s="140"/>
      <c r="AE590" s="140"/>
      <c r="AF590" s="140"/>
      <c r="AG590" s="140"/>
    </row>
    <row r="591" spans="11:33" s="27" customFormat="1">
      <c r="K591" s="117"/>
      <c r="V591" s="140"/>
      <c r="W591" s="140"/>
      <c r="X591" s="140"/>
      <c r="Y591" s="140"/>
      <c r="Z591" s="140"/>
      <c r="AA591" s="140"/>
      <c r="AB591" s="331"/>
      <c r="AC591" s="140"/>
      <c r="AD591" s="140"/>
      <c r="AE591" s="140"/>
      <c r="AF591" s="140"/>
      <c r="AG591" s="140"/>
    </row>
    <row r="592" spans="11:33" s="27" customFormat="1">
      <c r="K592" s="117"/>
      <c r="V592" s="140"/>
      <c r="W592" s="140"/>
      <c r="X592" s="140"/>
      <c r="Y592" s="140"/>
      <c r="Z592" s="140"/>
      <c r="AA592" s="140"/>
      <c r="AB592" s="331"/>
      <c r="AC592" s="140"/>
      <c r="AD592" s="140"/>
      <c r="AE592" s="140"/>
      <c r="AF592" s="140"/>
      <c r="AG592" s="140"/>
    </row>
    <row r="593" spans="11:33" s="27" customFormat="1">
      <c r="K593" s="117"/>
      <c r="V593" s="140"/>
      <c r="W593" s="140"/>
      <c r="X593" s="140"/>
      <c r="Y593" s="140"/>
      <c r="Z593" s="140"/>
      <c r="AA593" s="140"/>
      <c r="AB593" s="331"/>
      <c r="AC593" s="140"/>
      <c r="AD593" s="140"/>
      <c r="AE593" s="140"/>
      <c r="AF593" s="140"/>
      <c r="AG593" s="140"/>
    </row>
    <row r="594" spans="11:33" s="27" customFormat="1">
      <c r="K594" s="117"/>
      <c r="V594" s="140"/>
      <c r="W594" s="140"/>
      <c r="X594" s="140"/>
      <c r="Y594" s="140"/>
      <c r="Z594" s="140"/>
      <c r="AA594" s="140"/>
      <c r="AB594" s="331"/>
      <c r="AC594" s="140"/>
      <c r="AD594" s="140"/>
      <c r="AE594" s="140"/>
      <c r="AF594" s="140"/>
      <c r="AG594" s="140"/>
    </row>
    <row r="595" spans="11:33" s="27" customFormat="1">
      <c r="K595" s="117"/>
      <c r="V595" s="140"/>
      <c r="W595" s="140"/>
      <c r="X595" s="140"/>
      <c r="Y595" s="140"/>
      <c r="Z595" s="140"/>
      <c r="AA595" s="140"/>
      <c r="AB595" s="331"/>
      <c r="AC595" s="140"/>
      <c r="AD595" s="140"/>
      <c r="AE595" s="140"/>
      <c r="AF595" s="140"/>
      <c r="AG595" s="140"/>
    </row>
    <row r="596" spans="11:33" s="27" customFormat="1">
      <c r="K596" s="117"/>
      <c r="V596" s="140"/>
      <c r="W596" s="140"/>
      <c r="X596" s="140"/>
      <c r="Y596" s="140"/>
      <c r="Z596" s="140"/>
      <c r="AA596" s="140"/>
      <c r="AB596" s="331"/>
      <c r="AC596" s="140"/>
      <c r="AD596" s="140"/>
      <c r="AE596" s="140"/>
      <c r="AF596" s="140"/>
      <c r="AG596" s="140"/>
    </row>
    <row r="597" spans="11:33" s="27" customFormat="1">
      <c r="K597" s="117"/>
      <c r="V597" s="140"/>
      <c r="W597" s="140"/>
      <c r="X597" s="140"/>
      <c r="Y597" s="140"/>
      <c r="Z597" s="140"/>
      <c r="AA597" s="140"/>
      <c r="AB597" s="331"/>
      <c r="AC597" s="140"/>
      <c r="AD597" s="140"/>
      <c r="AE597" s="140"/>
      <c r="AF597" s="140"/>
      <c r="AG597" s="140"/>
    </row>
    <row r="598" spans="11:33" s="27" customFormat="1">
      <c r="K598" s="117"/>
      <c r="V598" s="140"/>
      <c r="W598" s="140"/>
      <c r="X598" s="140"/>
      <c r="Y598" s="140"/>
      <c r="Z598" s="140"/>
      <c r="AA598" s="140"/>
      <c r="AB598" s="331"/>
      <c r="AC598" s="140"/>
      <c r="AD598" s="140"/>
      <c r="AE598" s="140"/>
      <c r="AF598" s="140"/>
      <c r="AG598" s="140"/>
    </row>
    <row r="599" spans="11:33" s="27" customFormat="1">
      <c r="K599" s="117"/>
      <c r="V599" s="140"/>
      <c r="W599" s="140"/>
      <c r="X599" s="140"/>
      <c r="Y599" s="140"/>
      <c r="Z599" s="140"/>
      <c r="AA599" s="140"/>
      <c r="AB599" s="331"/>
      <c r="AC599" s="140"/>
      <c r="AD599" s="140"/>
      <c r="AE599" s="140"/>
      <c r="AF599" s="140"/>
      <c r="AG599" s="140"/>
    </row>
    <row r="600" spans="11:33" s="27" customFormat="1">
      <c r="K600" s="117"/>
      <c r="V600" s="140"/>
      <c r="W600" s="140"/>
      <c r="X600" s="140"/>
      <c r="Y600" s="140"/>
      <c r="Z600" s="140"/>
      <c r="AA600" s="140"/>
      <c r="AB600" s="331"/>
      <c r="AC600" s="140"/>
      <c r="AD600" s="140"/>
      <c r="AE600" s="140"/>
      <c r="AF600" s="140"/>
      <c r="AG600" s="140"/>
    </row>
    <row r="601" spans="11:33" s="27" customFormat="1">
      <c r="K601" s="117"/>
      <c r="V601" s="140"/>
      <c r="W601" s="140"/>
      <c r="X601" s="140"/>
      <c r="Y601" s="140"/>
      <c r="Z601" s="140"/>
      <c r="AA601" s="140"/>
      <c r="AB601" s="331"/>
      <c r="AC601" s="140"/>
      <c r="AD601" s="140"/>
      <c r="AE601" s="140"/>
      <c r="AF601" s="140"/>
      <c r="AG601" s="140"/>
    </row>
    <row r="602" spans="11:33" s="27" customFormat="1">
      <c r="K602" s="117"/>
      <c r="V602" s="140"/>
      <c r="W602" s="140"/>
      <c r="X602" s="140"/>
      <c r="Y602" s="140"/>
      <c r="Z602" s="140"/>
      <c r="AA602" s="140"/>
      <c r="AB602" s="331"/>
      <c r="AC602" s="140"/>
      <c r="AD602" s="140"/>
      <c r="AE602" s="140"/>
      <c r="AF602" s="140"/>
      <c r="AG602" s="140"/>
    </row>
    <row r="603" spans="11:33" s="27" customFormat="1">
      <c r="K603" s="117"/>
      <c r="V603" s="140"/>
      <c r="W603" s="140"/>
      <c r="X603" s="140"/>
      <c r="Y603" s="140"/>
      <c r="Z603" s="140"/>
      <c r="AA603" s="140"/>
      <c r="AB603" s="331"/>
      <c r="AC603" s="140"/>
      <c r="AD603" s="140"/>
      <c r="AE603" s="140"/>
      <c r="AF603" s="140"/>
      <c r="AG603" s="140"/>
    </row>
    <row r="604" spans="11:33" s="27" customFormat="1">
      <c r="K604" s="117"/>
      <c r="V604" s="140"/>
      <c r="W604" s="140"/>
      <c r="X604" s="140"/>
      <c r="Y604" s="140"/>
      <c r="Z604" s="140"/>
      <c r="AA604" s="140"/>
      <c r="AB604" s="331"/>
      <c r="AC604" s="140"/>
      <c r="AD604" s="140"/>
      <c r="AE604" s="140"/>
      <c r="AF604" s="140"/>
      <c r="AG604" s="140"/>
    </row>
    <row r="605" spans="11:33" s="27" customFormat="1">
      <c r="K605" s="117"/>
      <c r="V605" s="140"/>
      <c r="W605" s="140"/>
      <c r="X605" s="140"/>
      <c r="Y605" s="140"/>
      <c r="Z605" s="140"/>
      <c r="AA605" s="140"/>
      <c r="AB605" s="331"/>
      <c r="AC605" s="140"/>
      <c r="AD605" s="140"/>
      <c r="AE605" s="140"/>
      <c r="AF605" s="140"/>
      <c r="AG605" s="140"/>
    </row>
    <row r="606" spans="11:33" s="27" customFormat="1">
      <c r="K606" s="117"/>
      <c r="V606" s="140"/>
      <c r="W606" s="140"/>
      <c r="X606" s="140"/>
      <c r="Y606" s="140"/>
      <c r="Z606" s="140"/>
      <c r="AA606" s="140"/>
      <c r="AB606" s="331"/>
      <c r="AC606" s="140"/>
      <c r="AD606" s="140"/>
      <c r="AE606" s="140"/>
      <c r="AF606" s="140"/>
      <c r="AG606" s="140"/>
    </row>
    <row r="607" spans="11:33" s="27" customFormat="1">
      <c r="K607" s="117"/>
      <c r="V607" s="140"/>
      <c r="W607" s="140"/>
      <c r="X607" s="140"/>
      <c r="Y607" s="140"/>
      <c r="Z607" s="140"/>
      <c r="AA607" s="140"/>
      <c r="AB607" s="331"/>
      <c r="AC607" s="140"/>
      <c r="AD607" s="140"/>
      <c r="AE607" s="140"/>
      <c r="AF607" s="140"/>
      <c r="AG607" s="140"/>
    </row>
    <row r="608" spans="11:33" s="27" customFormat="1">
      <c r="K608" s="117"/>
      <c r="V608" s="140"/>
      <c r="W608" s="140"/>
      <c r="X608" s="140"/>
      <c r="Y608" s="140"/>
      <c r="Z608" s="140"/>
      <c r="AA608" s="140"/>
      <c r="AB608" s="331"/>
      <c r="AC608" s="140"/>
      <c r="AD608" s="140"/>
      <c r="AE608" s="140"/>
      <c r="AF608" s="140"/>
      <c r="AG608" s="140"/>
    </row>
    <row r="609" spans="11:33" s="27" customFormat="1">
      <c r="K609" s="117"/>
      <c r="V609" s="140"/>
      <c r="W609" s="140"/>
      <c r="X609" s="140"/>
      <c r="Y609" s="140"/>
      <c r="Z609" s="140"/>
      <c r="AA609" s="140"/>
      <c r="AB609" s="331"/>
      <c r="AC609" s="140"/>
      <c r="AD609" s="140"/>
      <c r="AE609" s="140"/>
      <c r="AF609" s="140"/>
      <c r="AG609" s="140"/>
    </row>
    <row r="610" spans="11:33" s="27" customFormat="1">
      <c r="K610" s="117"/>
      <c r="V610" s="140"/>
      <c r="W610" s="140"/>
      <c r="X610" s="140"/>
      <c r="Y610" s="140"/>
      <c r="Z610" s="140"/>
      <c r="AA610" s="140"/>
      <c r="AB610" s="331"/>
      <c r="AC610" s="140"/>
      <c r="AD610" s="140"/>
      <c r="AE610" s="140"/>
      <c r="AF610" s="140"/>
      <c r="AG610" s="140"/>
    </row>
    <row r="611" spans="11:33" s="27" customFormat="1">
      <c r="K611" s="117"/>
      <c r="V611" s="140"/>
      <c r="W611" s="140"/>
      <c r="X611" s="140"/>
      <c r="Y611" s="140"/>
      <c r="Z611" s="140"/>
      <c r="AA611" s="140"/>
      <c r="AB611" s="331"/>
      <c r="AC611" s="140"/>
      <c r="AD611" s="140"/>
      <c r="AE611" s="140"/>
      <c r="AF611" s="140"/>
      <c r="AG611" s="140"/>
    </row>
    <row r="612" spans="11:33" s="27" customFormat="1">
      <c r="K612" s="117"/>
      <c r="V612" s="140"/>
      <c r="W612" s="140"/>
      <c r="X612" s="140"/>
      <c r="Y612" s="140"/>
      <c r="Z612" s="140"/>
      <c r="AA612" s="140"/>
      <c r="AB612" s="331"/>
      <c r="AC612" s="140"/>
      <c r="AD612" s="140"/>
      <c r="AE612" s="140"/>
      <c r="AF612" s="140"/>
      <c r="AG612" s="140"/>
    </row>
    <row r="613" spans="11:33" s="27" customFormat="1">
      <c r="K613" s="117"/>
      <c r="V613" s="140"/>
      <c r="W613" s="140"/>
      <c r="X613" s="140"/>
      <c r="Y613" s="140"/>
      <c r="Z613" s="140"/>
      <c r="AA613" s="140"/>
      <c r="AB613" s="331"/>
      <c r="AC613" s="140"/>
      <c r="AD613" s="140"/>
      <c r="AE613" s="140"/>
      <c r="AF613" s="140"/>
      <c r="AG613" s="140"/>
    </row>
    <row r="614" spans="11:33" s="27" customFormat="1">
      <c r="K614" s="117"/>
      <c r="V614" s="140"/>
      <c r="W614" s="140"/>
      <c r="X614" s="140"/>
      <c r="Y614" s="140"/>
      <c r="Z614" s="140"/>
      <c r="AA614" s="140"/>
      <c r="AB614" s="331"/>
      <c r="AC614" s="140"/>
      <c r="AD614" s="140"/>
      <c r="AE614" s="140"/>
      <c r="AF614" s="140"/>
      <c r="AG614" s="140"/>
    </row>
    <row r="615" spans="11:33" s="27" customFormat="1">
      <c r="K615" s="117"/>
      <c r="V615" s="140"/>
      <c r="W615" s="140"/>
      <c r="X615" s="140"/>
      <c r="Y615" s="140"/>
      <c r="Z615" s="140"/>
      <c r="AA615" s="140"/>
      <c r="AB615" s="331"/>
      <c r="AC615" s="140"/>
      <c r="AD615" s="140"/>
      <c r="AE615" s="140"/>
      <c r="AF615" s="140"/>
      <c r="AG615" s="140"/>
    </row>
    <row r="616" spans="11:33" s="27" customFormat="1">
      <c r="K616" s="117"/>
      <c r="V616" s="140"/>
      <c r="W616" s="140"/>
      <c r="X616" s="140"/>
      <c r="Y616" s="140"/>
      <c r="Z616" s="140"/>
      <c r="AA616" s="140"/>
      <c r="AB616" s="331"/>
      <c r="AC616" s="140"/>
      <c r="AD616" s="140"/>
      <c r="AE616" s="140"/>
      <c r="AF616" s="140"/>
      <c r="AG616" s="140"/>
    </row>
    <row r="617" spans="11:33" s="27" customFormat="1">
      <c r="K617" s="117"/>
      <c r="V617" s="140"/>
      <c r="W617" s="140"/>
      <c r="X617" s="140"/>
      <c r="Y617" s="140"/>
      <c r="Z617" s="140"/>
      <c r="AA617" s="140"/>
      <c r="AB617" s="331"/>
      <c r="AC617" s="140"/>
      <c r="AD617" s="140"/>
      <c r="AE617" s="140"/>
      <c r="AF617" s="140"/>
      <c r="AG617" s="140"/>
    </row>
    <row r="618" spans="11:33" s="27" customFormat="1">
      <c r="K618" s="117"/>
      <c r="V618" s="140"/>
      <c r="W618" s="140"/>
      <c r="X618" s="140"/>
      <c r="Y618" s="140"/>
      <c r="Z618" s="140"/>
      <c r="AA618" s="140"/>
      <c r="AB618" s="331"/>
      <c r="AC618" s="140"/>
      <c r="AD618" s="140"/>
      <c r="AE618" s="140"/>
      <c r="AF618" s="140"/>
      <c r="AG618" s="140"/>
    </row>
    <row r="619" spans="11:33" s="27" customFormat="1">
      <c r="K619" s="117"/>
      <c r="V619" s="140"/>
      <c r="W619" s="140"/>
      <c r="X619" s="140"/>
      <c r="Y619" s="140"/>
      <c r="Z619" s="140"/>
      <c r="AA619" s="140"/>
      <c r="AB619" s="331"/>
      <c r="AC619" s="140"/>
      <c r="AD619" s="140"/>
      <c r="AE619" s="140"/>
      <c r="AF619" s="140"/>
      <c r="AG619" s="140"/>
    </row>
    <row r="620" spans="11:33" s="27" customFormat="1">
      <c r="K620" s="117"/>
      <c r="V620" s="140"/>
      <c r="W620" s="140"/>
      <c r="X620" s="140"/>
      <c r="Y620" s="140"/>
      <c r="Z620" s="140"/>
      <c r="AA620" s="140"/>
      <c r="AB620" s="331"/>
      <c r="AC620" s="140"/>
      <c r="AD620" s="140"/>
      <c r="AE620" s="140"/>
      <c r="AF620" s="140"/>
      <c r="AG620" s="140"/>
    </row>
    <row r="621" spans="11:33" s="27" customFormat="1">
      <c r="K621" s="117"/>
      <c r="V621" s="140"/>
      <c r="W621" s="140"/>
      <c r="X621" s="140"/>
      <c r="Y621" s="140"/>
      <c r="Z621" s="140"/>
      <c r="AA621" s="140"/>
      <c r="AB621" s="331"/>
      <c r="AC621" s="140"/>
      <c r="AD621" s="140"/>
      <c r="AE621" s="140"/>
      <c r="AF621" s="140"/>
      <c r="AG621" s="140"/>
    </row>
    <row r="622" spans="11:33" s="27" customFormat="1">
      <c r="K622" s="117"/>
      <c r="V622" s="140"/>
      <c r="W622" s="140"/>
      <c r="X622" s="140"/>
      <c r="Y622" s="140"/>
      <c r="Z622" s="140"/>
      <c r="AA622" s="140"/>
      <c r="AB622" s="331"/>
      <c r="AC622" s="140"/>
      <c r="AD622" s="140"/>
      <c r="AE622" s="140"/>
      <c r="AF622" s="140"/>
      <c r="AG622" s="140"/>
    </row>
    <row r="623" spans="11:33" s="27" customFormat="1">
      <c r="K623" s="117"/>
      <c r="V623" s="140"/>
      <c r="W623" s="140"/>
      <c r="X623" s="140"/>
      <c r="Y623" s="140"/>
      <c r="Z623" s="140"/>
      <c r="AA623" s="140"/>
      <c r="AB623" s="331"/>
      <c r="AC623" s="140"/>
      <c r="AD623" s="140"/>
      <c r="AE623" s="140"/>
      <c r="AF623" s="140"/>
      <c r="AG623" s="140"/>
    </row>
    <row r="624" spans="11:33" s="27" customFormat="1">
      <c r="K624" s="117"/>
      <c r="V624" s="140"/>
      <c r="W624" s="140"/>
      <c r="X624" s="140"/>
      <c r="Y624" s="140"/>
      <c r="Z624" s="140"/>
      <c r="AA624" s="140"/>
      <c r="AB624" s="331"/>
      <c r="AC624" s="140"/>
      <c r="AD624" s="140"/>
      <c r="AE624" s="140"/>
      <c r="AF624" s="140"/>
      <c r="AG624" s="140"/>
    </row>
    <row r="625" spans="11:33" s="27" customFormat="1">
      <c r="K625" s="117"/>
      <c r="V625" s="140"/>
      <c r="W625" s="140"/>
      <c r="X625" s="140"/>
      <c r="Y625" s="140"/>
      <c r="Z625" s="140"/>
      <c r="AA625" s="140"/>
      <c r="AB625" s="331"/>
      <c r="AC625" s="140"/>
      <c r="AD625" s="140"/>
      <c r="AE625" s="140"/>
      <c r="AF625" s="140"/>
      <c r="AG625" s="140"/>
    </row>
    <row r="626" spans="11:33" s="27" customFormat="1">
      <c r="K626" s="117"/>
      <c r="V626" s="140"/>
      <c r="W626" s="140"/>
      <c r="X626" s="140"/>
      <c r="Y626" s="140"/>
      <c r="Z626" s="140"/>
      <c r="AA626" s="140"/>
      <c r="AB626" s="331"/>
      <c r="AC626" s="140"/>
      <c r="AD626" s="140"/>
      <c r="AE626" s="140"/>
      <c r="AF626" s="140"/>
      <c r="AG626" s="140"/>
    </row>
    <row r="627" spans="11:33" s="27" customFormat="1">
      <c r="K627" s="117"/>
      <c r="V627" s="140"/>
      <c r="W627" s="140"/>
      <c r="X627" s="140"/>
      <c r="Y627" s="140"/>
      <c r="Z627" s="140"/>
      <c r="AA627" s="140"/>
      <c r="AB627" s="331"/>
      <c r="AC627" s="140"/>
      <c r="AD627" s="140"/>
      <c r="AE627" s="140"/>
      <c r="AF627" s="140"/>
      <c r="AG627" s="140"/>
    </row>
    <row r="628" spans="11:33" s="27" customFormat="1">
      <c r="K628" s="117"/>
      <c r="V628" s="140"/>
      <c r="W628" s="140"/>
      <c r="X628" s="140"/>
      <c r="Y628" s="140"/>
      <c r="Z628" s="140"/>
      <c r="AA628" s="140"/>
      <c r="AB628" s="331"/>
      <c r="AC628" s="140"/>
      <c r="AD628" s="140"/>
      <c r="AE628" s="140"/>
      <c r="AF628" s="140"/>
      <c r="AG628" s="140"/>
    </row>
    <row r="629" spans="11:33" s="27" customFormat="1">
      <c r="K629" s="117"/>
      <c r="V629" s="140"/>
      <c r="W629" s="140"/>
      <c r="X629" s="140"/>
      <c r="Y629" s="140"/>
      <c r="Z629" s="140"/>
      <c r="AA629" s="140"/>
      <c r="AB629" s="331"/>
      <c r="AC629" s="140"/>
      <c r="AD629" s="140"/>
      <c r="AE629" s="140"/>
      <c r="AF629" s="140"/>
      <c r="AG629" s="140"/>
    </row>
    <row r="630" spans="11:33" s="27" customFormat="1">
      <c r="K630" s="117"/>
      <c r="V630" s="140"/>
      <c r="W630" s="140"/>
      <c r="X630" s="140"/>
      <c r="Y630" s="140"/>
      <c r="Z630" s="140"/>
      <c r="AA630" s="140"/>
      <c r="AB630" s="331"/>
      <c r="AC630" s="140"/>
      <c r="AD630" s="140"/>
      <c r="AE630" s="140"/>
      <c r="AF630" s="140"/>
      <c r="AG630" s="140"/>
    </row>
    <row r="631" spans="11:33" s="27" customFormat="1">
      <c r="K631" s="117"/>
      <c r="V631" s="140"/>
      <c r="W631" s="140"/>
      <c r="X631" s="140"/>
      <c r="Y631" s="140"/>
      <c r="Z631" s="140"/>
      <c r="AA631" s="140"/>
      <c r="AB631" s="331"/>
      <c r="AC631" s="140"/>
      <c r="AD631" s="140"/>
      <c r="AE631" s="140"/>
      <c r="AF631" s="140"/>
      <c r="AG631" s="140"/>
    </row>
    <row r="632" spans="11:33" s="27" customFormat="1">
      <c r="K632" s="117"/>
      <c r="V632" s="140"/>
      <c r="W632" s="140"/>
      <c r="X632" s="140"/>
      <c r="Y632" s="140"/>
      <c r="Z632" s="140"/>
      <c r="AA632" s="140"/>
      <c r="AB632" s="331"/>
      <c r="AC632" s="140"/>
      <c r="AD632" s="140"/>
      <c r="AE632" s="140"/>
      <c r="AF632" s="140"/>
      <c r="AG632" s="140"/>
    </row>
    <row r="633" spans="11:33" s="27" customFormat="1">
      <c r="K633" s="117"/>
      <c r="V633" s="140"/>
      <c r="W633" s="140"/>
      <c r="X633" s="140"/>
      <c r="Y633" s="140"/>
      <c r="Z633" s="140"/>
      <c r="AA633" s="140"/>
      <c r="AB633" s="331"/>
      <c r="AC633" s="140"/>
      <c r="AD633" s="140"/>
      <c r="AE633" s="140"/>
      <c r="AF633" s="140"/>
      <c r="AG633" s="140"/>
    </row>
    <row r="634" spans="11:33" s="27" customFormat="1">
      <c r="K634" s="117"/>
      <c r="V634" s="140"/>
      <c r="W634" s="140"/>
      <c r="X634" s="140"/>
      <c r="Y634" s="140"/>
      <c r="Z634" s="140"/>
      <c r="AA634" s="140"/>
      <c r="AB634" s="331"/>
      <c r="AC634" s="140"/>
      <c r="AD634" s="140"/>
      <c r="AE634" s="140"/>
      <c r="AF634" s="140"/>
      <c r="AG634" s="140"/>
    </row>
    <row r="635" spans="11:33" s="27" customFormat="1">
      <c r="K635" s="117"/>
      <c r="V635" s="140"/>
      <c r="W635" s="140"/>
      <c r="X635" s="140"/>
      <c r="Y635" s="140"/>
      <c r="Z635" s="140"/>
      <c r="AA635" s="140"/>
      <c r="AB635" s="331"/>
      <c r="AC635" s="140"/>
      <c r="AD635" s="140"/>
      <c r="AE635" s="140"/>
      <c r="AF635" s="140"/>
      <c r="AG635" s="140"/>
    </row>
    <row r="636" spans="11:33" s="27" customFormat="1">
      <c r="K636" s="117"/>
      <c r="V636" s="140"/>
      <c r="W636" s="140"/>
      <c r="X636" s="140"/>
      <c r="Y636" s="140"/>
      <c r="Z636" s="140"/>
      <c r="AA636" s="140"/>
      <c r="AB636" s="331"/>
      <c r="AC636" s="140"/>
      <c r="AD636" s="140"/>
      <c r="AE636" s="140"/>
      <c r="AF636" s="140"/>
      <c r="AG636" s="140"/>
    </row>
    <row r="637" spans="11:33" s="27" customFormat="1">
      <c r="K637" s="117"/>
      <c r="V637" s="140"/>
      <c r="W637" s="140"/>
      <c r="X637" s="140"/>
      <c r="Y637" s="140"/>
      <c r="Z637" s="140"/>
      <c r="AA637" s="140"/>
      <c r="AB637" s="331"/>
      <c r="AC637" s="140"/>
      <c r="AD637" s="140"/>
      <c r="AE637" s="140"/>
      <c r="AF637" s="140"/>
      <c r="AG637" s="140"/>
    </row>
    <row r="638" spans="11:33" s="27" customFormat="1">
      <c r="K638" s="117"/>
      <c r="V638" s="140"/>
      <c r="W638" s="140"/>
      <c r="X638" s="140"/>
      <c r="Y638" s="140"/>
      <c r="Z638" s="140"/>
      <c r="AA638" s="140"/>
      <c r="AB638" s="331"/>
      <c r="AC638" s="140"/>
      <c r="AD638" s="140"/>
      <c r="AE638" s="140"/>
      <c r="AF638" s="140"/>
      <c r="AG638" s="140"/>
    </row>
    <row r="639" spans="11:33" s="27" customFormat="1">
      <c r="K639" s="117"/>
      <c r="V639" s="140"/>
      <c r="W639" s="140"/>
      <c r="X639" s="140"/>
      <c r="Y639" s="140"/>
      <c r="Z639" s="140"/>
      <c r="AA639" s="140"/>
      <c r="AB639" s="331"/>
      <c r="AC639" s="140"/>
      <c r="AD639" s="140"/>
      <c r="AE639" s="140"/>
      <c r="AF639" s="140"/>
      <c r="AG639" s="140"/>
    </row>
    <row r="640" spans="11:33" s="27" customFormat="1">
      <c r="K640" s="117"/>
      <c r="V640" s="140"/>
      <c r="W640" s="140"/>
      <c r="X640" s="140"/>
      <c r="Y640" s="140"/>
      <c r="Z640" s="140"/>
      <c r="AA640" s="140"/>
      <c r="AB640" s="331"/>
      <c r="AC640" s="140"/>
      <c r="AD640" s="140"/>
      <c r="AE640" s="140"/>
      <c r="AF640" s="140"/>
      <c r="AG640" s="140"/>
    </row>
    <row r="641" spans="11:33" s="27" customFormat="1">
      <c r="K641" s="117"/>
      <c r="V641" s="140"/>
      <c r="W641" s="140"/>
      <c r="X641" s="140"/>
      <c r="Y641" s="140"/>
      <c r="Z641" s="140"/>
      <c r="AA641" s="140"/>
      <c r="AB641" s="331"/>
      <c r="AC641" s="140"/>
      <c r="AD641" s="140"/>
      <c r="AE641" s="140"/>
      <c r="AF641" s="140"/>
      <c r="AG641" s="140"/>
    </row>
    <row r="642" spans="11:33" s="27" customFormat="1">
      <c r="K642" s="117"/>
      <c r="V642" s="140"/>
      <c r="W642" s="140"/>
      <c r="X642" s="140"/>
      <c r="Y642" s="140"/>
      <c r="Z642" s="140"/>
      <c r="AA642" s="140"/>
      <c r="AB642" s="331"/>
      <c r="AC642" s="140"/>
      <c r="AD642" s="140"/>
      <c r="AE642" s="140"/>
      <c r="AF642" s="140"/>
      <c r="AG642" s="140"/>
    </row>
    <row r="643" spans="11:33" s="27" customFormat="1">
      <c r="K643" s="117"/>
      <c r="V643" s="140"/>
      <c r="W643" s="140"/>
      <c r="X643" s="140"/>
      <c r="Y643" s="140"/>
      <c r="Z643" s="140"/>
      <c r="AA643" s="140"/>
      <c r="AB643" s="331"/>
      <c r="AC643" s="140"/>
      <c r="AD643" s="140"/>
      <c r="AE643" s="140"/>
      <c r="AF643" s="140"/>
      <c r="AG643" s="140"/>
    </row>
    <row r="644" spans="11:33" s="27" customFormat="1">
      <c r="K644" s="117"/>
      <c r="V644" s="140"/>
      <c r="W644" s="140"/>
      <c r="X644" s="140"/>
      <c r="Y644" s="140"/>
      <c r="Z644" s="140"/>
      <c r="AA644" s="140"/>
      <c r="AB644" s="331"/>
      <c r="AC644" s="140"/>
      <c r="AD644" s="140"/>
      <c r="AE644" s="140"/>
      <c r="AF644" s="140"/>
      <c r="AG644" s="140"/>
    </row>
    <row r="645" spans="11:33" s="27" customFormat="1">
      <c r="K645" s="117"/>
      <c r="V645" s="140"/>
      <c r="W645" s="140"/>
      <c r="X645" s="140"/>
      <c r="Y645" s="140"/>
      <c r="Z645" s="140"/>
      <c r="AA645" s="140"/>
      <c r="AB645" s="331"/>
      <c r="AC645" s="140"/>
      <c r="AD645" s="140"/>
      <c r="AE645" s="140"/>
      <c r="AF645" s="140"/>
      <c r="AG645" s="140"/>
    </row>
    <row r="646" spans="11:33" s="27" customFormat="1">
      <c r="K646" s="117"/>
      <c r="V646" s="140"/>
      <c r="W646" s="140"/>
      <c r="X646" s="140"/>
      <c r="Y646" s="140"/>
      <c r="Z646" s="140"/>
      <c r="AA646" s="140"/>
      <c r="AB646" s="331"/>
      <c r="AC646" s="140"/>
      <c r="AD646" s="140"/>
      <c r="AE646" s="140"/>
      <c r="AF646" s="140"/>
      <c r="AG646" s="140"/>
    </row>
    <row r="647" spans="11:33" s="27" customFormat="1">
      <c r="K647" s="117"/>
      <c r="V647" s="140"/>
      <c r="W647" s="140"/>
      <c r="X647" s="140"/>
      <c r="Y647" s="140"/>
      <c r="Z647" s="140"/>
      <c r="AA647" s="140"/>
      <c r="AB647" s="331"/>
      <c r="AC647" s="140"/>
      <c r="AD647" s="140"/>
      <c r="AE647" s="140"/>
      <c r="AF647" s="140"/>
      <c r="AG647" s="140"/>
    </row>
    <row r="648" spans="11:33" s="27" customFormat="1">
      <c r="K648" s="117"/>
      <c r="V648" s="140"/>
      <c r="W648" s="140"/>
      <c r="X648" s="140"/>
      <c r="Y648" s="140"/>
      <c r="Z648" s="140"/>
      <c r="AA648" s="140"/>
      <c r="AB648" s="331"/>
      <c r="AC648" s="140"/>
      <c r="AD648" s="140"/>
      <c r="AE648" s="140"/>
      <c r="AF648" s="140"/>
      <c r="AG648" s="140"/>
    </row>
    <row r="649" spans="11:33" s="27" customFormat="1">
      <c r="K649" s="117"/>
      <c r="V649" s="140"/>
      <c r="W649" s="140"/>
      <c r="X649" s="140"/>
      <c r="Y649" s="140"/>
      <c r="Z649" s="140"/>
      <c r="AA649" s="140"/>
      <c r="AB649" s="331"/>
      <c r="AC649" s="140"/>
      <c r="AD649" s="140"/>
      <c r="AE649" s="140"/>
      <c r="AF649" s="140"/>
      <c r="AG649" s="140"/>
    </row>
    <row r="650" spans="11:33" s="27" customFormat="1">
      <c r="K650" s="117"/>
      <c r="V650" s="140"/>
      <c r="W650" s="140"/>
      <c r="X650" s="140"/>
      <c r="Y650" s="140"/>
      <c r="Z650" s="140"/>
      <c r="AA650" s="140"/>
      <c r="AB650" s="331"/>
      <c r="AC650" s="140"/>
      <c r="AD650" s="140"/>
      <c r="AE650" s="140"/>
      <c r="AF650" s="140"/>
      <c r="AG650" s="140"/>
    </row>
    <row r="651" spans="11:33" s="27" customFormat="1">
      <c r="K651" s="117"/>
      <c r="V651" s="140"/>
      <c r="W651" s="140"/>
      <c r="X651" s="140"/>
      <c r="Y651" s="140"/>
      <c r="Z651" s="140"/>
      <c r="AA651" s="140"/>
      <c r="AB651" s="331"/>
      <c r="AC651" s="140"/>
      <c r="AD651" s="140"/>
      <c r="AE651" s="140"/>
      <c r="AF651" s="140"/>
      <c r="AG651" s="140"/>
    </row>
    <row r="652" spans="11:33" s="27" customFormat="1">
      <c r="K652" s="117"/>
      <c r="V652" s="140"/>
      <c r="W652" s="140"/>
      <c r="X652" s="140"/>
      <c r="Y652" s="140"/>
      <c r="Z652" s="140"/>
      <c r="AA652" s="140"/>
      <c r="AB652" s="331"/>
      <c r="AC652" s="140"/>
      <c r="AD652" s="140"/>
      <c r="AE652" s="140"/>
      <c r="AF652" s="140"/>
      <c r="AG652" s="140"/>
    </row>
    <row r="653" spans="11:33" s="27" customFormat="1">
      <c r="K653" s="117"/>
      <c r="V653" s="140"/>
      <c r="W653" s="140"/>
      <c r="X653" s="140"/>
      <c r="Y653" s="140"/>
      <c r="Z653" s="140"/>
      <c r="AA653" s="140"/>
      <c r="AB653" s="331"/>
      <c r="AC653" s="140"/>
      <c r="AD653" s="140"/>
      <c r="AE653" s="140"/>
      <c r="AF653" s="140"/>
      <c r="AG653" s="140"/>
    </row>
    <row r="654" spans="11:33" s="27" customFormat="1">
      <c r="K654" s="117"/>
      <c r="V654" s="140"/>
      <c r="W654" s="140"/>
      <c r="X654" s="140"/>
      <c r="Y654" s="140"/>
      <c r="Z654" s="140"/>
      <c r="AA654" s="140"/>
      <c r="AB654" s="331"/>
      <c r="AC654" s="140"/>
      <c r="AD654" s="140"/>
      <c r="AE654" s="140"/>
      <c r="AF654" s="140"/>
      <c r="AG654" s="140"/>
    </row>
    <row r="655" spans="11:33" s="27" customFormat="1">
      <c r="K655" s="117"/>
      <c r="V655" s="140"/>
      <c r="W655" s="140"/>
      <c r="X655" s="140"/>
      <c r="Y655" s="140"/>
      <c r="Z655" s="140"/>
      <c r="AA655" s="140"/>
      <c r="AB655" s="331"/>
      <c r="AC655" s="140"/>
      <c r="AD655" s="140"/>
      <c r="AE655" s="140"/>
      <c r="AF655" s="140"/>
      <c r="AG655" s="140"/>
    </row>
    <row r="656" spans="11:33" s="27" customFormat="1">
      <c r="K656" s="117"/>
      <c r="V656" s="140"/>
      <c r="W656" s="140"/>
      <c r="X656" s="140"/>
      <c r="Y656" s="140"/>
      <c r="Z656" s="140"/>
      <c r="AA656" s="140"/>
      <c r="AB656" s="331"/>
      <c r="AC656" s="140"/>
      <c r="AD656" s="140"/>
      <c r="AE656" s="140"/>
      <c r="AF656" s="140"/>
      <c r="AG656" s="140"/>
    </row>
    <row r="657" spans="11:33" s="27" customFormat="1">
      <c r="K657" s="117"/>
      <c r="V657" s="140"/>
      <c r="W657" s="140"/>
      <c r="X657" s="140"/>
      <c r="Y657" s="140"/>
      <c r="Z657" s="140"/>
      <c r="AA657" s="140"/>
      <c r="AB657" s="331"/>
      <c r="AC657" s="140"/>
      <c r="AD657" s="140"/>
      <c r="AE657" s="140"/>
      <c r="AF657" s="140"/>
      <c r="AG657" s="140"/>
    </row>
    <row r="658" spans="11:33" s="27" customFormat="1">
      <c r="K658" s="117"/>
      <c r="V658" s="140"/>
      <c r="W658" s="140"/>
      <c r="X658" s="140"/>
      <c r="Y658" s="140"/>
      <c r="Z658" s="140"/>
      <c r="AA658" s="140"/>
      <c r="AB658" s="331"/>
      <c r="AC658" s="140"/>
      <c r="AD658" s="140"/>
      <c r="AE658" s="140"/>
      <c r="AF658" s="140"/>
      <c r="AG658" s="140"/>
    </row>
    <row r="659" spans="11:33" s="27" customFormat="1">
      <c r="K659" s="117"/>
      <c r="V659" s="140"/>
      <c r="W659" s="140"/>
      <c r="X659" s="140"/>
      <c r="Y659" s="140"/>
      <c r="Z659" s="140"/>
      <c r="AA659" s="140"/>
      <c r="AB659" s="331"/>
      <c r="AC659" s="140"/>
      <c r="AD659" s="140"/>
      <c r="AE659" s="140"/>
      <c r="AF659" s="140"/>
      <c r="AG659" s="140"/>
    </row>
    <row r="660" spans="11:33" s="27" customFormat="1">
      <c r="K660" s="117"/>
      <c r="V660" s="140"/>
      <c r="W660" s="140"/>
      <c r="X660" s="140"/>
      <c r="Y660" s="140"/>
      <c r="Z660" s="140"/>
      <c r="AA660" s="140"/>
      <c r="AB660" s="331"/>
      <c r="AC660" s="140"/>
      <c r="AD660" s="140"/>
      <c r="AE660" s="140"/>
      <c r="AF660" s="140"/>
      <c r="AG660" s="140"/>
    </row>
    <row r="661" spans="11:33" s="27" customFormat="1">
      <c r="K661" s="117"/>
      <c r="V661" s="140"/>
      <c r="W661" s="140"/>
      <c r="X661" s="140"/>
      <c r="Y661" s="140"/>
      <c r="Z661" s="140"/>
      <c r="AA661" s="140"/>
      <c r="AB661" s="331"/>
      <c r="AC661" s="140"/>
      <c r="AD661" s="140"/>
      <c r="AE661" s="140"/>
      <c r="AF661" s="140"/>
      <c r="AG661" s="140"/>
    </row>
    <row r="662" spans="11:33" s="27" customFormat="1">
      <c r="K662" s="117"/>
      <c r="V662" s="140"/>
      <c r="W662" s="140"/>
      <c r="X662" s="140"/>
      <c r="Y662" s="140"/>
      <c r="Z662" s="140"/>
      <c r="AA662" s="140"/>
      <c r="AB662" s="331"/>
      <c r="AC662" s="140"/>
      <c r="AD662" s="140"/>
      <c r="AE662" s="140"/>
      <c r="AF662" s="140"/>
      <c r="AG662" s="140"/>
    </row>
    <row r="663" spans="11:33" s="27" customFormat="1">
      <c r="K663" s="117"/>
      <c r="V663" s="140"/>
      <c r="W663" s="140"/>
      <c r="X663" s="140"/>
      <c r="Y663" s="140"/>
      <c r="Z663" s="140"/>
      <c r="AA663" s="140"/>
      <c r="AB663" s="331"/>
      <c r="AC663" s="140"/>
      <c r="AD663" s="140"/>
      <c r="AE663" s="140"/>
      <c r="AF663" s="140"/>
      <c r="AG663" s="140"/>
    </row>
    <row r="664" spans="11:33" s="27" customFormat="1">
      <c r="K664" s="117"/>
      <c r="V664" s="140"/>
      <c r="W664" s="140"/>
      <c r="X664" s="140"/>
      <c r="Y664" s="140"/>
      <c r="Z664" s="140"/>
      <c r="AA664" s="140"/>
      <c r="AB664" s="331"/>
      <c r="AC664" s="140"/>
      <c r="AD664" s="140"/>
      <c r="AE664" s="140"/>
      <c r="AF664" s="140"/>
      <c r="AG664" s="140"/>
    </row>
    <row r="665" spans="11:33" s="27" customFormat="1">
      <c r="K665" s="117"/>
      <c r="V665" s="140"/>
      <c r="W665" s="140"/>
      <c r="X665" s="140"/>
      <c r="Y665" s="140"/>
      <c r="Z665" s="140"/>
      <c r="AA665" s="140"/>
      <c r="AB665" s="331"/>
      <c r="AC665" s="140"/>
      <c r="AD665" s="140"/>
      <c r="AE665" s="140"/>
      <c r="AF665" s="140"/>
      <c r="AG665" s="140"/>
    </row>
    <row r="666" spans="11:33" s="27" customFormat="1">
      <c r="K666" s="117"/>
      <c r="V666" s="140"/>
      <c r="W666" s="140"/>
      <c r="X666" s="140"/>
      <c r="Y666" s="140"/>
      <c r="Z666" s="140"/>
      <c r="AA666" s="140"/>
      <c r="AB666" s="331"/>
      <c r="AC666" s="140"/>
      <c r="AD666" s="140"/>
      <c r="AE666" s="140"/>
      <c r="AF666" s="140"/>
      <c r="AG666" s="140"/>
    </row>
    <row r="667" spans="11:33" s="27" customFormat="1">
      <c r="K667" s="117"/>
      <c r="V667" s="140"/>
      <c r="W667" s="140"/>
      <c r="X667" s="140"/>
      <c r="Y667" s="140"/>
      <c r="Z667" s="140"/>
      <c r="AA667" s="140"/>
      <c r="AB667" s="331"/>
      <c r="AC667" s="140"/>
      <c r="AD667" s="140"/>
      <c r="AE667" s="140"/>
      <c r="AF667" s="140"/>
      <c r="AG667" s="140"/>
    </row>
    <row r="668" spans="11:33" s="27" customFormat="1">
      <c r="K668" s="117"/>
      <c r="V668" s="140"/>
      <c r="W668" s="140"/>
      <c r="X668" s="140"/>
      <c r="Y668" s="140"/>
      <c r="Z668" s="140"/>
      <c r="AA668" s="140"/>
      <c r="AB668" s="331"/>
      <c r="AC668" s="140"/>
      <c r="AD668" s="140"/>
      <c r="AE668" s="140"/>
      <c r="AF668" s="140"/>
      <c r="AG668" s="140"/>
    </row>
    <row r="669" spans="11:33" s="27" customFormat="1">
      <c r="K669" s="117"/>
      <c r="V669" s="140"/>
      <c r="W669" s="140"/>
      <c r="X669" s="140"/>
      <c r="Y669" s="140"/>
      <c r="Z669" s="140"/>
      <c r="AA669" s="140"/>
      <c r="AB669" s="331"/>
      <c r="AC669" s="140"/>
      <c r="AD669" s="140"/>
      <c r="AE669" s="140"/>
      <c r="AF669" s="140"/>
      <c r="AG669" s="140"/>
    </row>
    <row r="670" spans="11:33" s="27" customFormat="1">
      <c r="K670" s="117"/>
      <c r="V670" s="140"/>
      <c r="W670" s="140"/>
      <c r="X670" s="140"/>
      <c r="Y670" s="140"/>
      <c r="Z670" s="140"/>
      <c r="AA670" s="140"/>
      <c r="AB670" s="331"/>
      <c r="AC670" s="140"/>
      <c r="AD670" s="140"/>
      <c r="AE670" s="140"/>
      <c r="AF670" s="140"/>
      <c r="AG670" s="140"/>
    </row>
    <row r="671" spans="11:33" s="27" customFormat="1">
      <c r="K671" s="117"/>
      <c r="V671" s="140"/>
      <c r="W671" s="140"/>
      <c r="X671" s="140"/>
      <c r="Y671" s="140"/>
      <c r="Z671" s="140"/>
      <c r="AA671" s="140"/>
      <c r="AB671" s="331"/>
      <c r="AC671" s="140"/>
      <c r="AD671" s="140"/>
      <c r="AE671" s="140"/>
      <c r="AF671" s="140"/>
      <c r="AG671" s="140"/>
    </row>
    <row r="672" spans="11:33" s="27" customFormat="1">
      <c r="K672" s="117"/>
      <c r="V672" s="140"/>
      <c r="W672" s="140"/>
      <c r="X672" s="140"/>
      <c r="Y672" s="140"/>
      <c r="Z672" s="140"/>
      <c r="AA672" s="140"/>
      <c r="AB672" s="331"/>
      <c r="AC672" s="140"/>
      <c r="AD672" s="140"/>
      <c r="AE672" s="140"/>
      <c r="AF672" s="140"/>
      <c r="AG672" s="140"/>
    </row>
    <row r="673" spans="11:33" s="27" customFormat="1">
      <c r="K673" s="117"/>
      <c r="V673" s="140"/>
      <c r="W673" s="140"/>
      <c r="X673" s="140"/>
      <c r="Y673" s="140"/>
      <c r="Z673" s="140"/>
      <c r="AA673" s="140"/>
      <c r="AB673" s="331"/>
      <c r="AC673" s="140"/>
      <c r="AD673" s="140"/>
      <c r="AE673" s="140"/>
      <c r="AF673" s="140"/>
      <c r="AG673" s="140"/>
    </row>
    <row r="674" spans="11:33" s="27" customFormat="1">
      <c r="K674" s="117"/>
      <c r="V674" s="140"/>
      <c r="W674" s="140"/>
      <c r="X674" s="140"/>
      <c r="Y674" s="140"/>
      <c r="Z674" s="140"/>
      <c r="AA674" s="140"/>
      <c r="AB674" s="331"/>
      <c r="AC674" s="140"/>
      <c r="AD674" s="140"/>
      <c r="AE674" s="140"/>
      <c r="AF674" s="140"/>
      <c r="AG674" s="140"/>
    </row>
    <row r="675" spans="11:33" s="27" customFormat="1">
      <c r="K675" s="117"/>
      <c r="V675" s="140"/>
      <c r="W675" s="140"/>
      <c r="X675" s="140"/>
      <c r="Y675" s="140"/>
      <c r="Z675" s="140"/>
      <c r="AA675" s="140"/>
      <c r="AB675" s="331"/>
      <c r="AC675" s="140"/>
      <c r="AD675" s="140"/>
      <c r="AE675" s="140"/>
      <c r="AF675" s="140"/>
      <c r="AG675" s="140"/>
    </row>
    <row r="676" spans="11:33" s="27" customFormat="1">
      <c r="K676" s="117"/>
      <c r="V676" s="140"/>
      <c r="W676" s="140"/>
      <c r="X676" s="140"/>
      <c r="Y676" s="140"/>
      <c r="Z676" s="140"/>
      <c r="AA676" s="140"/>
      <c r="AB676" s="331"/>
      <c r="AC676" s="140"/>
      <c r="AD676" s="140"/>
      <c r="AE676" s="140"/>
      <c r="AF676" s="140"/>
      <c r="AG676" s="140"/>
    </row>
    <row r="677" spans="11:33" s="27" customFormat="1">
      <c r="K677" s="117"/>
      <c r="V677" s="140"/>
      <c r="W677" s="140"/>
      <c r="X677" s="140"/>
      <c r="Y677" s="140"/>
      <c r="Z677" s="140"/>
      <c r="AA677" s="140"/>
      <c r="AB677" s="331"/>
      <c r="AC677" s="140"/>
      <c r="AD677" s="140"/>
      <c r="AE677" s="140"/>
      <c r="AF677" s="140"/>
      <c r="AG677" s="140"/>
    </row>
    <row r="678" spans="11:33" s="27" customFormat="1">
      <c r="K678" s="117"/>
      <c r="V678" s="140"/>
      <c r="W678" s="140"/>
      <c r="X678" s="140"/>
      <c r="Y678" s="140"/>
      <c r="Z678" s="140"/>
      <c r="AA678" s="140"/>
      <c r="AB678" s="331"/>
      <c r="AC678" s="140"/>
      <c r="AD678" s="140"/>
      <c r="AE678" s="140"/>
      <c r="AF678" s="140"/>
      <c r="AG678" s="140"/>
    </row>
    <row r="679" spans="11:33" s="27" customFormat="1">
      <c r="K679" s="117"/>
      <c r="V679" s="140"/>
      <c r="W679" s="140"/>
      <c r="X679" s="140"/>
      <c r="Y679" s="140"/>
      <c r="Z679" s="140"/>
      <c r="AA679" s="140"/>
      <c r="AB679" s="331"/>
      <c r="AC679" s="140"/>
      <c r="AD679" s="140"/>
      <c r="AE679" s="140"/>
      <c r="AF679" s="140"/>
      <c r="AG679" s="140"/>
    </row>
    <row r="680" spans="11:33" s="27" customFormat="1">
      <c r="K680" s="117"/>
      <c r="V680" s="140"/>
      <c r="W680" s="140"/>
      <c r="X680" s="140"/>
      <c r="Y680" s="140"/>
      <c r="Z680" s="140"/>
      <c r="AA680" s="140"/>
      <c r="AB680" s="331"/>
      <c r="AC680" s="140"/>
      <c r="AD680" s="140"/>
      <c r="AE680" s="140"/>
      <c r="AF680" s="140"/>
      <c r="AG680" s="140"/>
    </row>
    <row r="681" spans="11:33" s="27" customFormat="1">
      <c r="K681" s="117"/>
      <c r="V681" s="140"/>
      <c r="W681" s="140"/>
      <c r="X681" s="140"/>
      <c r="Y681" s="140"/>
      <c r="Z681" s="140"/>
      <c r="AA681" s="140"/>
      <c r="AB681" s="331"/>
      <c r="AC681" s="140"/>
      <c r="AD681" s="140"/>
      <c r="AE681" s="140"/>
      <c r="AF681" s="140"/>
      <c r="AG681" s="140"/>
    </row>
    <row r="682" spans="11:33" s="27" customFormat="1">
      <c r="K682" s="117"/>
      <c r="V682" s="140"/>
      <c r="W682" s="140"/>
      <c r="X682" s="140"/>
      <c r="Y682" s="140"/>
      <c r="Z682" s="140"/>
      <c r="AA682" s="140"/>
      <c r="AB682" s="331"/>
      <c r="AC682" s="140"/>
      <c r="AD682" s="140"/>
      <c r="AE682" s="140"/>
      <c r="AF682" s="140"/>
      <c r="AG682" s="140"/>
    </row>
    <row r="683" spans="11:33" s="27" customFormat="1">
      <c r="K683" s="117"/>
      <c r="V683" s="140"/>
      <c r="W683" s="140"/>
      <c r="X683" s="140"/>
      <c r="Y683" s="140"/>
      <c r="Z683" s="140"/>
      <c r="AA683" s="140"/>
      <c r="AB683" s="331"/>
      <c r="AC683" s="140"/>
      <c r="AD683" s="140"/>
      <c r="AE683" s="140"/>
      <c r="AF683" s="140"/>
      <c r="AG683" s="140"/>
    </row>
    <row r="684" spans="11:33" s="27" customFormat="1">
      <c r="K684" s="117"/>
      <c r="V684" s="140"/>
      <c r="W684" s="140"/>
      <c r="X684" s="140"/>
      <c r="Y684" s="140"/>
      <c r="Z684" s="140"/>
      <c r="AA684" s="140"/>
      <c r="AB684" s="331"/>
      <c r="AC684" s="140"/>
      <c r="AD684" s="140"/>
      <c r="AE684" s="140"/>
      <c r="AF684" s="140"/>
      <c r="AG684" s="140"/>
    </row>
    <row r="685" spans="11:33" s="27" customFormat="1">
      <c r="K685" s="117"/>
      <c r="V685" s="140"/>
      <c r="W685" s="140"/>
      <c r="X685" s="140"/>
      <c r="Y685" s="140"/>
      <c r="Z685" s="140"/>
      <c r="AA685" s="140"/>
      <c r="AB685" s="331"/>
      <c r="AC685" s="140"/>
      <c r="AD685" s="140"/>
      <c r="AE685" s="140"/>
      <c r="AF685" s="140"/>
      <c r="AG685" s="140"/>
    </row>
    <row r="686" spans="11:33" s="27" customFormat="1">
      <c r="K686" s="117"/>
      <c r="V686" s="140"/>
      <c r="W686" s="140"/>
      <c r="X686" s="140"/>
      <c r="Y686" s="140"/>
      <c r="Z686" s="140"/>
      <c r="AA686" s="140"/>
      <c r="AB686" s="331"/>
      <c r="AC686" s="140"/>
      <c r="AD686" s="140"/>
      <c r="AE686" s="140"/>
      <c r="AF686" s="140"/>
      <c r="AG686" s="140"/>
    </row>
    <row r="687" spans="11:33" s="27" customFormat="1">
      <c r="K687" s="117"/>
      <c r="V687" s="140"/>
      <c r="W687" s="140"/>
      <c r="X687" s="140"/>
      <c r="Y687" s="140"/>
      <c r="Z687" s="140"/>
      <c r="AA687" s="140"/>
      <c r="AB687" s="331"/>
      <c r="AC687" s="140"/>
      <c r="AD687" s="140"/>
      <c r="AE687" s="140"/>
      <c r="AF687" s="140"/>
      <c r="AG687" s="140"/>
    </row>
    <row r="688" spans="11:33" s="27" customFormat="1">
      <c r="K688" s="117"/>
      <c r="V688" s="140"/>
      <c r="W688" s="140"/>
      <c r="X688" s="140"/>
      <c r="Y688" s="140"/>
      <c r="Z688" s="140"/>
      <c r="AA688" s="140"/>
      <c r="AB688" s="331"/>
      <c r="AC688" s="140"/>
      <c r="AD688" s="140"/>
      <c r="AE688" s="140"/>
      <c r="AF688" s="140"/>
      <c r="AG688" s="140"/>
    </row>
    <row r="689" spans="1:33" s="27" customFormat="1">
      <c r="K689" s="117"/>
      <c r="V689" s="140"/>
      <c r="W689" s="140"/>
      <c r="X689" s="140"/>
      <c r="Y689" s="140"/>
      <c r="Z689" s="140"/>
      <c r="AA689" s="140"/>
      <c r="AB689" s="331"/>
      <c r="AC689" s="140"/>
      <c r="AD689" s="140"/>
      <c r="AE689" s="140"/>
      <c r="AF689" s="140"/>
      <c r="AG689" s="140"/>
    </row>
    <row r="690" spans="1:33" s="27" customFormat="1">
      <c r="K690" s="117"/>
      <c r="V690" s="140"/>
      <c r="W690" s="140"/>
      <c r="X690" s="140"/>
      <c r="Y690" s="140"/>
      <c r="Z690" s="140"/>
      <c r="AA690" s="140"/>
      <c r="AB690" s="331"/>
      <c r="AC690" s="140"/>
      <c r="AD690" s="140"/>
      <c r="AE690" s="140"/>
      <c r="AF690" s="140"/>
      <c r="AG690" s="140"/>
    </row>
    <row r="691" spans="1:33" s="27" customFormat="1">
      <c r="K691" s="117"/>
      <c r="V691" s="140"/>
      <c r="W691" s="140"/>
      <c r="X691" s="140"/>
      <c r="Y691" s="140"/>
      <c r="Z691" s="140"/>
      <c r="AA691" s="140"/>
      <c r="AB691" s="331"/>
      <c r="AC691" s="140"/>
      <c r="AD691" s="140"/>
      <c r="AE691" s="140"/>
      <c r="AF691" s="140"/>
      <c r="AG691" s="140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P50" sqref="P50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Input!M46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Input!N45/2/1000</f>
        <v>0.125</v>
      </c>
      <c r="B18" s="49"/>
      <c r="C18" s="50"/>
    </row>
    <row r="19" spans="1:3">
      <c r="A19" s="49">
        <f>Input!M44/2/1000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5</v>
      </c>
      <c r="B23" s="49"/>
      <c r="C23" s="50"/>
    </row>
    <row r="24" spans="1:3">
      <c r="A24" s="51">
        <v>0</v>
      </c>
      <c r="B24" s="51">
        <f>Input!D3</f>
        <v>94</v>
      </c>
      <c r="C24" s="50"/>
    </row>
    <row r="25" spans="1:3">
      <c r="A25" s="51">
        <f>StepTest!D31</f>
        <v>120</v>
      </c>
      <c r="B25" s="51">
        <f>Input!D4</f>
        <v>120</v>
      </c>
      <c r="C25" s="50"/>
    </row>
    <row r="26" spans="1:3">
      <c r="A26" s="51">
        <f>StepTest!D36</f>
        <v>240</v>
      </c>
      <c r="B26" s="51">
        <f>Input!D5</f>
        <v>146.19999999999999</v>
      </c>
      <c r="C26" s="50"/>
    </row>
    <row r="27" spans="1:3">
      <c r="A27" s="51">
        <f>StepTest!D41</f>
        <v>360</v>
      </c>
      <c r="B27" s="51">
        <f>Input!D6</f>
        <v>172</v>
      </c>
      <c r="C27" s="50"/>
    </row>
    <row r="28" spans="1:3">
      <c r="A28" s="51">
        <f>StepTest!D46</f>
        <v>480</v>
      </c>
      <c r="B28" s="51">
        <f>Input!D7</f>
        <v>197.79999999999998</v>
      </c>
      <c r="C28" s="50"/>
    </row>
    <row r="29" spans="1:3">
      <c r="A29" s="49" t="s">
        <v>200</v>
      </c>
      <c r="B29" s="49"/>
      <c r="C29" s="50"/>
    </row>
    <row r="30" spans="1:3">
      <c r="A30" s="49" t="str">
        <f>A15</f>
        <v>W-1</v>
      </c>
      <c r="B30" s="49"/>
      <c r="C30" s="50"/>
    </row>
    <row r="31" spans="1:3">
      <c r="A31" s="52">
        <v>0</v>
      </c>
      <c r="B31" s="49"/>
      <c r="C31" s="50"/>
    </row>
    <row r="32" spans="1:3">
      <c r="A32" s="49">
        <v>0</v>
      </c>
      <c r="B32" s="49"/>
      <c r="C32" s="50"/>
    </row>
    <row r="33" spans="1:3">
      <c r="A33" s="49">
        <v>0</v>
      </c>
      <c r="B33" s="49"/>
      <c r="C33" s="50"/>
    </row>
    <row r="34" spans="1:3">
      <c r="A34" s="51">
        <f>SUM(C35:C134)</f>
        <v>100</v>
      </c>
      <c r="B34" s="49"/>
      <c r="C34" s="50"/>
    </row>
    <row r="35" spans="1:3">
      <c r="A35" s="49">
        <f>Sheet1!A1</f>
        <v>1</v>
      </c>
      <c r="B35" s="50">
        <f>Sheet1!B1</f>
        <v>1.72</v>
      </c>
      <c r="C35" s="51">
        <v>1</v>
      </c>
    </row>
    <row r="36" spans="1:3">
      <c r="A36" s="49">
        <f>Sheet1!A2</f>
        <v>2</v>
      </c>
      <c r="B36" s="50">
        <f>Sheet1!B2</f>
        <v>3.01</v>
      </c>
      <c r="C36" s="51">
        <v>1</v>
      </c>
    </row>
    <row r="37" spans="1:3">
      <c r="A37" s="49">
        <f>Sheet1!A3</f>
        <v>3</v>
      </c>
      <c r="B37" s="50">
        <f>Sheet1!B3</f>
        <v>4.1900000000000004</v>
      </c>
      <c r="C37" s="51">
        <v>1</v>
      </c>
    </row>
    <row r="38" spans="1:3">
      <c r="A38" s="49">
        <f>Sheet1!A4</f>
        <v>4</v>
      </c>
      <c r="B38" s="50">
        <f>Sheet1!B4</f>
        <v>5.0199999999999996</v>
      </c>
      <c r="C38" s="51">
        <v>1</v>
      </c>
    </row>
    <row r="39" spans="1:3">
      <c r="A39" s="49">
        <f>Sheet1!A5</f>
        <v>5</v>
      </c>
      <c r="B39" s="50">
        <f>Sheet1!B5</f>
        <v>5.67</v>
      </c>
      <c r="C39" s="51">
        <v>1</v>
      </c>
    </row>
    <row r="40" spans="1:3">
      <c r="A40" s="49">
        <f>Sheet1!A6</f>
        <v>10</v>
      </c>
      <c r="B40" s="50">
        <f>Sheet1!B6</f>
        <v>7.68</v>
      </c>
      <c r="C40" s="51">
        <v>1</v>
      </c>
    </row>
    <row r="41" spans="1:3">
      <c r="A41" s="49">
        <f>Sheet1!A7</f>
        <v>15</v>
      </c>
      <c r="B41" s="50">
        <f>Sheet1!B7</f>
        <v>8.86</v>
      </c>
      <c r="C41" s="51">
        <v>1</v>
      </c>
    </row>
    <row r="42" spans="1:3">
      <c r="A42" s="49">
        <f>Sheet1!A8</f>
        <v>20</v>
      </c>
      <c r="B42" s="50">
        <f>Sheet1!B8</f>
        <v>9.69</v>
      </c>
      <c r="C42" s="51">
        <v>1</v>
      </c>
    </row>
    <row r="43" spans="1:3">
      <c r="A43" s="49">
        <f>Sheet1!A9</f>
        <v>25</v>
      </c>
      <c r="B43" s="50">
        <f>Sheet1!B9</f>
        <v>10.34</v>
      </c>
      <c r="C43" s="51">
        <v>1</v>
      </c>
    </row>
    <row r="44" spans="1:3">
      <c r="A44" s="49">
        <f>Sheet1!A10</f>
        <v>30</v>
      </c>
      <c r="B44" s="50">
        <f>Sheet1!B10</f>
        <v>10.87</v>
      </c>
      <c r="C44" s="51">
        <v>1</v>
      </c>
    </row>
    <row r="45" spans="1:3">
      <c r="A45" s="49">
        <f>Sheet1!A11</f>
        <v>35</v>
      </c>
      <c r="B45" s="50">
        <f>Sheet1!B11</f>
        <v>11.32</v>
      </c>
      <c r="C45" s="51">
        <v>1</v>
      </c>
    </row>
    <row r="46" spans="1:3">
      <c r="A46" s="49">
        <f>Sheet1!A12</f>
        <v>40</v>
      </c>
      <c r="B46" s="50">
        <f>Sheet1!B12</f>
        <v>11.71</v>
      </c>
      <c r="C46" s="51">
        <v>1</v>
      </c>
    </row>
    <row r="47" spans="1:3">
      <c r="A47" s="49">
        <f>Sheet1!A13</f>
        <v>45</v>
      </c>
      <c r="B47" s="50">
        <f>Sheet1!B13</f>
        <v>12.05</v>
      </c>
      <c r="C47" s="51">
        <v>1</v>
      </c>
    </row>
    <row r="48" spans="1:3">
      <c r="A48" s="49">
        <f>Sheet1!A14</f>
        <v>50</v>
      </c>
      <c r="B48" s="50">
        <f>Sheet1!B14</f>
        <v>12.35</v>
      </c>
      <c r="C48" s="51">
        <v>1</v>
      </c>
    </row>
    <row r="49" spans="1:3">
      <c r="A49" s="49">
        <f>Sheet1!A15</f>
        <v>55</v>
      </c>
      <c r="B49" s="50">
        <f>Sheet1!B15</f>
        <v>12.63</v>
      </c>
      <c r="C49" s="51">
        <v>1</v>
      </c>
    </row>
    <row r="50" spans="1:3">
      <c r="A50" s="49">
        <f>Sheet1!A16</f>
        <v>60</v>
      </c>
      <c r="B50" s="50">
        <f>Sheet1!B16</f>
        <v>12.88</v>
      </c>
      <c r="C50" s="51">
        <v>1</v>
      </c>
    </row>
    <row r="51" spans="1:3">
      <c r="A51" s="49">
        <f>Sheet1!A17</f>
        <v>75</v>
      </c>
      <c r="B51" s="50">
        <f>Sheet1!B17</f>
        <v>13.53</v>
      </c>
      <c r="C51" s="51">
        <v>1</v>
      </c>
    </row>
    <row r="52" spans="1:3">
      <c r="A52" s="49">
        <f>Sheet1!A18</f>
        <v>90</v>
      </c>
      <c r="B52" s="50">
        <f>Sheet1!B18</f>
        <v>14.06</v>
      </c>
      <c r="C52" s="51">
        <v>1</v>
      </c>
    </row>
    <row r="53" spans="1:3">
      <c r="A53" s="49">
        <f>Sheet1!A19</f>
        <v>105</v>
      </c>
      <c r="B53" s="50">
        <f>Sheet1!B19</f>
        <v>14.51</v>
      </c>
      <c r="C53" s="51">
        <v>1</v>
      </c>
    </row>
    <row r="54" spans="1:3">
      <c r="A54" s="49">
        <f>Sheet1!A20</f>
        <v>120</v>
      </c>
      <c r="B54" s="50">
        <f>Sheet1!B20</f>
        <v>14.9</v>
      </c>
      <c r="C54" s="51">
        <v>1</v>
      </c>
    </row>
    <row r="55" spans="1:3">
      <c r="A55" s="49">
        <f>Sheet1!A21</f>
        <v>121</v>
      </c>
      <c r="B55" s="50">
        <f>Sheet1!B21</f>
        <v>15.06</v>
      </c>
      <c r="C55" s="51">
        <v>1</v>
      </c>
    </row>
    <row r="56" spans="1:3">
      <c r="A56" s="49">
        <f>Sheet1!A22</f>
        <v>122</v>
      </c>
      <c r="B56" s="50">
        <f>Sheet1!B22</f>
        <v>15.21</v>
      </c>
      <c r="C56" s="51">
        <v>1</v>
      </c>
    </row>
    <row r="57" spans="1:3">
      <c r="A57" s="49">
        <f>Sheet1!A23</f>
        <v>123</v>
      </c>
      <c r="B57" s="50">
        <f>Sheet1!B23</f>
        <v>15.350000000000001</v>
      </c>
      <c r="C57" s="51">
        <v>1</v>
      </c>
    </row>
    <row r="58" spans="1:3">
      <c r="A58" s="49">
        <f>Sheet1!A24</f>
        <v>124</v>
      </c>
      <c r="B58" s="50">
        <f>Sheet1!B24</f>
        <v>15.480000000000002</v>
      </c>
      <c r="C58" s="51">
        <v>1</v>
      </c>
    </row>
    <row r="59" spans="1:3">
      <c r="A59" s="49">
        <f>Sheet1!A25</f>
        <v>125</v>
      </c>
      <c r="B59" s="50">
        <f>Sheet1!B25</f>
        <v>15.610000000000003</v>
      </c>
      <c r="C59" s="51">
        <v>1</v>
      </c>
    </row>
    <row r="60" spans="1:3">
      <c r="A60" s="49">
        <f>Sheet1!A26</f>
        <v>130</v>
      </c>
      <c r="B60" s="50">
        <f>Sheet1!B26</f>
        <v>17.87</v>
      </c>
      <c r="C60" s="51">
        <v>1</v>
      </c>
    </row>
    <row r="61" spans="1:3">
      <c r="A61" s="49">
        <f>Sheet1!A27</f>
        <v>135</v>
      </c>
      <c r="B61" s="50">
        <f>Sheet1!B27</f>
        <v>17.98</v>
      </c>
      <c r="C61" s="51">
        <v>1</v>
      </c>
    </row>
    <row r="62" spans="1:3">
      <c r="A62" s="49">
        <f>Sheet1!A28</f>
        <v>140</v>
      </c>
      <c r="B62" s="50">
        <f>Sheet1!B28</f>
        <v>18.37</v>
      </c>
      <c r="C62" s="51">
        <v>1</v>
      </c>
    </row>
    <row r="63" spans="1:3">
      <c r="A63" s="49">
        <f>Sheet1!A29</f>
        <v>145</v>
      </c>
      <c r="B63" s="50">
        <f>Sheet1!B29</f>
        <v>18.470000000000002</v>
      </c>
      <c r="C63" s="51">
        <v>1</v>
      </c>
    </row>
    <row r="64" spans="1:3">
      <c r="A64" s="49">
        <f>Sheet1!A30</f>
        <v>150</v>
      </c>
      <c r="B64" s="50">
        <f>Sheet1!B30</f>
        <v>18.86</v>
      </c>
      <c r="C64" s="51">
        <v>1</v>
      </c>
    </row>
    <row r="65" spans="1:3">
      <c r="A65" s="49">
        <f>Sheet1!A31</f>
        <v>155</v>
      </c>
      <c r="B65" s="50">
        <f>Sheet1!B31</f>
        <v>18.919999999999998</v>
      </c>
      <c r="C65" s="51">
        <v>1</v>
      </c>
    </row>
    <row r="66" spans="1:3">
      <c r="A66" s="49">
        <f>Sheet1!A32</f>
        <v>160</v>
      </c>
      <c r="B66" s="50">
        <f>Sheet1!B32</f>
        <v>18.97</v>
      </c>
      <c r="C66" s="51">
        <v>1</v>
      </c>
    </row>
    <row r="67" spans="1:3">
      <c r="A67" s="49">
        <f>Sheet1!A33</f>
        <v>165</v>
      </c>
      <c r="B67" s="50">
        <f>Sheet1!B33</f>
        <v>19.009999999999998</v>
      </c>
      <c r="C67" s="51">
        <v>1</v>
      </c>
    </row>
    <row r="68" spans="1:3">
      <c r="A68" s="49">
        <f>Sheet1!A34</f>
        <v>170</v>
      </c>
      <c r="B68" s="50">
        <f>Sheet1!B34</f>
        <v>19.04</v>
      </c>
      <c r="C68" s="51">
        <v>1</v>
      </c>
    </row>
    <row r="69" spans="1:3">
      <c r="A69" s="49">
        <f>Sheet1!A35</f>
        <v>175</v>
      </c>
      <c r="B69" s="50">
        <f>Sheet1!B35</f>
        <v>19.059999999999999</v>
      </c>
      <c r="C69" s="51">
        <v>1</v>
      </c>
    </row>
    <row r="70" spans="1:3">
      <c r="A70" s="49">
        <f>Sheet1!A36</f>
        <v>180</v>
      </c>
      <c r="B70" s="50">
        <f>Sheet1!B36</f>
        <v>19.36</v>
      </c>
      <c r="C70" s="51">
        <v>1</v>
      </c>
    </row>
    <row r="71" spans="1:3">
      <c r="A71" s="49">
        <f>Sheet1!A37</f>
        <v>195</v>
      </c>
      <c r="B71" s="50">
        <f>Sheet1!B37</f>
        <v>19.43</v>
      </c>
      <c r="C71" s="51">
        <v>1</v>
      </c>
    </row>
    <row r="72" spans="1:3">
      <c r="A72" s="49">
        <f>Sheet1!A38</f>
        <v>210</v>
      </c>
      <c r="B72" s="50">
        <f>Sheet1!B38</f>
        <v>19.489999999999998</v>
      </c>
      <c r="C72" s="51">
        <v>1</v>
      </c>
    </row>
    <row r="73" spans="1:3">
      <c r="A73" s="49">
        <f>Sheet1!A39</f>
        <v>225</v>
      </c>
      <c r="B73" s="50">
        <f>Sheet1!B39</f>
        <v>19.54</v>
      </c>
      <c r="C73" s="51">
        <v>1</v>
      </c>
    </row>
    <row r="74" spans="1:3">
      <c r="A74" s="49">
        <f>Sheet1!A40</f>
        <v>240</v>
      </c>
      <c r="B74" s="50">
        <f>Sheet1!B40</f>
        <v>19.86</v>
      </c>
      <c r="C74" s="51">
        <v>1</v>
      </c>
    </row>
    <row r="75" spans="1:3">
      <c r="A75" s="49">
        <f>Sheet1!A41</f>
        <v>241</v>
      </c>
      <c r="B75" s="50">
        <f>Sheet1!B41</f>
        <v>20.04</v>
      </c>
      <c r="C75" s="51">
        <v>1</v>
      </c>
    </row>
    <row r="76" spans="1:3">
      <c r="A76" s="49">
        <f>Sheet1!A42</f>
        <v>242</v>
      </c>
      <c r="B76" s="50">
        <f>Sheet1!B42</f>
        <v>20.2</v>
      </c>
      <c r="C76" s="51">
        <v>1</v>
      </c>
    </row>
    <row r="77" spans="1:3">
      <c r="A77" s="49">
        <f>Sheet1!A43</f>
        <v>243</v>
      </c>
      <c r="B77" s="50">
        <f>Sheet1!B43</f>
        <v>20.349999999999998</v>
      </c>
      <c r="C77" s="51">
        <v>1</v>
      </c>
    </row>
    <row r="78" spans="1:3">
      <c r="A78" s="49">
        <f>Sheet1!A44</f>
        <v>244</v>
      </c>
      <c r="B78" s="50">
        <f>Sheet1!B44</f>
        <v>20.49</v>
      </c>
      <c r="C78" s="51">
        <v>1</v>
      </c>
    </row>
    <row r="79" spans="1:3">
      <c r="A79" s="49">
        <f>Sheet1!A45</f>
        <v>245</v>
      </c>
      <c r="B79" s="50">
        <f>Sheet1!B45</f>
        <v>20.619999999999997</v>
      </c>
      <c r="C79" s="51">
        <v>1</v>
      </c>
    </row>
    <row r="80" spans="1:3">
      <c r="A80" s="49">
        <f>Sheet1!A46</f>
        <v>250</v>
      </c>
      <c r="B80" s="50">
        <f>Sheet1!B46</f>
        <v>23.21</v>
      </c>
      <c r="C80" s="51">
        <v>1</v>
      </c>
    </row>
    <row r="81" spans="1:3">
      <c r="A81" s="49">
        <f>Sheet1!A47</f>
        <v>255</v>
      </c>
      <c r="B81" s="50">
        <f>Sheet1!B47</f>
        <v>23.32</v>
      </c>
      <c r="C81" s="51">
        <v>1</v>
      </c>
    </row>
    <row r="82" spans="1:3">
      <c r="A82" s="49">
        <f>Sheet1!A48</f>
        <v>260</v>
      </c>
      <c r="B82" s="50">
        <f>Sheet1!B48</f>
        <v>23.77</v>
      </c>
      <c r="C82" s="51">
        <v>1</v>
      </c>
    </row>
    <row r="83" spans="1:3">
      <c r="A83" s="49">
        <f>Sheet1!A49</f>
        <v>265</v>
      </c>
      <c r="B83" s="50">
        <f>Sheet1!B49</f>
        <v>23.88</v>
      </c>
      <c r="C83" s="51">
        <v>1</v>
      </c>
    </row>
    <row r="84" spans="1:3">
      <c r="A84" s="49">
        <f>Sheet1!A50</f>
        <v>270</v>
      </c>
      <c r="B84" s="50">
        <f>Sheet1!B50</f>
        <v>24.33</v>
      </c>
      <c r="C84" s="51">
        <v>1</v>
      </c>
    </row>
    <row r="85" spans="1:3">
      <c r="A85" s="49">
        <f>Sheet1!A51</f>
        <v>275</v>
      </c>
      <c r="B85" s="50">
        <f>Sheet1!B51</f>
        <v>24.4</v>
      </c>
      <c r="C85" s="51">
        <v>1</v>
      </c>
    </row>
    <row r="86" spans="1:3">
      <c r="A86" s="49">
        <f>Sheet1!A52</f>
        <v>280</v>
      </c>
      <c r="B86" s="50">
        <f>Sheet1!B52</f>
        <v>24.45</v>
      </c>
      <c r="C86" s="51">
        <v>1</v>
      </c>
    </row>
    <row r="87" spans="1:3">
      <c r="A87" s="49">
        <f>Sheet1!A53</f>
        <v>285</v>
      </c>
      <c r="B87" s="50">
        <f>Sheet1!B53</f>
        <v>24.49</v>
      </c>
      <c r="C87" s="51">
        <v>1</v>
      </c>
    </row>
    <row r="88" spans="1:3">
      <c r="A88" s="49">
        <f>Sheet1!A54</f>
        <v>290</v>
      </c>
      <c r="B88" s="50">
        <f>Sheet1!B54</f>
        <v>24.52</v>
      </c>
      <c r="C88" s="51">
        <v>1</v>
      </c>
    </row>
    <row r="89" spans="1:3">
      <c r="A89" s="49">
        <f>Sheet1!A55</f>
        <v>295</v>
      </c>
      <c r="B89" s="50">
        <f>Sheet1!B55</f>
        <v>24.54</v>
      </c>
      <c r="C89" s="51">
        <v>1</v>
      </c>
    </row>
    <row r="90" spans="1:3">
      <c r="A90" s="49">
        <f>Sheet1!A56</f>
        <v>300</v>
      </c>
      <c r="B90" s="50">
        <f>Sheet1!B56</f>
        <v>24.89</v>
      </c>
      <c r="C90" s="51">
        <v>1</v>
      </c>
    </row>
    <row r="91" spans="1:3">
      <c r="A91" s="49">
        <f>Sheet1!A57</f>
        <v>315</v>
      </c>
      <c r="B91" s="50">
        <f>Sheet1!B57</f>
        <v>24.97</v>
      </c>
      <c r="C91" s="51">
        <v>1</v>
      </c>
    </row>
    <row r="92" spans="1:3">
      <c r="A92" s="49">
        <f>Sheet1!A58</f>
        <v>330</v>
      </c>
      <c r="B92" s="50">
        <f>Sheet1!B58</f>
        <v>25.029999999999998</v>
      </c>
      <c r="C92" s="51">
        <v>1</v>
      </c>
    </row>
    <row r="93" spans="1:3">
      <c r="A93" s="49">
        <f>Sheet1!A59</f>
        <v>345</v>
      </c>
      <c r="B93" s="50">
        <f>Sheet1!B59</f>
        <v>25.08</v>
      </c>
      <c r="C93" s="51">
        <v>1</v>
      </c>
    </row>
    <row r="94" spans="1:3">
      <c r="A94" s="49">
        <f>Sheet1!A60</f>
        <v>360</v>
      </c>
      <c r="B94" s="50">
        <f>Sheet1!B60</f>
        <v>25.45</v>
      </c>
      <c r="C94" s="51">
        <v>1</v>
      </c>
    </row>
    <row r="95" spans="1:3">
      <c r="A95" s="49">
        <f>Sheet1!A61</f>
        <v>361</v>
      </c>
      <c r="B95" s="50">
        <f>Sheet1!B61</f>
        <v>25.64</v>
      </c>
      <c r="C95" s="51">
        <v>1</v>
      </c>
    </row>
    <row r="96" spans="1:3">
      <c r="A96" s="49">
        <f>Sheet1!A62</f>
        <v>362</v>
      </c>
      <c r="B96" s="50">
        <f>Sheet1!B62</f>
        <v>25.810000000000002</v>
      </c>
      <c r="C96" s="51">
        <v>1</v>
      </c>
    </row>
    <row r="97" spans="1:3">
      <c r="A97" s="49">
        <f>Sheet1!A63</f>
        <v>363</v>
      </c>
      <c r="B97" s="50">
        <f>Sheet1!B63</f>
        <v>25.970000000000002</v>
      </c>
      <c r="C97" s="51">
        <v>1</v>
      </c>
    </row>
    <row r="98" spans="1:3">
      <c r="A98" s="49">
        <f>Sheet1!A64</f>
        <v>364</v>
      </c>
      <c r="B98" s="50">
        <f>Sheet1!B64</f>
        <v>26.12</v>
      </c>
      <c r="C98" s="51">
        <v>1</v>
      </c>
    </row>
    <row r="99" spans="1:3">
      <c r="A99" s="49">
        <f>Sheet1!A65</f>
        <v>365</v>
      </c>
      <c r="B99" s="50">
        <f>Sheet1!B65</f>
        <v>26.26</v>
      </c>
      <c r="C99" s="51">
        <v>1</v>
      </c>
    </row>
    <row r="100" spans="1:3">
      <c r="A100" s="49">
        <f>Sheet1!A66</f>
        <v>370</v>
      </c>
      <c r="B100" s="50">
        <f>Sheet1!B66</f>
        <v>29.18</v>
      </c>
      <c r="C100" s="51">
        <v>1</v>
      </c>
    </row>
    <row r="101" spans="1:3">
      <c r="A101" s="49">
        <f>Sheet1!A67</f>
        <v>375</v>
      </c>
      <c r="B101" s="50">
        <f>Sheet1!B67</f>
        <v>29.3</v>
      </c>
      <c r="C101" s="51">
        <v>1</v>
      </c>
    </row>
    <row r="102" spans="1:3">
      <c r="A102" s="49">
        <f>Sheet1!A68</f>
        <v>380</v>
      </c>
      <c r="B102" s="50">
        <f>Sheet1!B68</f>
        <v>29.81</v>
      </c>
      <c r="C102" s="51">
        <v>1</v>
      </c>
    </row>
    <row r="103" spans="1:3">
      <c r="A103" s="49">
        <f>Sheet1!A69</f>
        <v>385</v>
      </c>
      <c r="B103" s="50">
        <f>Sheet1!B69</f>
        <v>29.93</v>
      </c>
      <c r="C103" s="51">
        <v>1</v>
      </c>
    </row>
    <row r="104" spans="1:3">
      <c r="A104" s="49">
        <f>Sheet1!A70</f>
        <v>390</v>
      </c>
      <c r="B104" s="50">
        <f>Sheet1!B70</f>
        <v>30.43</v>
      </c>
      <c r="C104" s="51">
        <v>1</v>
      </c>
    </row>
    <row r="105" spans="1:3">
      <c r="A105" s="49">
        <f>Sheet1!A71</f>
        <v>395</v>
      </c>
      <c r="B105" s="50">
        <f>Sheet1!B71</f>
        <v>30.5</v>
      </c>
      <c r="C105" s="51">
        <v>1</v>
      </c>
    </row>
    <row r="106" spans="1:3">
      <c r="A106" s="49">
        <f>Sheet1!A72</f>
        <v>400</v>
      </c>
      <c r="B106" s="50">
        <f>Sheet1!B72</f>
        <v>30.55</v>
      </c>
      <c r="C106" s="51">
        <v>1</v>
      </c>
    </row>
    <row r="107" spans="1:3">
      <c r="A107" s="49">
        <f>Sheet1!A73</f>
        <v>405</v>
      </c>
      <c r="B107" s="50">
        <f>Sheet1!B73</f>
        <v>30.59</v>
      </c>
      <c r="C107" s="51">
        <v>1</v>
      </c>
    </row>
    <row r="108" spans="1:3">
      <c r="A108" s="49">
        <f>Sheet1!A74</f>
        <v>410</v>
      </c>
      <c r="B108" s="50">
        <f>Sheet1!B74</f>
        <v>30.62</v>
      </c>
      <c r="C108" s="51">
        <v>1</v>
      </c>
    </row>
    <row r="109" spans="1:3">
      <c r="A109" s="49">
        <f>Sheet1!A75</f>
        <v>415</v>
      </c>
      <c r="B109" s="50">
        <f>Sheet1!B75</f>
        <v>30.650000000000002</v>
      </c>
      <c r="C109" s="51">
        <v>1</v>
      </c>
    </row>
    <row r="110" spans="1:3">
      <c r="A110" s="49">
        <f>Sheet1!A76</f>
        <v>420</v>
      </c>
      <c r="B110" s="50">
        <f>Sheet1!B76</f>
        <v>31.05</v>
      </c>
      <c r="C110" s="51">
        <v>1</v>
      </c>
    </row>
    <row r="111" spans="1:3">
      <c r="A111" s="49">
        <f>Sheet1!A77</f>
        <v>435</v>
      </c>
      <c r="B111" s="50">
        <f>Sheet1!B77</f>
        <v>31.14</v>
      </c>
      <c r="C111" s="51">
        <v>1</v>
      </c>
    </row>
    <row r="112" spans="1:3">
      <c r="A112" s="49">
        <f>Sheet1!A78</f>
        <v>450</v>
      </c>
      <c r="B112" s="50">
        <f>Sheet1!B78</f>
        <v>31.21</v>
      </c>
      <c r="C112" s="51">
        <v>1</v>
      </c>
    </row>
    <row r="113" spans="1:3">
      <c r="A113" s="49">
        <f>Sheet1!A79</f>
        <v>465</v>
      </c>
      <c r="B113" s="50">
        <f>Sheet1!B79</f>
        <v>31.26</v>
      </c>
      <c r="C113" s="51">
        <v>1</v>
      </c>
    </row>
    <row r="114" spans="1:3">
      <c r="A114" s="49">
        <f>Sheet1!A80</f>
        <v>480</v>
      </c>
      <c r="B114" s="50">
        <f>Sheet1!B80</f>
        <v>31.68</v>
      </c>
      <c r="C114" s="51">
        <v>1</v>
      </c>
    </row>
    <row r="115" spans="1:3">
      <c r="A115" s="49">
        <f>Sheet1!A81</f>
        <v>481</v>
      </c>
      <c r="B115" s="50">
        <f>Sheet1!B81</f>
        <v>31.89</v>
      </c>
      <c r="C115" s="51">
        <v>1</v>
      </c>
    </row>
    <row r="116" spans="1:3">
      <c r="A116" s="49">
        <f>Sheet1!A82</f>
        <v>482</v>
      </c>
      <c r="B116" s="50">
        <f>Sheet1!B82</f>
        <v>32.08</v>
      </c>
      <c r="C116" s="51">
        <v>1</v>
      </c>
    </row>
    <row r="117" spans="1:3">
      <c r="A117" s="49">
        <f>Sheet1!A83</f>
        <v>483</v>
      </c>
      <c r="B117" s="50">
        <f>Sheet1!B83</f>
        <v>32.25</v>
      </c>
      <c r="C117" s="51">
        <v>1</v>
      </c>
    </row>
    <row r="118" spans="1:3">
      <c r="A118" s="49">
        <f>Sheet1!A84</f>
        <v>484</v>
      </c>
      <c r="B118" s="50">
        <f>Sheet1!B84</f>
        <v>32.409999999999997</v>
      </c>
      <c r="C118" s="51">
        <v>1</v>
      </c>
    </row>
    <row r="119" spans="1:3">
      <c r="A119" s="49">
        <f>Sheet1!A85</f>
        <v>485</v>
      </c>
      <c r="B119" s="50">
        <f>Sheet1!B85</f>
        <v>32.549999999999997</v>
      </c>
      <c r="C119" s="51">
        <v>1</v>
      </c>
    </row>
    <row r="120" spans="1:3">
      <c r="A120" s="49">
        <f>Sheet1!A86</f>
        <v>490</v>
      </c>
      <c r="B120" s="50">
        <f>Sheet1!B86</f>
        <v>35.479999999999997</v>
      </c>
      <c r="C120" s="51">
        <v>1</v>
      </c>
    </row>
    <row r="121" spans="1:3">
      <c r="A121" s="49">
        <f>Sheet1!A87</f>
        <v>495</v>
      </c>
      <c r="B121" s="50">
        <f>Sheet1!B87</f>
        <v>35.79</v>
      </c>
      <c r="C121" s="51">
        <v>1</v>
      </c>
    </row>
    <row r="122" spans="1:3">
      <c r="A122" s="49">
        <f>Sheet1!A88</f>
        <v>500</v>
      </c>
      <c r="B122" s="50">
        <f>Sheet1!B88</f>
        <v>36.9</v>
      </c>
      <c r="C122" s="51">
        <v>1</v>
      </c>
    </row>
    <row r="123" spans="1:3">
      <c r="A123" s="49">
        <f>Sheet1!A89</f>
        <v>505</v>
      </c>
      <c r="B123" s="50">
        <f>Sheet1!B89</f>
        <v>37.199999999999996</v>
      </c>
      <c r="C123" s="51">
        <v>1</v>
      </c>
    </row>
    <row r="124" spans="1:3">
      <c r="A124" s="49">
        <f>Sheet1!A90</f>
        <v>510</v>
      </c>
      <c r="B124" s="50">
        <f>Sheet1!B90</f>
        <v>38.33</v>
      </c>
      <c r="C124" s="51">
        <v>1</v>
      </c>
    </row>
    <row r="125" spans="1:3">
      <c r="A125" s="49">
        <f>Sheet1!A91</f>
        <v>515</v>
      </c>
      <c r="B125" s="50">
        <f>Sheet1!B91</f>
        <v>38.479999999999997</v>
      </c>
      <c r="C125" s="51">
        <v>1</v>
      </c>
    </row>
    <row r="126" spans="1:3">
      <c r="A126" s="49">
        <f>Sheet1!A92</f>
        <v>520</v>
      </c>
      <c r="B126" s="50">
        <f>Sheet1!B92</f>
        <v>38.61</v>
      </c>
      <c r="C126" s="51">
        <v>1</v>
      </c>
    </row>
    <row r="127" spans="1:3">
      <c r="A127" s="49">
        <f>Sheet1!A93</f>
        <v>525</v>
      </c>
      <c r="B127" s="50">
        <f>Sheet1!B93</f>
        <v>38.72</v>
      </c>
      <c r="C127" s="51">
        <v>1</v>
      </c>
    </row>
    <row r="128" spans="1:3">
      <c r="A128" s="49">
        <f>Sheet1!A94</f>
        <v>530</v>
      </c>
      <c r="B128" s="50">
        <f>Sheet1!B94</f>
        <v>38.799999999999997</v>
      </c>
      <c r="C128" s="51">
        <v>1</v>
      </c>
    </row>
    <row r="129" spans="1:3">
      <c r="A129" s="49">
        <f>Sheet1!A95</f>
        <v>535</v>
      </c>
      <c r="B129" s="50">
        <f>Sheet1!B95</f>
        <v>38.869999999999997</v>
      </c>
      <c r="C129" s="51">
        <v>1</v>
      </c>
    </row>
    <row r="130" spans="1:3">
      <c r="A130" s="49">
        <f>Sheet1!A96</f>
        <v>540</v>
      </c>
      <c r="B130" s="50">
        <f>Sheet1!B96</f>
        <v>39.75</v>
      </c>
      <c r="C130" s="51">
        <v>1</v>
      </c>
    </row>
    <row r="131" spans="1:3">
      <c r="A131" s="49">
        <f>Sheet1!A97</f>
        <v>555</v>
      </c>
      <c r="B131" s="50">
        <f>Sheet1!B97</f>
        <v>39.94</v>
      </c>
      <c r="C131" s="51">
        <v>1</v>
      </c>
    </row>
    <row r="132" spans="1:3">
      <c r="A132" s="49">
        <f>Sheet1!A98</f>
        <v>570</v>
      </c>
      <c r="B132" s="50">
        <f>Sheet1!B98</f>
        <v>40.099999999999994</v>
      </c>
      <c r="C132" s="51">
        <v>1</v>
      </c>
    </row>
    <row r="133" spans="1:3">
      <c r="A133" s="49">
        <f>Sheet1!A99</f>
        <v>585</v>
      </c>
      <c r="B133" s="50">
        <f>Sheet1!B99</f>
        <v>40.239999999999995</v>
      </c>
      <c r="C133" s="51">
        <v>1</v>
      </c>
    </row>
    <row r="134" spans="1:3">
      <c r="A134" s="49">
        <f>Sheet1!A100</f>
        <v>600</v>
      </c>
      <c r="B134" s="50">
        <f>Sheet1!B100</f>
        <v>41.18</v>
      </c>
      <c r="C134" s="51">
        <v>1</v>
      </c>
    </row>
    <row r="135" spans="1:3">
      <c r="A135" s="49" t="s">
        <v>201</v>
      </c>
      <c r="B135" s="50"/>
      <c r="C13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J42" sqref="J4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SUM(C31:C98)</f>
        <v>68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>
        <f>LongTest!D54</f>
        <v>1500</v>
      </c>
      <c r="B75" s="53">
        <f>LongTest!G54</f>
        <v>35.599999999999994</v>
      </c>
      <c r="C75" s="51">
        <v>1</v>
      </c>
    </row>
    <row r="76" spans="1:3">
      <c r="A76" s="49">
        <f>LongTest!D55</f>
        <v>1560</v>
      </c>
      <c r="B76" s="53">
        <f>LongTest!G55</f>
        <v>35.599999999999994</v>
      </c>
      <c r="C76" s="51">
        <v>1</v>
      </c>
    </row>
    <row r="77" spans="1:3">
      <c r="A77" s="49">
        <f>LongTest!D56</f>
        <v>1620</v>
      </c>
      <c r="B77" s="53">
        <f>LongTest!G56</f>
        <v>35.599999999999994</v>
      </c>
      <c r="C77" s="51">
        <v>1</v>
      </c>
    </row>
    <row r="78" spans="1:3">
      <c r="A78" s="49">
        <f>LongTest!D57</f>
        <v>1680</v>
      </c>
      <c r="B78" s="53">
        <f>LongTest!G57</f>
        <v>35.599999999999994</v>
      </c>
      <c r="C78" s="51">
        <v>1</v>
      </c>
    </row>
    <row r="79" spans="1:3">
      <c r="A79" s="49">
        <f>LongTest!D58</f>
        <v>1740</v>
      </c>
      <c r="B79" s="53">
        <f>LongTest!G58</f>
        <v>35.599999999999994</v>
      </c>
      <c r="C79" s="51">
        <v>1</v>
      </c>
    </row>
    <row r="80" spans="1:3">
      <c r="A80" s="49">
        <f>LongTest!D59</f>
        <v>1800</v>
      </c>
      <c r="B80" s="53">
        <f>LongTest!G59</f>
        <v>35.599999999999994</v>
      </c>
      <c r="C80" s="51">
        <v>1</v>
      </c>
    </row>
    <row r="81" spans="1:3">
      <c r="A81" s="49">
        <f>LongTest!D60</f>
        <v>1860</v>
      </c>
      <c r="B81" s="53">
        <f>LongTest!G60</f>
        <v>35.599999999999994</v>
      </c>
      <c r="C81" s="51">
        <v>1</v>
      </c>
    </row>
    <row r="82" spans="1:3">
      <c r="A82" s="49">
        <f>LongTest!D61</f>
        <v>1920</v>
      </c>
      <c r="B82" s="53">
        <f>LongTest!G61</f>
        <v>35.599999999999994</v>
      </c>
      <c r="C82" s="51">
        <v>1</v>
      </c>
    </row>
    <row r="83" spans="1:3">
      <c r="A83" s="49">
        <f>LongTest!D62</f>
        <v>1980</v>
      </c>
      <c r="B83" s="53">
        <f>LongTest!G62</f>
        <v>35.599999999999994</v>
      </c>
      <c r="C83" s="51">
        <v>1</v>
      </c>
    </row>
    <row r="84" spans="1:3">
      <c r="A84" s="49">
        <f>LongTest!D63</f>
        <v>2040</v>
      </c>
      <c r="B84" s="53">
        <f>LongTest!G63</f>
        <v>35.599999999999994</v>
      </c>
      <c r="C84" s="51">
        <v>1</v>
      </c>
    </row>
    <row r="85" spans="1:3">
      <c r="A85" s="49">
        <f>LongTest!D64</f>
        <v>2100</v>
      </c>
      <c r="B85" s="53">
        <f>LongTest!G64</f>
        <v>35.599999999999994</v>
      </c>
      <c r="C85" s="51">
        <v>1</v>
      </c>
    </row>
    <row r="86" spans="1:3">
      <c r="A86" s="49">
        <f>LongTest!D65</f>
        <v>2160</v>
      </c>
      <c r="B86" s="53">
        <f>LongTest!G65</f>
        <v>35.599999999999994</v>
      </c>
      <c r="C86" s="51">
        <v>1</v>
      </c>
    </row>
    <row r="87" spans="1:3">
      <c r="A87" s="49">
        <f>LongTest!D66</f>
        <v>2220</v>
      </c>
      <c r="B87" s="53">
        <f>LongTest!G66</f>
        <v>35.599999999999994</v>
      </c>
      <c r="C87" s="51">
        <v>1</v>
      </c>
    </row>
    <row r="88" spans="1:3">
      <c r="A88" s="49">
        <f>LongTest!D67</f>
        <v>2280</v>
      </c>
      <c r="B88" s="53">
        <f>LongTest!G67</f>
        <v>35.599999999999994</v>
      </c>
      <c r="C88" s="51">
        <v>1</v>
      </c>
    </row>
    <row r="89" spans="1:3">
      <c r="A89" s="49">
        <f>LongTest!D68</f>
        <v>2340</v>
      </c>
      <c r="B89" s="53">
        <f>LongTest!G68</f>
        <v>35.599999999999994</v>
      </c>
      <c r="C89" s="51">
        <v>1</v>
      </c>
    </row>
    <row r="90" spans="1:3">
      <c r="A90" s="49">
        <f>LongTest!D69</f>
        <v>2400</v>
      </c>
      <c r="B90" s="53">
        <f>LongTest!G69</f>
        <v>35.599999999999994</v>
      </c>
      <c r="C90" s="51">
        <v>1</v>
      </c>
    </row>
    <row r="91" spans="1:3">
      <c r="A91" s="49">
        <f>LongTest!D70</f>
        <v>2460</v>
      </c>
      <c r="B91" s="53">
        <f>LongTest!G70</f>
        <v>35.599999999999994</v>
      </c>
      <c r="C91" s="51">
        <v>1</v>
      </c>
    </row>
    <row r="92" spans="1:3">
      <c r="A92" s="49">
        <f>LongTest!D71</f>
        <v>2520</v>
      </c>
      <c r="B92" s="53">
        <f>LongTest!G71</f>
        <v>35.599999999999994</v>
      </c>
      <c r="C92" s="51">
        <v>1</v>
      </c>
    </row>
    <row r="93" spans="1:3">
      <c r="A93" s="49">
        <f>LongTest!D72</f>
        <v>2580</v>
      </c>
      <c r="B93" s="53">
        <f>LongTest!G72</f>
        <v>35.599999999999994</v>
      </c>
      <c r="C93" s="51">
        <v>1</v>
      </c>
    </row>
    <row r="94" spans="1:3">
      <c r="A94" s="49">
        <f>LongTest!D73</f>
        <v>2640</v>
      </c>
      <c r="B94" s="53">
        <f>LongTest!G73</f>
        <v>35.599999999999994</v>
      </c>
      <c r="C94" s="51">
        <v>1</v>
      </c>
    </row>
    <row r="95" spans="1:3">
      <c r="A95" s="49">
        <f>LongTest!D74</f>
        <v>2700</v>
      </c>
      <c r="B95" s="53">
        <f>LongTest!G74</f>
        <v>35.599999999999994</v>
      </c>
      <c r="C95" s="51">
        <v>1</v>
      </c>
    </row>
    <row r="96" spans="1:3">
      <c r="A96" s="49">
        <f>LongTest!D75</f>
        <v>2760</v>
      </c>
      <c r="B96" s="53">
        <f>LongTest!G75</f>
        <v>35.599999999999994</v>
      </c>
      <c r="C96" s="51">
        <v>1</v>
      </c>
    </row>
    <row r="97" spans="1:3">
      <c r="A97" s="49">
        <f>LongTest!D76</f>
        <v>2820</v>
      </c>
      <c r="B97" s="53">
        <f>LongTest!G76</f>
        <v>35.599999999999994</v>
      </c>
      <c r="C97" s="51">
        <v>1</v>
      </c>
    </row>
    <row r="98" spans="1:3">
      <c r="A98" s="49">
        <f>LongTest!D77</f>
        <v>2880</v>
      </c>
      <c r="B98" s="53">
        <f>LongTest!G77</f>
        <v>35.599999999999994</v>
      </c>
      <c r="C98" s="51">
        <v>1</v>
      </c>
    </row>
    <row r="99" spans="1:3">
      <c r="A99" s="49" t="s">
        <v>201</v>
      </c>
      <c r="B99" s="50"/>
      <c r="C99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zoomScaleNormal="100" workbookViewId="0">
      <selection activeCell="M25" sqref="M25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2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51">
        <v>2880</v>
      </c>
      <c r="B25" s="51">
        <v>0</v>
      </c>
      <c r="C25" s="50"/>
    </row>
    <row r="26" spans="1:3">
      <c r="A26" s="49" t="s">
        <v>200</v>
      </c>
      <c r="B26" s="49"/>
      <c r="C26" s="50"/>
    </row>
    <row r="27" spans="1:3">
      <c r="A27" s="49" t="str">
        <f>A15</f>
        <v>W-1</v>
      </c>
      <c r="B27" s="49"/>
      <c r="C27" s="50"/>
    </row>
    <row r="28" spans="1:3">
      <c r="A28" s="52">
        <f>SkinFactor!C8</f>
        <v>2.1</v>
      </c>
      <c r="B28" s="49"/>
      <c r="C28" s="50"/>
    </row>
    <row r="29" spans="1:3">
      <c r="A29" s="49">
        <v>0</v>
      </c>
      <c r="B29" s="49"/>
      <c r="C29" s="50"/>
    </row>
    <row r="30" spans="1:3">
      <c r="A30" s="49">
        <v>0</v>
      </c>
      <c r="B30" s="49"/>
      <c r="C30" s="50"/>
    </row>
    <row r="31" spans="1:3">
      <c r="A31" s="51">
        <f>SUM(C32:C56)</f>
        <v>25</v>
      </c>
      <c r="B31" s="49"/>
      <c r="C31" s="50"/>
    </row>
    <row r="32" spans="1:3">
      <c r="A32" s="49">
        <f>LongTest!D77</f>
        <v>2880</v>
      </c>
      <c r="B32" s="50">
        <f>LongTest!G77</f>
        <v>35.599999999999994</v>
      </c>
      <c r="C32" s="51">
        <v>1</v>
      </c>
    </row>
    <row r="33" spans="1:3">
      <c r="A33" s="49">
        <f>$A$32+LongTest!D78</f>
        <v>2881</v>
      </c>
      <c r="B33" s="50">
        <f>LongTest!G78</f>
        <v>21.589719418855754</v>
      </c>
      <c r="C33" s="51">
        <v>1</v>
      </c>
    </row>
    <row r="34" spans="1:3">
      <c r="A34" s="49">
        <f>$A$32+LongTest!D79</f>
        <v>2882</v>
      </c>
      <c r="B34" s="50">
        <f>LongTest!G79</f>
        <v>19.395612475263647</v>
      </c>
      <c r="C34" s="51">
        <v>1</v>
      </c>
    </row>
    <row r="35" spans="1:3">
      <c r="A35" s="49">
        <f>$A$32+LongTest!D80</f>
        <v>2883</v>
      </c>
      <c r="B35" s="50">
        <f>LongTest!G80</f>
        <v>17.424486904727953</v>
      </c>
      <c r="C35" s="51">
        <v>1</v>
      </c>
    </row>
    <row r="36" spans="1:3">
      <c r="A36" s="49">
        <f>$A$32+LongTest!D81</f>
        <v>2884</v>
      </c>
      <c r="B36" s="50">
        <f>LongTest!G81</f>
        <v>15.653681691168593</v>
      </c>
      <c r="C36" s="51">
        <v>1</v>
      </c>
    </row>
    <row r="37" spans="1:3">
      <c r="A37" s="49">
        <f>$A$32+LongTest!D82</f>
        <v>2885</v>
      </c>
      <c r="B37" s="50">
        <f>LongTest!G82</f>
        <v>14.062838798538074</v>
      </c>
      <c r="C37" s="51">
        <v>1</v>
      </c>
    </row>
    <row r="38" spans="1:3">
      <c r="A38" s="49">
        <f>$A$32+LongTest!D83</f>
        <v>2890</v>
      </c>
      <c r="B38" s="50">
        <f>LongTest!G83</f>
        <v>10.196297504184882</v>
      </c>
      <c r="C38" s="51">
        <v>1</v>
      </c>
    </row>
    <row r="39" spans="1:3">
      <c r="A39" s="49">
        <f>$A$32+LongTest!D84</f>
        <v>2895</v>
      </c>
      <c r="B39" s="50">
        <f>LongTest!G84</f>
        <v>9.4932189770901534</v>
      </c>
      <c r="C39" s="51">
        <v>1</v>
      </c>
    </row>
    <row r="40" spans="1:3">
      <c r="A40" s="49">
        <f>$A$32+LongTest!D85</f>
        <v>2900</v>
      </c>
      <c r="B40" s="50">
        <f>LongTest!G85</f>
        <v>7.66172392243109</v>
      </c>
      <c r="C40" s="51">
        <v>1</v>
      </c>
    </row>
    <row r="41" spans="1:3">
      <c r="A41" s="49">
        <f>$A$32+LongTest!D86</f>
        <v>2905</v>
      </c>
      <c r="B41" s="50">
        <f>LongTest!G86</f>
        <v>6.8830828788883958</v>
      </c>
      <c r="C41" s="51">
        <v>1</v>
      </c>
    </row>
    <row r="42" spans="1:3">
      <c r="A42" s="49">
        <f>$A$32+LongTest!D87</f>
        <v>2910</v>
      </c>
      <c r="B42" s="50">
        <f>LongTest!G87</f>
        <v>6.1835730962508677</v>
      </c>
      <c r="C42" s="51">
        <v>1</v>
      </c>
    </row>
    <row r="43" spans="1:3">
      <c r="A43" s="49">
        <f>$A$32+LongTest!D88</f>
        <v>2915</v>
      </c>
      <c r="B43" s="50">
        <f>LongTest!G88</f>
        <v>5.9665735560705189</v>
      </c>
      <c r="C43" s="51">
        <v>1</v>
      </c>
    </row>
    <row r="44" spans="1:3">
      <c r="A44" s="49">
        <f>$A$32+LongTest!D89</f>
        <v>2920</v>
      </c>
      <c r="B44" s="50">
        <f>LongTest!G89</f>
        <v>5.7571891600318352</v>
      </c>
      <c r="C44" s="51">
        <v>1</v>
      </c>
    </row>
    <row r="45" spans="1:3">
      <c r="A45" s="49">
        <f>$A$32+LongTest!D90</f>
        <v>2925</v>
      </c>
      <c r="B45" s="50">
        <f>LongTest!G90</f>
        <v>5.5551526706086483</v>
      </c>
      <c r="C45" s="51">
        <v>1</v>
      </c>
    </row>
    <row r="46" spans="1:3">
      <c r="A46" s="49">
        <f>$A$32+LongTest!D91</f>
        <v>2930</v>
      </c>
      <c r="B46" s="50">
        <f>LongTest!G91</f>
        <v>5.3602062284157688</v>
      </c>
      <c r="C46" s="51">
        <v>1</v>
      </c>
    </row>
    <row r="47" spans="1:3">
      <c r="A47" s="49">
        <f>$A$32+LongTest!D92</f>
        <v>2935</v>
      </c>
      <c r="B47" s="50">
        <f>LongTest!G92</f>
        <v>5.172101023102794</v>
      </c>
      <c r="C47" s="51">
        <v>1</v>
      </c>
    </row>
    <row r="48" spans="1:3">
      <c r="A48" s="49">
        <f>$A$32+LongTest!D93</f>
        <v>2940</v>
      </c>
      <c r="B48" s="50">
        <f>LongTest!G93</f>
        <v>4.9905969757971835</v>
      </c>
      <c r="C48" s="51">
        <v>1</v>
      </c>
    </row>
    <row r="49" spans="1:3">
      <c r="A49" s="49">
        <f>$A$32+LongTest!D94</f>
        <v>2955</v>
      </c>
      <c r="B49" s="50">
        <f>LongTest!G94</f>
        <v>4.8154624326913487</v>
      </c>
      <c r="C49" s="51">
        <v>1</v>
      </c>
    </row>
    <row r="50" spans="1:3">
      <c r="A50" s="49">
        <f>$A$32+LongTest!D95</f>
        <v>2970</v>
      </c>
      <c r="B50" s="50">
        <f>LongTest!G95</f>
        <v>4.6464738693826479</v>
      </c>
      <c r="C50" s="51">
        <v>1</v>
      </c>
    </row>
    <row r="51" spans="1:3">
      <c r="A51" s="49">
        <f>$A$32+LongTest!D96</f>
        <v>2985</v>
      </c>
      <c r="B51" s="50">
        <f>LongTest!G96</f>
        <v>4.4834156055889576</v>
      </c>
      <c r="C51" s="51">
        <v>1</v>
      </c>
    </row>
    <row r="52" spans="1:3">
      <c r="A52" s="49">
        <f>$A$32+LongTest!D97</f>
        <v>3000</v>
      </c>
      <c r="B52" s="50">
        <f>LongTest!G97</f>
        <v>4.0277777568339355</v>
      </c>
      <c r="C52" s="51">
        <v>1</v>
      </c>
    </row>
    <row r="53" spans="1:3">
      <c r="A53" s="49">
        <f>$A$32+LongTest!D98</f>
        <v>3060</v>
      </c>
      <c r="B53" s="50">
        <f>LongTest!G98</f>
        <v>3.8864313366369263</v>
      </c>
      <c r="C53" s="51">
        <v>1</v>
      </c>
    </row>
    <row r="54" spans="1:3">
      <c r="A54" s="49">
        <f>$A$32+LongTest!D99</f>
        <v>3120</v>
      </c>
      <c r="B54" s="50">
        <f>LongTest!G99</f>
        <v>3.1366351094035441</v>
      </c>
      <c r="C54" s="51">
        <v>1</v>
      </c>
    </row>
    <row r="55" spans="1:3">
      <c r="A55" s="49">
        <f>$A$32+LongTest!D100</f>
        <v>3180</v>
      </c>
      <c r="B55" s="50">
        <f>LongTest!G100</f>
        <v>2.5314945659265358</v>
      </c>
      <c r="C55" s="51">
        <v>1</v>
      </c>
    </row>
    <row r="56" spans="1:3">
      <c r="A56" s="49">
        <f>$A$32+LongTest!D101</f>
        <v>3240</v>
      </c>
      <c r="B56" s="50">
        <f>LongTest!G101</f>
        <v>2.043101767911474</v>
      </c>
      <c r="C56" s="51">
        <v>1</v>
      </c>
    </row>
    <row r="57" spans="1:3">
      <c r="A57" s="49" t="s">
        <v>202</v>
      </c>
      <c r="B57" s="50"/>
      <c r="C57" s="50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56" zoomScaleNormal="100" zoomScaleSheetLayoutView="100" workbookViewId="0">
      <selection activeCell="N45" sqref="N45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33" t="s">
        <v>313</v>
      </c>
      <c r="B1" s="633"/>
      <c r="C1" s="633"/>
      <c r="D1" s="633"/>
      <c r="E1" s="633"/>
      <c r="F1" s="633"/>
      <c r="G1" s="633"/>
      <c r="H1" s="633"/>
      <c r="I1" s="633"/>
      <c r="J1" s="633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C79</f>
        <v>45770.479166666664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30">
        <v>780</v>
      </c>
      <c r="E44" s="630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30">
        <v>840</v>
      </c>
      <c r="E45" s="630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30">
        <v>900</v>
      </c>
      <c r="E46" s="630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30">
        <v>960</v>
      </c>
      <c r="E47" s="630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30">
        <v>1020</v>
      </c>
      <c r="E48" s="630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30">
        <v>1080</v>
      </c>
      <c r="E49" s="630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30">
        <v>1140</v>
      </c>
      <c r="E50" s="630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30">
        <v>1200</v>
      </c>
      <c r="E51" s="630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30">
        <v>1260</v>
      </c>
      <c r="E52" s="630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30">
        <v>1320</v>
      </c>
      <c r="E53" s="630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30">
        <v>1380</v>
      </c>
      <c r="E54" s="630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30">
        <v>1440</v>
      </c>
      <c r="E55" s="630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22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22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22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22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22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22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22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22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22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22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22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22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22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22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22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22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22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22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22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22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22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22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22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29"/>
      <c r="B79" s="206"/>
      <c r="C79" s="206">
        <f t="shared" si="4"/>
        <v>45770.479166666664</v>
      </c>
      <c r="D79" s="621">
        <v>2880</v>
      </c>
      <c r="E79" s="622"/>
      <c r="F79" s="207">
        <f>LongTest!F77</f>
        <v>42.8</v>
      </c>
      <c r="G79" s="207">
        <f>LongTest!G77</f>
        <v>35.599999999999994</v>
      </c>
      <c r="H79" s="202">
        <f>H63</f>
        <v>15.6</v>
      </c>
      <c r="I79" s="202">
        <f t="shared" ref="I79:J79" si="5">I63</f>
        <v>212</v>
      </c>
      <c r="J79" s="203">
        <f t="shared" si="5"/>
        <v>7.22</v>
      </c>
    </row>
    <row r="80" spans="1:10" ht="24.95" customHeight="1">
      <c r="A80" s="229"/>
      <c r="B80" s="202">
        <v>0</v>
      </c>
      <c r="C80" s="206">
        <f>$C$4+(D80+2880)/1440</f>
        <v>45770.479861111111</v>
      </c>
      <c r="D80" s="621">
        <v>1</v>
      </c>
      <c r="E80" s="622"/>
      <c r="F80" s="207">
        <f>LongTest!F78</f>
        <v>28.789719418855753</v>
      </c>
      <c r="G80" s="207">
        <f>LongTest!G78</f>
        <v>21.589719418855754</v>
      </c>
      <c r="H80" s="623" t="s">
        <v>191</v>
      </c>
      <c r="I80" s="624"/>
      <c r="J80" s="625"/>
    </row>
    <row r="81" spans="1:10" ht="24.95" customHeight="1">
      <c r="A81" s="229"/>
      <c r="B81" s="206"/>
      <c r="C81" s="206">
        <f t="shared" ref="C81:C103" si="6">$C$4+(D81+2880)/1440</f>
        <v>45770.48055555555</v>
      </c>
      <c r="D81" s="621">
        <v>2</v>
      </c>
      <c r="E81" s="622"/>
      <c r="F81" s="207">
        <f>LongTest!F79</f>
        <v>26.595612475263646</v>
      </c>
      <c r="G81" s="207">
        <f>LongTest!G79</f>
        <v>19.395612475263647</v>
      </c>
      <c r="H81" s="621"/>
      <c r="I81" s="626"/>
      <c r="J81" s="627"/>
    </row>
    <row r="82" spans="1:10" ht="24.95" customHeight="1">
      <c r="A82" s="229"/>
      <c r="B82" s="206"/>
      <c r="C82" s="206">
        <f t="shared" si="6"/>
        <v>45770.481249999997</v>
      </c>
      <c r="D82" s="621">
        <v>3</v>
      </c>
      <c r="E82" s="622"/>
      <c r="F82" s="207">
        <f>LongTest!F80</f>
        <v>24.624486904727952</v>
      </c>
      <c r="G82" s="207">
        <f>LongTest!G80</f>
        <v>17.424486904727953</v>
      </c>
      <c r="H82" s="621"/>
      <c r="I82" s="626"/>
      <c r="J82" s="627"/>
    </row>
    <row r="83" spans="1:10" ht="24.95" customHeight="1">
      <c r="A83" s="229"/>
      <c r="B83" s="206"/>
      <c r="C83" s="206">
        <f t="shared" si="6"/>
        <v>45770.481944444444</v>
      </c>
      <c r="D83" s="621">
        <v>4</v>
      </c>
      <c r="E83" s="622"/>
      <c r="F83" s="207">
        <f>LongTest!F81</f>
        <v>22.853681691168592</v>
      </c>
      <c r="G83" s="207">
        <f>LongTest!G81</f>
        <v>15.653681691168593</v>
      </c>
      <c r="H83" s="621"/>
      <c r="I83" s="626"/>
      <c r="J83" s="627"/>
    </row>
    <row r="84" spans="1:10" ht="24.95" customHeight="1">
      <c r="A84" s="229"/>
      <c r="B84" s="206"/>
      <c r="C84" s="206">
        <f t="shared" si="6"/>
        <v>45770.482638888883</v>
      </c>
      <c r="D84" s="621">
        <v>5</v>
      </c>
      <c r="E84" s="622"/>
      <c r="F84" s="207">
        <f>LongTest!F82</f>
        <v>21.262838798538073</v>
      </c>
      <c r="G84" s="207">
        <f>LongTest!G82</f>
        <v>14.062838798538074</v>
      </c>
      <c r="H84" s="621"/>
      <c r="I84" s="626"/>
      <c r="J84" s="627"/>
    </row>
    <row r="85" spans="1:10" ht="24.95" customHeight="1">
      <c r="A85" s="229"/>
      <c r="B85" s="206"/>
      <c r="C85" s="206">
        <f t="shared" si="6"/>
        <v>45770.486111111109</v>
      </c>
      <c r="D85" s="621">
        <v>10</v>
      </c>
      <c r="E85" s="622"/>
      <c r="F85" s="207">
        <f>LongTest!F83</f>
        <v>17.396297504184883</v>
      </c>
      <c r="G85" s="207">
        <f>LongTest!G83</f>
        <v>10.196297504184882</v>
      </c>
      <c r="H85" s="621"/>
      <c r="I85" s="626"/>
      <c r="J85" s="627"/>
    </row>
    <row r="86" spans="1:10" ht="24.95" customHeight="1">
      <c r="A86" s="229"/>
      <c r="B86" s="206"/>
      <c r="C86" s="206">
        <f t="shared" si="6"/>
        <v>45770.489583333328</v>
      </c>
      <c r="D86" s="621">
        <v>15</v>
      </c>
      <c r="E86" s="622"/>
      <c r="F86" s="207">
        <f>LongTest!F84</f>
        <v>16.693218977090154</v>
      </c>
      <c r="G86" s="207">
        <f>LongTest!G84</f>
        <v>9.4932189770901534</v>
      </c>
      <c r="H86" s="621"/>
      <c r="I86" s="626"/>
      <c r="J86" s="627"/>
    </row>
    <row r="87" spans="1:10" ht="24.95" customHeight="1">
      <c r="A87" s="229"/>
      <c r="B87" s="206"/>
      <c r="C87" s="206">
        <f t="shared" si="6"/>
        <v>45770.493055555555</v>
      </c>
      <c r="D87" s="621">
        <v>20</v>
      </c>
      <c r="E87" s="622"/>
      <c r="F87" s="207">
        <f>LongTest!F85</f>
        <v>14.861723922431089</v>
      </c>
      <c r="G87" s="207">
        <f>LongTest!G85</f>
        <v>7.66172392243109</v>
      </c>
      <c r="H87" s="621"/>
      <c r="I87" s="626"/>
      <c r="J87" s="627"/>
    </row>
    <row r="88" spans="1:10" ht="24.95" customHeight="1">
      <c r="A88" s="229"/>
      <c r="B88" s="206"/>
      <c r="C88" s="206">
        <f t="shared" si="6"/>
        <v>45770.496527777774</v>
      </c>
      <c r="D88" s="621">
        <v>25</v>
      </c>
      <c r="E88" s="622"/>
      <c r="F88" s="207">
        <f>LongTest!F86</f>
        <v>14.083082878888396</v>
      </c>
      <c r="G88" s="207">
        <f>LongTest!G86</f>
        <v>6.8830828788883958</v>
      </c>
      <c r="H88" s="621"/>
      <c r="I88" s="626"/>
      <c r="J88" s="627"/>
    </row>
    <row r="89" spans="1:10" ht="24.95" customHeight="1">
      <c r="A89" s="229"/>
      <c r="B89" s="206"/>
      <c r="C89" s="206">
        <f t="shared" si="6"/>
        <v>45770.5</v>
      </c>
      <c r="D89" s="621">
        <v>30</v>
      </c>
      <c r="E89" s="622"/>
      <c r="F89" s="207">
        <f>LongTest!F87</f>
        <v>13.383573096250867</v>
      </c>
      <c r="G89" s="207">
        <f>LongTest!G87</f>
        <v>6.1835730962508677</v>
      </c>
      <c r="H89" s="621"/>
      <c r="I89" s="626"/>
      <c r="J89" s="627"/>
    </row>
    <row r="90" spans="1:10" ht="24.95" customHeight="1">
      <c r="A90" s="229"/>
      <c r="B90" s="206"/>
      <c r="C90" s="206">
        <f t="shared" si="6"/>
        <v>45770.503472222219</v>
      </c>
      <c r="D90" s="621">
        <v>35</v>
      </c>
      <c r="E90" s="622"/>
      <c r="F90" s="207">
        <f>LongTest!F88</f>
        <v>13.166573556070519</v>
      </c>
      <c r="G90" s="207">
        <f>LongTest!G88</f>
        <v>5.9665735560705189</v>
      </c>
      <c r="H90" s="621"/>
      <c r="I90" s="626"/>
      <c r="J90" s="627"/>
    </row>
    <row r="91" spans="1:10" ht="24.95" customHeight="1">
      <c r="A91" s="229"/>
      <c r="B91" s="206"/>
      <c r="C91" s="206">
        <f t="shared" si="6"/>
        <v>45770.506944444445</v>
      </c>
      <c r="D91" s="621">
        <v>40</v>
      </c>
      <c r="E91" s="622"/>
      <c r="F91" s="207">
        <f>LongTest!F89</f>
        <v>12.957189160031835</v>
      </c>
      <c r="G91" s="207">
        <f>LongTest!G89</f>
        <v>5.7571891600318352</v>
      </c>
      <c r="H91" s="621"/>
      <c r="I91" s="626"/>
      <c r="J91" s="627"/>
    </row>
    <row r="92" spans="1:10" ht="24.95" customHeight="1">
      <c r="A92" s="229"/>
      <c r="B92" s="206"/>
      <c r="C92" s="206">
        <f t="shared" si="6"/>
        <v>45770.510416666664</v>
      </c>
      <c r="D92" s="621">
        <v>45</v>
      </c>
      <c r="E92" s="622"/>
      <c r="F92" s="207">
        <f>LongTest!F90</f>
        <v>12.755152670608648</v>
      </c>
      <c r="G92" s="207">
        <f>LongTest!G90</f>
        <v>5.5551526706086483</v>
      </c>
      <c r="H92" s="621"/>
      <c r="I92" s="626"/>
      <c r="J92" s="627"/>
    </row>
    <row r="93" spans="1:10" ht="24.95" customHeight="1">
      <c r="A93" s="229"/>
      <c r="B93" s="206"/>
      <c r="C93" s="206">
        <f t="shared" si="6"/>
        <v>45770.513888888883</v>
      </c>
      <c r="D93" s="621">
        <v>50</v>
      </c>
      <c r="E93" s="622"/>
      <c r="F93" s="207">
        <f>LongTest!F91</f>
        <v>12.560206228415769</v>
      </c>
      <c r="G93" s="207">
        <f>LongTest!G91</f>
        <v>5.3602062284157688</v>
      </c>
      <c r="H93" s="621"/>
      <c r="I93" s="626"/>
      <c r="J93" s="627"/>
    </row>
    <row r="94" spans="1:10" ht="24.95" customHeight="1">
      <c r="A94" s="229"/>
      <c r="B94" s="206"/>
      <c r="C94" s="206">
        <f t="shared" si="6"/>
        <v>45770.517361111109</v>
      </c>
      <c r="D94" s="621">
        <v>55</v>
      </c>
      <c r="E94" s="622"/>
      <c r="F94" s="207">
        <f>LongTest!F92</f>
        <v>12.372101023102793</v>
      </c>
      <c r="G94" s="207">
        <f>LongTest!G92</f>
        <v>5.172101023102794</v>
      </c>
      <c r="H94" s="621"/>
      <c r="I94" s="626"/>
      <c r="J94" s="627"/>
    </row>
    <row r="95" spans="1:10" ht="24.95" customHeight="1">
      <c r="A95" s="229"/>
      <c r="B95" s="206"/>
      <c r="C95" s="206">
        <f t="shared" si="6"/>
        <v>45770.520833333328</v>
      </c>
      <c r="D95" s="621">
        <v>60</v>
      </c>
      <c r="E95" s="622"/>
      <c r="F95" s="207">
        <f>LongTest!F93</f>
        <v>12.190596975797185</v>
      </c>
      <c r="G95" s="207">
        <f>LongTest!G93</f>
        <v>4.9905969757971835</v>
      </c>
      <c r="H95" s="621"/>
      <c r="I95" s="626"/>
      <c r="J95" s="627"/>
    </row>
    <row r="96" spans="1:10" ht="24.95" customHeight="1">
      <c r="A96" s="229"/>
      <c r="B96" s="206"/>
      <c r="C96" s="206">
        <f t="shared" si="6"/>
        <v>45770.53125</v>
      </c>
      <c r="D96" s="621">
        <v>75</v>
      </c>
      <c r="E96" s="622"/>
      <c r="F96" s="207">
        <f>LongTest!F94</f>
        <v>12.015462432691349</v>
      </c>
      <c r="G96" s="207">
        <f>LongTest!G94</f>
        <v>4.8154624326913487</v>
      </c>
      <c r="H96" s="621"/>
      <c r="I96" s="626"/>
      <c r="J96" s="627"/>
    </row>
    <row r="97" spans="1:10" ht="24.95" customHeight="1">
      <c r="A97" s="229"/>
      <c r="B97" s="206"/>
      <c r="C97" s="206">
        <f t="shared" si="6"/>
        <v>45770.541666666664</v>
      </c>
      <c r="D97" s="621">
        <v>90</v>
      </c>
      <c r="E97" s="622"/>
      <c r="F97" s="207">
        <f>LongTest!F95</f>
        <v>11.846473869382649</v>
      </c>
      <c r="G97" s="207">
        <f>LongTest!G95</f>
        <v>4.6464738693826479</v>
      </c>
      <c r="H97" s="621"/>
      <c r="I97" s="626"/>
      <c r="J97" s="627"/>
    </row>
    <row r="98" spans="1:10" ht="24.95" customHeight="1">
      <c r="A98" s="229"/>
      <c r="B98" s="206"/>
      <c r="C98" s="206">
        <f t="shared" si="6"/>
        <v>45770.552083333328</v>
      </c>
      <c r="D98" s="621">
        <v>105</v>
      </c>
      <c r="E98" s="622"/>
      <c r="F98" s="207">
        <f>LongTest!F96</f>
        <v>11.683415605588959</v>
      </c>
      <c r="G98" s="207">
        <f>LongTest!G96</f>
        <v>4.4834156055889576</v>
      </c>
      <c r="H98" s="621"/>
      <c r="I98" s="626"/>
      <c r="J98" s="627"/>
    </row>
    <row r="99" spans="1:10" ht="24.95" customHeight="1">
      <c r="A99" s="229"/>
      <c r="B99" s="206"/>
      <c r="C99" s="206">
        <f t="shared" si="6"/>
        <v>45770.5625</v>
      </c>
      <c r="D99" s="621">
        <v>120</v>
      </c>
      <c r="E99" s="622"/>
      <c r="F99" s="207">
        <f>LongTest!F97</f>
        <v>11.227777756833936</v>
      </c>
      <c r="G99" s="207">
        <f>LongTest!G97</f>
        <v>4.0277777568339355</v>
      </c>
      <c r="H99" s="621"/>
      <c r="I99" s="626"/>
      <c r="J99" s="627"/>
    </row>
    <row r="100" spans="1:10" ht="24.95" customHeight="1">
      <c r="A100" s="229"/>
      <c r="B100" s="206"/>
      <c r="C100" s="206">
        <f t="shared" si="6"/>
        <v>45770.604166666664</v>
      </c>
      <c r="D100" s="621">
        <v>180</v>
      </c>
      <c r="E100" s="622"/>
      <c r="F100" s="207">
        <f>LongTest!F98</f>
        <v>11.086431336636927</v>
      </c>
      <c r="G100" s="207">
        <f>LongTest!G98</f>
        <v>3.8864313366369263</v>
      </c>
      <c r="H100" s="621"/>
      <c r="I100" s="626"/>
      <c r="J100" s="627"/>
    </row>
    <row r="101" spans="1:10" ht="24.95" customHeight="1">
      <c r="A101" s="229"/>
      <c r="B101" s="206"/>
      <c r="C101" s="206">
        <f t="shared" si="6"/>
        <v>45770.645833333328</v>
      </c>
      <c r="D101" s="621">
        <v>240</v>
      </c>
      <c r="E101" s="622"/>
      <c r="F101" s="207">
        <f>LongTest!F99</f>
        <v>10.336635109403545</v>
      </c>
      <c r="G101" s="207">
        <f>LongTest!G99</f>
        <v>3.1366351094035441</v>
      </c>
      <c r="H101" s="621"/>
      <c r="I101" s="626"/>
      <c r="J101" s="627"/>
    </row>
    <row r="102" spans="1:10" ht="24.95" customHeight="1">
      <c r="A102" s="229"/>
      <c r="B102" s="206"/>
      <c r="C102" s="206">
        <f t="shared" si="6"/>
        <v>45770.6875</v>
      </c>
      <c r="D102" s="621">
        <v>300</v>
      </c>
      <c r="E102" s="622"/>
      <c r="F102" s="207">
        <f>LongTest!F100</f>
        <v>9.7314945659265355</v>
      </c>
      <c r="G102" s="207">
        <f>LongTest!G100</f>
        <v>2.5314945659265358</v>
      </c>
      <c r="H102" s="621"/>
      <c r="I102" s="626"/>
      <c r="J102" s="627"/>
    </row>
    <row r="103" spans="1:10" ht="24.95" customHeight="1" thickBot="1">
      <c r="A103" s="233"/>
      <c r="B103" s="234"/>
      <c r="C103" s="234">
        <f t="shared" si="6"/>
        <v>45770.729166666664</v>
      </c>
      <c r="D103" s="628">
        <v>360</v>
      </c>
      <c r="E103" s="629"/>
      <c r="F103" s="235">
        <f>LongTest!F101</f>
        <v>9.2431017679114742</v>
      </c>
      <c r="G103" s="235">
        <f>LongTest!G101</f>
        <v>2.043101767911474</v>
      </c>
      <c r="H103" s="628" t="s">
        <v>320</v>
      </c>
      <c r="I103" s="650"/>
      <c r="J103" s="651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0" zoomScaleNormal="130" zoomScaleSheetLayoutView="100" workbookViewId="0">
      <selection activeCell="M46" sqref="M46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313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C55</f>
        <v>45769.479166666664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55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si="0"/>
        <v>45769.020833333328</v>
      </c>
      <c r="D44" s="630">
        <v>780</v>
      </c>
      <c r="E44" s="630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0"/>
        <v>45769.0625</v>
      </c>
      <c r="D45" s="630">
        <v>840</v>
      </c>
      <c r="E45" s="630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0"/>
        <v>45769.104166666664</v>
      </c>
      <c r="D46" s="630">
        <v>900</v>
      </c>
      <c r="E46" s="630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0"/>
        <v>45769.145833333328</v>
      </c>
      <c r="D47" s="630">
        <v>960</v>
      </c>
      <c r="E47" s="630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0"/>
        <v>45769.1875</v>
      </c>
      <c r="D48" s="630">
        <v>1020</v>
      </c>
      <c r="E48" s="630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0"/>
        <v>45769.229166666664</v>
      </c>
      <c r="D49" s="630">
        <v>1080</v>
      </c>
      <c r="E49" s="630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0"/>
        <v>45769.270833333328</v>
      </c>
      <c r="D50" s="630">
        <v>1140</v>
      </c>
      <c r="E50" s="630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0"/>
        <v>45769.3125</v>
      </c>
      <c r="D51" s="630">
        <v>1200</v>
      </c>
      <c r="E51" s="630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0"/>
        <v>45769.354166666664</v>
      </c>
      <c r="D52" s="630">
        <v>1260</v>
      </c>
      <c r="E52" s="630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0"/>
        <v>45769.395833333328</v>
      </c>
      <c r="D53" s="630">
        <v>1320</v>
      </c>
      <c r="E53" s="630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0"/>
        <v>45769.4375</v>
      </c>
      <c r="D54" s="630">
        <v>1380</v>
      </c>
      <c r="E54" s="630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0"/>
        <v>45769.479166666664</v>
      </c>
      <c r="D55" s="630">
        <v>1440</v>
      </c>
      <c r="E55" s="630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/>
      <c r="D56" s="621"/>
      <c r="E56" s="622"/>
      <c r="F56" s="202"/>
      <c r="G56" s="202"/>
      <c r="H56" s="202"/>
      <c r="I56" s="202"/>
      <c r="J56" s="203"/>
    </row>
    <row r="57" spans="1:10" ht="24.95" customHeight="1">
      <c r="A57" s="229"/>
      <c r="B57" s="206"/>
      <c r="C57" s="206"/>
      <c r="D57" s="621"/>
      <c r="E57" s="622"/>
      <c r="F57" s="202"/>
      <c r="G57" s="202"/>
      <c r="H57" s="202"/>
      <c r="I57" s="202"/>
      <c r="J57" s="203"/>
    </row>
    <row r="58" spans="1:10" ht="24.95" customHeight="1">
      <c r="A58" s="229"/>
      <c r="B58" s="202">
        <v>0</v>
      </c>
      <c r="C58" s="206">
        <f>$C$4+(D58+1440)/1440</f>
        <v>45769.479861111111</v>
      </c>
      <c r="D58" s="621">
        <v>1</v>
      </c>
      <c r="E58" s="622"/>
      <c r="F58" s="207">
        <f>LongTest!F78</f>
        <v>28.789719418855753</v>
      </c>
      <c r="G58" s="207">
        <f>LongTest!G78</f>
        <v>21.589719418855754</v>
      </c>
      <c r="H58" s="623" t="s">
        <v>191</v>
      </c>
      <c r="I58" s="624"/>
      <c r="J58" s="625"/>
    </row>
    <row r="59" spans="1:10" ht="24.95" customHeight="1">
      <c r="A59" s="229"/>
      <c r="B59" s="206"/>
      <c r="C59" s="206">
        <f t="shared" ref="C59:C77" si="1">$C$4+(D59+1440)/1440</f>
        <v>45769.48055555555</v>
      </c>
      <c r="D59" s="621">
        <v>2</v>
      </c>
      <c r="E59" s="622"/>
      <c r="F59" s="207">
        <f>LongTest!F79</f>
        <v>26.595612475263646</v>
      </c>
      <c r="G59" s="207">
        <f>LongTest!G79</f>
        <v>19.395612475263647</v>
      </c>
      <c r="H59" s="621"/>
      <c r="I59" s="626"/>
      <c r="J59" s="627"/>
    </row>
    <row r="60" spans="1:10" ht="24.95" customHeight="1">
      <c r="A60" s="229"/>
      <c r="B60" s="206"/>
      <c r="C60" s="206">
        <f t="shared" si="1"/>
        <v>45769.481249999997</v>
      </c>
      <c r="D60" s="621">
        <v>3</v>
      </c>
      <c r="E60" s="622"/>
      <c r="F60" s="207">
        <f>LongTest!F80</f>
        <v>24.624486904727952</v>
      </c>
      <c r="G60" s="207">
        <f>LongTest!G80</f>
        <v>17.424486904727953</v>
      </c>
      <c r="H60" s="621"/>
      <c r="I60" s="626"/>
      <c r="J60" s="627"/>
    </row>
    <row r="61" spans="1:10" ht="24.95" customHeight="1">
      <c r="A61" s="229"/>
      <c r="B61" s="206"/>
      <c r="C61" s="206">
        <f t="shared" si="1"/>
        <v>45769.481944444444</v>
      </c>
      <c r="D61" s="621">
        <v>4</v>
      </c>
      <c r="E61" s="622"/>
      <c r="F61" s="207">
        <f>LongTest!F81</f>
        <v>22.853681691168592</v>
      </c>
      <c r="G61" s="207">
        <f>LongTest!G81</f>
        <v>15.653681691168593</v>
      </c>
      <c r="H61" s="621"/>
      <c r="I61" s="626"/>
      <c r="J61" s="627"/>
    </row>
    <row r="62" spans="1:10" ht="24.95" customHeight="1">
      <c r="A62" s="229"/>
      <c r="B62" s="206"/>
      <c r="C62" s="206">
        <f t="shared" si="1"/>
        <v>45769.482638888883</v>
      </c>
      <c r="D62" s="621">
        <v>5</v>
      </c>
      <c r="E62" s="622"/>
      <c r="F62" s="207">
        <f>LongTest!F82</f>
        <v>21.262838798538073</v>
      </c>
      <c r="G62" s="207">
        <f>LongTest!G82</f>
        <v>14.062838798538074</v>
      </c>
      <c r="H62" s="621"/>
      <c r="I62" s="626"/>
      <c r="J62" s="627"/>
    </row>
    <row r="63" spans="1:10" ht="24.95" customHeight="1">
      <c r="A63" s="229"/>
      <c r="B63" s="206"/>
      <c r="C63" s="206">
        <f t="shared" si="1"/>
        <v>45769.486111111109</v>
      </c>
      <c r="D63" s="621">
        <v>10</v>
      </c>
      <c r="E63" s="622"/>
      <c r="F63" s="207">
        <f>LongTest!F83</f>
        <v>17.396297504184883</v>
      </c>
      <c r="G63" s="207">
        <f>LongTest!G83</f>
        <v>10.196297504184882</v>
      </c>
      <c r="H63" s="621"/>
      <c r="I63" s="626"/>
      <c r="J63" s="627"/>
    </row>
    <row r="64" spans="1:10" ht="24.95" customHeight="1">
      <c r="A64" s="229"/>
      <c r="B64" s="206"/>
      <c r="C64" s="206">
        <f t="shared" si="1"/>
        <v>45769.489583333328</v>
      </c>
      <c r="D64" s="621">
        <v>15</v>
      </c>
      <c r="E64" s="622"/>
      <c r="F64" s="207">
        <f>LongTest!F84</f>
        <v>16.693218977090154</v>
      </c>
      <c r="G64" s="207">
        <f>LongTest!G84</f>
        <v>9.4932189770901534</v>
      </c>
      <c r="H64" s="621"/>
      <c r="I64" s="626"/>
      <c r="J64" s="627"/>
    </row>
    <row r="65" spans="1:10" ht="24.95" customHeight="1">
      <c r="A65" s="229"/>
      <c r="B65" s="206"/>
      <c r="C65" s="206">
        <f t="shared" si="1"/>
        <v>45769.493055555555</v>
      </c>
      <c r="D65" s="621">
        <v>20</v>
      </c>
      <c r="E65" s="622"/>
      <c r="F65" s="207">
        <f>LongTest!F85</f>
        <v>14.861723922431089</v>
      </c>
      <c r="G65" s="207">
        <f>LongTest!G85</f>
        <v>7.66172392243109</v>
      </c>
      <c r="H65" s="621"/>
      <c r="I65" s="626"/>
      <c r="J65" s="627"/>
    </row>
    <row r="66" spans="1:10" ht="24.95" customHeight="1">
      <c r="A66" s="229"/>
      <c r="B66" s="206"/>
      <c r="C66" s="206">
        <f t="shared" si="1"/>
        <v>45769.496527777774</v>
      </c>
      <c r="D66" s="621">
        <v>25</v>
      </c>
      <c r="E66" s="622"/>
      <c r="F66" s="207">
        <f>LongTest!F86</f>
        <v>14.083082878888396</v>
      </c>
      <c r="G66" s="207">
        <f>LongTest!G86</f>
        <v>6.8830828788883958</v>
      </c>
      <c r="H66" s="621"/>
      <c r="I66" s="626"/>
      <c r="J66" s="627"/>
    </row>
    <row r="67" spans="1:10" ht="24.95" customHeight="1">
      <c r="A67" s="229"/>
      <c r="B67" s="206"/>
      <c r="C67" s="206">
        <f t="shared" si="1"/>
        <v>45769.5</v>
      </c>
      <c r="D67" s="621">
        <v>30</v>
      </c>
      <c r="E67" s="622"/>
      <c r="F67" s="207">
        <f>LongTest!F87</f>
        <v>13.383573096250867</v>
      </c>
      <c r="G67" s="207">
        <f>LongTest!G87</f>
        <v>6.1835730962508677</v>
      </c>
      <c r="H67" s="621"/>
      <c r="I67" s="626"/>
      <c r="J67" s="627"/>
    </row>
    <row r="68" spans="1:10" ht="24.95" customHeight="1">
      <c r="A68" s="229"/>
      <c r="B68" s="206"/>
      <c r="C68" s="206">
        <f t="shared" si="1"/>
        <v>45769.503472222219</v>
      </c>
      <c r="D68" s="621">
        <v>35</v>
      </c>
      <c r="E68" s="622"/>
      <c r="F68" s="207">
        <f>LongTest!F88</f>
        <v>13.166573556070519</v>
      </c>
      <c r="G68" s="207">
        <f>LongTest!G88</f>
        <v>5.9665735560705189</v>
      </c>
      <c r="H68" s="621"/>
      <c r="I68" s="626"/>
      <c r="J68" s="627"/>
    </row>
    <row r="69" spans="1:10" ht="24.95" customHeight="1">
      <c r="A69" s="229"/>
      <c r="B69" s="206"/>
      <c r="C69" s="206">
        <f t="shared" si="1"/>
        <v>45769.506944444445</v>
      </c>
      <c r="D69" s="621">
        <v>40</v>
      </c>
      <c r="E69" s="622"/>
      <c r="F69" s="207">
        <f>LongTest!F89</f>
        <v>12.957189160031835</v>
      </c>
      <c r="G69" s="207">
        <f>LongTest!G89</f>
        <v>5.7571891600318352</v>
      </c>
      <c r="H69" s="621"/>
      <c r="I69" s="626"/>
      <c r="J69" s="627"/>
    </row>
    <row r="70" spans="1:10" ht="24.95" customHeight="1">
      <c r="A70" s="229"/>
      <c r="B70" s="206"/>
      <c r="C70" s="206">
        <f t="shared" si="1"/>
        <v>45769.510416666664</v>
      </c>
      <c r="D70" s="621">
        <v>45</v>
      </c>
      <c r="E70" s="622"/>
      <c r="F70" s="207">
        <f>LongTest!F90</f>
        <v>12.755152670608648</v>
      </c>
      <c r="G70" s="207">
        <f>LongTest!G90</f>
        <v>5.5551526706086483</v>
      </c>
      <c r="H70" s="621"/>
      <c r="I70" s="626"/>
      <c r="J70" s="627"/>
    </row>
    <row r="71" spans="1:10" ht="24.95" customHeight="1">
      <c r="A71" s="229"/>
      <c r="B71" s="206"/>
      <c r="C71" s="206">
        <f t="shared" si="1"/>
        <v>45769.513888888883</v>
      </c>
      <c r="D71" s="621">
        <v>50</v>
      </c>
      <c r="E71" s="622"/>
      <c r="F71" s="207">
        <f>LongTest!F91</f>
        <v>12.560206228415769</v>
      </c>
      <c r="G71" s="207">
        <f>LongTest!G91</f>
        <v>5.3602062284157688</v>
      </c>
      <c r="H71" s="621"/>
      <c r="I71" s="626"/>
      <c r="J71" s="627"/>
    </row>
    <row r="72" spans="1:10" ht="24.95" customHeight="1">
      <c r="A72" s="229"/>
      <c r="B72" s="206"/>
      <c r="C72" s="206">
        <f t="shared" si="1"/>
        <v>45769.517361111109</v>
      </c>
      <c r="D72" s="621">
        <v>55</v>
      </c>
      <c r="E72" s="622"/>
      <c r="F72" s="207">
        <f>LongTest!F92</f>
        <v>12.372101023102793</v>
      </c>
      <c r="G72" s="207">
        <f>LongTest!G92</f>
        <v>5.172101023102794</v>
      </c>
      <c r="H72" s="621"/>
      <c r="I72" s="626"/>
      <c r="J72" s="627"/>
    </row>
    <row r="73" spans="1:10" ht="24.95" customHeight="1">
      <c r="A73" s="229"/>
      <c r="B73" s="206"/>
      <c r="C73" s="206">
        <f t="shared" si="1"/>
        <v>45769.520833333328</v>
      </c>
      <c r="D73" s="621">
        <v>60</v>
      </c>
      <c r="E73" s="622"/>
      <c r="F73" s="207">
        <f>LongTest!F93</f>
        <v>12.190596975797185</v>
      </c>
      <c r="G73" s="207">
        <f>LongTest!G93</f>
        <v>4.9905969757971835</v>
      </c>
      <c r="H73" s="621"/>
      <c r="I73" s="626"/>
      <c r="J73" s="627"/>
    </row>
    <row r="74" spans="1:10" ht="24.95" customHeight="1">
      <c r="A74" s="229"/>
      <c r="B74" s="206"/>
      <c r="C74" s="206">
        <f t="shared" si="1"/>
        <v>45769.53125</v>
      </c>
      <c r="D74" s="621">
        <v>75</v>
      </c>
      <c r="E74" s="622"/>
      <c r="F74" s="207">
        <f>LongTest!F94</f>
        <v>12.015462432691349</v>
      </c>
      <c r="G74" s="207">
        <f>LongTest!G94</f>
        <v>4.8154624326913487</v>
      </c>
      <c r="H74" s="621"/>
      <c r="I74" s="626"/>
      <c r="J74" s="627"/>
    </row>
    <row r="75" spans="1:10" ht="24.95" customHeight="1">
      <c r="A75" s="229"/>
      <c r="B75" s="206"/>
      <c r="C75" s="206">
        <f t="shared" si="1"/>
        <v>45769.541666666664</v>
      </c>
      <c r="D75" s="621">
        <v>90</v>
      </c>
      <c r="E75" s="622"/>
      <c r="F75" s="207">
        <f>LongTest!F95</f>
        <v>11.846473869382649</v>
      </c>
      <c r="G75" s="207">
        <f>LongTest!G95</f>
        <v>4.6464738693826479</v>
      </c>
      <c r="H75" s="621"/>
      <c r="I75" s="626"/>
      <c r="J75" s="627"/>
    </row>
    <row r="76" spans="1:10" ht="24.95" customHeight="1">
      <c r="A76" s="229"/>
      <c r="B76" s="206"/>
      <c r="C76" s="206">
        <f t="shared" si="1"/>
        <v>45769.552083333328</v>
      </c>
      <c r="D76" s="621">
        <v>105</v>
      </c>
      <c r="E76" s="622"/>
      <c r="F76" s="207">
        <f>LongTest!F96</f>
        <v>11.683415605588959</v>
      </c>
      <c r="G76" s="207">
        <f>LongTest!G96</f>
        <v>4.4834156055889576</v>
      </c>
      <c r="H76" s="621"/>
      <c r="I76" s="626"/>
      <c r="J76" s="627"/>
    </row>
    <row r="77" spans="1:10" ht="24.95" customHeight="1">
      <c r="A77" s="229"/>
      <c r="B77" s="206"/>
      <c r="C77" s="206">
        <f t="shared" si="1"/>
        <v>45769.5625</v>
      </c>
      <c r="D77" s="621">
        <v>120</v>
      </c>
      <c r="E77" s="622"/>
      <c r="F77" s="207">
        <f>LongTest!F97</f>
        <v>11.227777756833936</v>
      </c>
      <c r="G77" s="207">
        <f>LongTest!G97</f>
        <v>4.0277777568339355</v>
      </c>
      <c r="H77" s="621" t="s">
        <v>326</v>
      </c>
      <c r="I77" s="626"/>
      <c r="J77" s="627"/>
    </row>
    <row r="78" spans="1:10" ht="24.95" customHeight="1">
      <c r="A78" s="229"/>
      <c r="B78" s="206"/>
      <c r="C78" s="206"/>
      <c r="D78" s="621"/>
      <c r="E78" s="622"/>
      <c r="F78" s="207"/>
      <c r="G78" s="207"/>
      <c r="H78" s="621"/>
      <c r="I78" s="626"/>
      <c r="J78" s="627"/>
    </row>
    <row r="79" spans="1:10" ht="24.95" customHeight="1">
      <c r="A79" s="229"/>
      <c r="B79" s="206"/>
      <c r="C79" s="206"/>
      <c r="D79" s="621"/>
      <c r="E79" s="622"/>
      <c r="F79" s="207"/>
      <c r="G79" s="207"/>
      <c r="H79" s="621"/>
      <c r="I79" s="626"/>
      <c r="J79" s="627"/>
    </row>
    <row r="80" spans="1:10" ht="24.95" customHeight="1">
      <c r="A80" s="229"/>
      <c r="B80" s="206"/>
      <c r="C80" s="206"/>
      <c r="D80" s="621"/>
      <c r="E80" s="622"/>
      <c r="F80" s="207"/>
      <c r="G80" s="207"/>
      <c r="H80" s="621"/>
      <c r="I80" s="626"/>
      <c r="J80" s="627"/>
    </row>
    <row r="81" spans="1:10" ht="24.95" customHeight="1" thickBot="1">
      <c r="A81" s="233"/>
      <c r="B81" s="234"/>
      <c r="C81" s="234"/>
      <c r="D81" s="628"/>
      <c r="E81" s="629"/>
      <c r="F81" s="235"/>
      <c r="G81" s="235"/>
      <c r="H81" s="628"/>
      <c r="I81" s="650"/>
      <c r="J81" s="651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18" zoomScaleNormal="130" zoomScaleSheetLayoutView="100" workbookViewId="0">
      <selection activeCell="L33" sqref="L3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1" ht="45" customHeight="1" thickBot="1">
      <c r="A1" s="652" t="s">
        <v>317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1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1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1" ht="24.95" customHeight="1">
      <c r="A4" s="639" t="s">
        <v>294</v>
      </c>
      <c r="B4" s="640"/>
      <c r="C4" s="641">
        <f>StepTest!C12</f>
        <v>45725.430555555555</v>
      </c>
      <c r="D4" s="642"/>
      <c r="E4" s="642"/>
      <c r="F4" s="642"/>
      <c r="G4" s="642"/>
      <c r="H4" s="642"/>
      <c r="I4" s="642"/>
      <c r="J4" s="643"/>
    </row>
    <row r="5" spans="1:11" ht="24.95" customHeight="1">
      <c r="A5" s="639" t="s">
        <v>295</v>
      </c>
      <c r="B5" s="640"/>
      <c r="C5" s="641">
        <f>StepTest!C51</f>
        <v>45725.847222222219</v>
      </c>
      <c r="D5" s="642"/>
      <c r="E5" s="642"/>
      <c r="F5" s="642"/>
      <c r="G5" s="642"/>
      <c r="H5" s="642"/>
      <c r="I5" s="642"/>
      <c r="J5" s="643"/>
    </row>
    <row r="6" spans="1:11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1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621"/>
      <c r="H7" s="626"/>
      <c r="I7" s="626"/>
      <c r="J7" s="627"/>
    </row>
    <row r="8" spans="1:11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325</v>
      </c>
      <c r="H8" s="623">
        <f>LongTest!G7</f>
        <v>88</v>
      </c>
      <c r="I8" s="640"/>
      <c r="J8" s="203" t="s">
        <v>298</v>
      </c>
    </row>
    <row r="9" spans="1:11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318</v>
      </c>
      <c r="H9" s="623">
        <f>Input!M51</f>
        <v>150</v>
      </c>
      <c r="I9" s="640"/>
      <c r="J9" s="203" t="s">
        <v>306</v>
      </c>
    </row>
    <row r="10" spans="1:11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1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  <c r="K11" s="236"/>
    </row>
    <row r="12" spans="1:11" ht="24.95" customHeight="1">
      <c r="A12" s="204">
        <v>1</v>
      </c>
      <c r="B12" s="205">
        <f>Input!D20</f>
        <v>94</v>
      </c>
      <c r="C12" s="206">
        <f t="shared" ref="C12:C51" si="0">$C$4+D12/1440</f>
        <v>45725.431250000001</v>
      </c>
      <c r="D12" s="630">
        <v>1</v>
      </c>
      <c r="E12" s="630"/>
      <c r="F12" s="207">
        <f>StepTest!F12</f>
        <v>8.92</v>
      </c>
      <c r="G12" s="207">
        <f>StepTest!G12</f>
        <v>1.72</v>
      </c>
      <c r="H12" s="657"/>
      <c r="I12" s="658"/>
      <c r="J12" s="659"/>
    </row>
    <row r="13" spans="1:11" ht="24.95" customHeight="1">
      <c r="A13" s="204"/>
      <c r="B13" s="202"/>
      <c r="C13" s="206">
        <f t="shared" si="0"/>
        <v>45725.431944444441</v>
      </c>
      <c r="D13" s="630">
        <v>2</v>
      </c>
      <c r="E13" s="630"/>
      <c r="F13" s="207">
        <f>StepTest!F13</f>
        <v>10.210000000000001</v>
      </c>
      <c r="G13" s="207">
        <f>StepTest!G13</f>
        <v>3.01</v>
      </c>
      <c r="H13" s="657"/>
      <c r="I13" s="658"/>
      <c r="J13" s="659"/>
    </row>
    <row r="14" spans="1:11" ht="24.95" customHeight="1">
      <c r="A14" s="204"/>
      <c r="B14" s="202"/>
      <c r="C14" s="206">
        <f t="shared" si="0"/>
        <v>45725.432638888888</v>
      </c>
      <c r="D14" s="630">
        <v>3</v>
      </c>
      <c r="E14" s="630"/>
      <c r="F14" s="207">
        <f>StepTest!F14</f>
        <v>11.39</v>
      </c>
      <c r="G14" s="207">
        <f>StepTest!G14</f>
        <v>4.1900000000000004</v>
      </c>
      <c r="H14" s="657"/>
      <c r="I14" s="658"/>
      <c r="J14" s="659"/>
    </row>
    <row r="15" spans="1:11" ht="24.95" customHeight="1">
      <c r="A15" s="204"/>
      <c r="B15" s="202"/>
      <c r="C15" s="206">
        <f t="shared" si="0"/>
        <v>45725.433333333334</v>
      </c>
      <c r="D15" s="630">
        <v>4</v>
      </c>
      <c r="E15" s="630"/>
      <c r="F15" s="207">
        <f>StepTest!F15</f>
        <v>12.219999999999999</v>
      </c>
      <c r="G15" s="207">
        <f>StepTest!G15</f>
        <v>5.0199999999999996</v>
      </c>
      <c r="H15" s="657"/>
      <c r="I15" s="658"/>
      <c r="J15" s="659"/>
    </row>
    <row r="16" spans="1:11" ht="24.95" customHeight="1">
      <c r="A16" s="204"/>
      <c r="B16" s="202"/>
      <c r="C16" s="206">
        <f t="shared" si="0"/>
        <v>45725.434027777774</v>
      </c>
      <c r="D16" s="630">
        <v>5</v>
      </c>
      <c r="E16" s="630"/>
      <c r="F16" s="207">
        <f>StepTest!F16</f>
        <v>12.870000000000001</v>
      </c>
      <c r="G16" s="207">
        <f>StepTest!G16</f>
        <v>5.67</v>
      </c>
      <c r="H16" s="621"/>
      <c r="I16" s="626"/>
      <c r="J16" s="627"/>
    </row>
    <row r="17" spans="1:10" ht="24.95" customHeight="1">
      <c r="A17" s="204"/>
      <c r="B17" s="202"/>
      <c r="C17" s="206">
        <f t="shared" si="0"/>
        <v>45725.4375</v>
      </c>
      <c r="D17" s="630">
        <v>10</v>
      </c>
      <c r="E17" s="630"/>
      <c r="F17" s="207">
        <f>StepTest!F17</f>
        <v>14.879999999999999</v>
      </c>
      <c r="G17" s="207">
        <f>StepTest!G17</f>
        <v>7.68</v>
      </c>
      <c r="H17" s="621"/>
      <c r="I17" s="626"/>
      <c r="J17" s="627"/>
    </row>
    <row r="18" spans="1:10" ht="24.95" customHeight="1">
      <c r="A18" s="204"/>
      <c r="B18" s="202"/>
      <c r="C18" s="206">
        <f t="shared" si="0"/>
        <v>45725.440972222219</v>
      </c>
      <c r="D18" s="630">
        <v>15</v>
      </c>
      <c r="E18" s="630"/>
      <c r="F18" s="207">
        <f>StepTest!F18</f>
        <v>16.059999999999999</v>
      </c>
      <c r="G18" s="207">
        <f>StepTest!G18</f>
        <v>8.86</v>
      </c>
      <c r="H18" s="621"/>
      <c r="I18" s="626"/>
      <c r="J18" s="627"/>
    </row>
    <row r="19" spans="1:10" ht="24.95" customHeight="1">
      <c r="A19" s="204"/>
      <c r="B19" s="202"/>
      <c r="C19" s="206">
        <f t="shared" si="0"/>
        <v>45725.444444444445</v>
      </c>
      <c r="D19" s="630">
        <v>20</v>
      </c>
      <c r="E19" s="630"/>
      <c r="F19" s="207">
        <f>StepTest!F19</f>
        <v>16.89</v>
      </c>
      <c r="G19" s="207">
        <f>StepTest!G19</f>
        <v>9.69</v>
      </c>
      <c r="H19" s="621"/>
      <c r="I19" s="626"/>
      <c r="J19" s="627"/>
    </row>
    <row r="20" spans="1:10" ht="24.95" customHeight="1">
      <c r="A20" s="204"/>
      <c r="B20" s="202"/>
      <c r="C20" s="206">
        <f t="shared" si="0"/>
        <v>45725.447916666664</v>
      </c>
      <c r="D20" s="630">
        <v>25</v>
      </c>
      <c r="E20" s="630"/>
      <c r="F20" s="207">
        <f>StepTest!F20</f>
        <v>17.54</v>
      </c>
      <c r="G20" s="207">
        <f>StepTest!G20</f>
        <v>10.34</v>
      </c>
      <c r="H20" s="621"/>
      <c r="I20" s="626"/>
      <c r="J20" s="627"/>
    </row>
    <row r="21" spans="1:10" ht="24.95" customHeight="1">
      <c r="A21" s="204"/>
      <c r="B21" s="202"/>
      <c r="C21" s="206">
        <f t="shared" si="0"/>
        <v>45725.451388888891</v>
      </c>
      <c r="D21" s="630">
        <v>30</v>
      </c>
      <c r="E21" s="630"/>
      <c r="F21" s="207">
        <f>StepTest!F21</f>
        <v>18.07</v>
      </c>
      <c r="G21" s="207">
        <f>StepTest!G21</f>
        <v>10.87</v>
      </c>
      <c r="H21" s="621"/>
      <c r="I21" s="626"/>
      <c r="J21" s="627"/>
    </row>
    <row r="22" spans="1:10" ht="24.95" customHeight="1">
      <c r="A22" s="204"/>
      <c r="B22" s="202"/>
      <c r="C22" s="206">
        <f t="shared" si="0"/>
        <v>45725.454861111109</v>
      </c>
      <c r="D22" s="630">
        <v>35</v>
      </c>
      <c r="E22" s="630"/>
      <c r="F22" s="207">
        <f>StepTest!F22</f>
        <v>18.52</v>
      </c>
      <c r="G22" s="207">
        <f>StepTest!G22</f>
        <v>11.32</v>
      </c>
      <c r="H22" s="621"/>
      <c r="I22" s="626"/>
      <c r="J22" s="627"/>
    </row>
    <row r="23" spans="1:10" ht="24.95" customHeight="1">
      <c r="A23" s="204"/>
      <c r="B23" s="202"/>
      <c r="C23" s="206">
        <f t="shared" si="0"/>
        <v>45725.458333333336</v>
      </c>
      <c r="D23" s="630">
        <v>40</v>
      </c>
      <c r="E23" s="630"/>
      <c r="F23" s="207">
        <f>StepTest!F23</f>
        <v>18.91</v>
      </c>
      <c r="G23" s="207">
        <f>StepTest!G23</f>
        <v>11.71</v>
      </c>
      <c r="H23" s="621"/>
      <c r="I23" s="626"/>
      <c r="J23" s="627"/>
    </row>
    <row r="24" spans="1:10" ht="24.95" customHeight="1">
      <c r="A24" s="204"/>
      <c r="B24" s="202"/>
      <c r="C24" s="206">
        <f t="shared" si="0"/>
        <v>45725.461805555555</v>
      </c>
      <c r="D24" s="630">
        <v>45</v>
      </c>
      <c r="E24" s="630"/>
      <c r="F24" s="207">
        <f>StepTest!F24</f>
        <v>19.25</v>
      </c>
      <c r="G24" s="207">
        <f>StepTest!G24</f>
        <v>12.05</v>
      </c>
      <c r="H24" s="621"/>
      <c r="I24" s="626"/>
      <c r="J24" s="627"/>
    </row>
    <row r="25" spans="1:10" ht="24.95" customHeight="1">
      <c r="A25" s="204"/>
      <c r="B25" s="202"/>
      <c r="C25" s="206">
        <f t="shared" si="0"/>
        <v>45725.465277777774</v>
      </c>
      <c r="D25" s="630">
        <v>50</v>
      </c>
      <c r="E25" s="630"/>
      <c r="F25" s="207">
        <f>StepTest!F25</f>
        <v>19.55</v>
      </c>
      <c r="G25" s="207">
        <f>StepTest!G25</f>
        <v>12.35</v>
      </c>
      <c r="H25" s="621"/>
      <c r="I25" s="626"/>
      <c r="J25" s="627"/>
    </row>
    <row r="26" spans="1:10" ht="24.95" customHeight="1">
      <c r="A26" s="204"/>
      <c r="B26" s="202"/>
      <c r="C26" s="206">
        <f t="shared" si="0"/>
        <v>45725.46875</v>
      </c>
      <c r="D26" s="630">
        <v>55</v>
      </c>
      <c r="E26" s="630"/>
      <c r="F26" s="207">
        <f>StepTest!F26</f>
        <v>19.830000000000002</v>
      </c>
      <c r="G26" s="207">
        <f>StepTest!G26</f>
        <v>12.63</v>
      </c>
      <c r="H26" s="621"/>
      <c r="I26" s="626"/>
      <c r="J26" s="627"/>
    </row>
    <row r="27" spans="1:10" ht="24.95" customHeight="1">
      <c r="A27" s="204"/>
      <c r="B27" s="202"/>
      <c r="C27" s="206">
        <f t="shared" si="0"/>
        <v>45725.472222222219</v>
      </c>
      <c r="D27" s="630">
        <v>60</v>
      </c>
      <c r="E27" s="630"/>
      <c r="F27" s="207">
        <f>StepTest!F27</f>
        <v>20.080000000000002</v>
      </c>
      <c r="G27" s="207">
        <f>StepTest!G27</f>
        <v>12.88</v>
      </c>
      <c r="H27" s="621"/>
      <c r="I27" s="626"/>
      <c r="J27" s="627"/>
    </row>
    <row r="28" spans="1:10" ht="24.95" customHeight="1">
      <c r="A28" s="204"/>
      <c r="B28" s="202"/>
      <c r="C28" s="206">
        <f t="shared" si="0"/>
        <v>45725.482638888891</v>
      </c>
      <c r="D28" s="630">
        <v>75</v>
      </c>
      <c r="E28" s="630"/>
      <c r="F28" s="207">
        <f>StepTest!F28</f>
        <v>20.73</v>
      </c>
      <c r="G28" s="207">
        <f>StepTest!G28</f>
        <v>13.53</v>
      </c>
      <c r="H28" s="621"/>
      <c r="I28" s="626"/>
      <c r="J28" s="627"/>
    </row>
    <row r="29" spans="1:10" ht="24.95" customHeight="1">
      <c r="A29" s="204"/>
      <c r="B29" s="202"/>
      <c r="C29" s="206">
        <f t="shared" si="0"/>
        <v>45725.493055555555</v>
      </c>
      <c r="D29" s="630">
        <v>90</v>
      </c>
      <c r="E29" s="630"/>
      <c r="F29" s="207">
        <f>StepTest!F29</f>
        <v>21.26</v>
      </c>
      <c r="G29" s="207">
        <f>StepTest!G29</f>
        <v>14.06</v>
      </c>
      <c r="H29" s="621"/>
      <c r="I29" s="626"/>
      <c r="J29" s="627"/>
    </row>
    <row r="30" spans="1:10" ht="24.95" customHeight="1">
      <c r="A30" s="204"/>
      <c r="B30" s="202"/>
      <c r="C30" s="206">
        <f t="shared" si="0"/>
        <v>45725.503472222219</v>
      </c>
      <c r="D30" s="630">
        <v>105</v>
      </c>
      <c r="E30" s="630"/>
      <c r="F30" s="207">
        <f>StepTest!F30</f>
        <v>21.71</v>
      </c>
      <c r="G30" s="207">
        <f>StepTest!G30</f>
        <v>14.51</v>
      </c>
      <c r="H30" s="621"/>
      <c r="I30" s="626"/>
      <c r="J30" s="627"/>
    </row>
    <row r="31" spans="1:10" ht="24.95" customHeight="1">
      <c r="A31" s="204"/>
      <c r="B31" s="202"/>
      <c r="C31" s="206">
        <f t="shared" si="0"/>
        <v>45725.513888888891</v>
      </c>
      <c r="D31" s="630">
        <v>120</v>
      </c>
      <c r="E31" s="630"/>
      <c r="F31" s="207">
        <f>StepTest!F31</f>
        <v>22.1</v>
      </c>
      <c r="G31" s="207">
        <f>StepTest!G31</f>
        <v>14.9</v>
      </c>
      <c r="H31" s="621"/>
      <c r="I31" s="626"/>
      <c r="J31" s="627"/>
    </row>
    <row r="32" spans="1:10" ht="24.95" customHeight="1">
      <c r="A32" s="208">
        <v>2</v>
      </c>
      <c r="B32" s="205">
        <f>Input!D21</f>
        <v>120</v>
      </c>
      <c r="C32" s="206">
        <f t="shared" si="0"/>
        <v>45725.520833333336</v>
      </c>
      <c r="D32" s="630">
        <v>130</v>
      </c>
      <c r="E32" s="630"/>
      <c r="F32" s="207">
        <f>StepTest!F32</f>
        <v>25.07</v>
      </c>
      <c r="G32" s="207">
        <f>StepTest!G32</f>
        <v>17.87</v>
      </c>
      <c r="H32" s="621"/>
      <c r="I32" s="626"/>
      <c r="J32" s="627"/>
    </row>
    <row r="33" spans="1:10" ht="24.95" customHeight="1">
      <c r="A33" s="208"/>
      <c r="B33" s="205"/>
      <c r="C33" s="206">
        <f t="shared" si="0"/>
        <v>45725.527777777774</v>
      </c>
      <c r="D33" s="630">
        <v>140</v>
      </c>
      <c r="E33" s="630"/>
      <c r="F33" s="207">
        <f>StepTest!F33</f>
        <v>25.57</v>
      </c>
      <c r="G33" s="207">
        <f>StepTest!G33</f>
        <v>18.37</v>
      </c>
      <c r="H33" s="621"/>
      <c r="I33" s="626"/>
      <c r="J33" s="627"/>
    </row>
    <row r="34" spans="1:10" ht="24.95" customHeight="1">
      <c r="A34" s="208"/>
      <c r="B34" s="205"/>
      <c r="C34" s="206">
        <f t="shared" si="0"/>
        <v>45725.534722222219</v>
      </c>
      <c r="D34" s="630">
        <v>150</v>
      </c>
      <c r="E34" s="630"/>
      <c r="F34" s="207">
        <f>StepTest!F34</f>
        <v>26.06</v>
      </c>
      <c r="G34" s="207">
        <f>StepTest!G34</f>
        <v>18.86</v>
      </c>
      <c r="H34" s="621"/>
      <c r="I34" s="626"/>
      <c r="J34" s="627"/>
    </row>
    <row r="35" spans="1:10" ht="24.95" customHeight="1">
      <c r="A35" s="208"/>
      <c r="B35" s="205"/>
      <c r="C35" s="206">
        <f t="shared" si="0"/>
        <v>45725.555555555555</v>
      </c>
      <c r="D35" s="630">
        <v>180</v>
      </c>
      <c r="E35" s="630"/>
      <c r="F35" s="207">
        <f>StepTest!F35</f>
        <v>26.56</v>
      </c>
      <c r="G35" s="207">
        <f>StepTest!G35</f>
        <v>19.36</v>
      </c>
      <c r="H35" s="621"/>
      <c r="I35" s="626"/>
      <c r="J35" s="627"/>
    </row>
    <row r="36" spans="1:10" ht="24.95" customHeight="1">
      <c r="A36" s="208"/>
      <c r="B36" s="205"/>
      <c r="C36" s="206">
        <f t="shared" si="0"/>
        <v>45725.597222222219</v>
      </c>
      <c r="D36" s="630">
        <v>240</v>
      </c>
      <c r="E36" s="630"/>
      <c r="F36" s="207">
        <f>StepTest!F36</f>
        <v>27.06</v>
      </c>
      <c r="G36" s="207">
        <f>StepTest!G36</f>
        <v>19.86</v>
      </c>
      <c r="H36" s="621"/>
      <c r="I36" s="626"/>
      <c r="J36" s="627"/>
    </row>
    <row r="37" spans="1:10" ht="24.95" customHeight="1">
      <c r="A37" s="208">
        <v>3</v>
      </c>
      <c r="B37" s="205">
        <f>Input!D22</f>
        <v>146.19999999999999</v>
      </c>
      <c r="C37" s="206">
        <f t="shared" si="0"/>
        <v>45725.604166666664</v>
      </c>
      <c r="D37" s="630">
        <v>250</v>
      </c>
      <c r="E37" s="630"/>
      <c r="F37" s="207">
        <f>StepTest!F37</f>
        <v>30.41</v>
      </c>
      <c r="G37" s="207">
        <f>StepTest!G37</f>
        <v>23.21</v>
      </c>
      <c r="H37" s="621"/>
      <c r="I37" s="626"/>
      <c r="J37" s="627"/>
    </row>
    <row r="38" spans="1:10" ht="24.95" customHeight="1">
      <c r="A38" s="208"/>
      <c r="B38" s="205"/>
      <c r="C38" s="206">
        <f t="shared" si="0"/>
        <v>45725.611111111109</v>
      </c>
      <c r="D38" s="630">
        <v>260</v>
      </c>
      <c r="E38" s="630"/>
      <c r="F38" s="207">
        <f>StepTest!F38</f>
        <v>30.97</v>
      </c>
      <c r="G38" s="207">
        <f>StepTest!G38</f>
        <v>23.77</v>
      </c>
      <c r="H38" s="621"/>
      <c r="I38" s="626"/>
      <c r="J38" s="627"/>
    </row>
    <row r="39" spans="1:10" ht="24.95" customHeight="1">
      <c r="A39" s="208"/>
      <c r="B39" s="205"/>
      <c r="C39" s="206">
        <f t="shared" si="0"/>
        <v>45725.618055555555</v>
      </c>
      <c r="D39" s="630">
        <v>270</v>
      </c>
      <c r="E39" s="630"/>
      <c r="F39" s="207">
        <f>StepTest!F39</f>
        <v>31.529999999999998</v>
      </c>
      <c r="G39" s="207">
        <f>StepTest!G39</f>
        <v>24.33</v>
      </c>
      <c r="H39" s="621"/>
      <c r="I39" s="626"/>
      <c r="J39" s="627"/>
    </row>
    <row r="40" spans="1:10" ht="24.95" customHeight="1">
      <c r="A40" s="208"/>
      <c r="B40" s="205"/>
      <c r="C40" s="206">
        <f t="shared" si="0"/>
        <v>45725.638888888891</v>
      </c>
      <c r="D40" s="630">
        <v>300</v>
      </c>
      <c r="E40" s="630"/>
      <c r="F40" s="207">
        <f>StepTest!F40</f>
        <v>32.090000000000003</v>
      </c>
      <c r="G40" s="207">
        <f>StepTest!G40</f>
        <v>24.89</v>
      </c>
      <c r="H40" s="621"/>
      <c r="I40" s="626"/>
      <c r="J40" s="627"/>
    </row>
    <row r="41" spans="1:10" ht="24.95" customHeight="1">
      <c r="A41" s="208"/>
      <c r="B41" s="205"/>
      <c r="C41" s="206">
        <f t="shared" si="0"/>
        <v>45725.680555555555</v>
      </c>
      <c r="D41" s="630">
        <v>360</v>
      </c>
      <c r="E41" s="630"/>
      <c r="F41" s="207">
        <f>StepTest!F41</f>
        <v>32.65</v>
      </c>
      <c r="G41" s="207">
        <f>StepTest!G41</f>
        <v>25.45</v>
      </c>
      <c r="H41" s="621"/>
      <c r="I41" s="626"/>
      <c r="J41" s="627"/>
    </row>
    <row r="42" spans="1:10" ht="24.95" customHeight="1">
      <c r="A42" s="208">
        <v>4</v>
      </c>
      <c r="B42" s="205">
        <f>Input!D23</f>
        <v>172</v>
      </c>
      <c r="C42" s="206">
        <f t="shared" si="0"/>
        <v>45725.6875</v>
      </c>
      <c r="D42" s="623">
        <v>370</v>
      </c>
      <c r="E42" s="640"/>
      <c r="F42" s="207">
        <f>StepTest!F42</f>
        <v>36.380000000000003</v>
      </c>
      <c r="G42" s="207">
        <f>StepTest!G42</f>
        <v>29.18</v>
      </c>
      <c r="H42" s="621"/>
      <c r="I42" s="626"/>
      <c r="J42" s="627"/>
    </row>
    <row r="43" spans="1:10" ht="24.95" customHeight="1">
      <c r="A43" s="208"/>
      <c r="B43" s="205"/>
      <c r="C43" s="206">
        <f t="shared" si="0"/>
        <v>45725.694444444445</v>
      </c>
      <c r="D43" s="623">
        <v>380</v>
      </c>
      <c r="E43" s="640"/>
      <c r="F43" s="207">
        <f>StepTest!F43</f>
        <v>37.01</v>
      </c>
      <c r="G43" s="207">
        <f>StepTest!G43</f>
        <v>29.81</v>
      </c>
      <c r="H43" s="621"/>
      <c r="I43" s="626"/>
      <c r="J43" s="627"/>
    </row>
    <row r="44" spans="1:10" ht="24.95" customHeight="1">
      <c r="A44" s="208"/>
      <c r="B44" s="205"/>
      <c r="C44" s="206">
        <f t="shared" si="0"/>
        <v>45725.701388888891</v>
      </c>
      <c r="D44" s="623">
        <v>390</v>
      </c>
      <c r="E44" s="640"/>
      <c r="F44" s="207">
        <f>StepTest!F44</f>
        <v>37.630000000000003</v>
      </c>
      <c r="G44" s="207">
        <f>StepTest!G44</f>
        <v>30.43</v>
      </c>
      <c r="H44" s="621"/>
      <c r="I44" s="626"/>
      <c r="J44" s="627"/>
    </row>
    <row r="45" spans="1:10" ht="24.95" customHeight="1">
      <c r="A45" s="208"/>
      <c r="B45" s="205"/>
      <c r="C45" s="206">
        <f t="shared" si="0"/>
        <v>45725.722222222219</v>
      </c>
      <c r="D45" s="623">
        <v>420</v>
      </c>
      <c r="E45" s="640"/>
      <c r="F45" s="207">
        <f>StepTest!F45</f>
        <v>38.25</v>
      </c>
      <c r="G45" s="207">
        <f>StepTest!G45</f>
        <v>31.05</v>
      </c>
      <c r="H45" s="621"/>
      <c r="I45" s="626"/>
      <c r="J45" s="627"/>
    </row>
    <row r="46" spans="1:10" ht="24.95" customHeight="1">
      <c r="A46" s="208"/>
      <c r="B46" s="205"/>
      <c r="C46" s="206">
        <f t="shared" si="0"/>
        <v>45725.763888888891</v>
      </c>
      <c r="D46" s="623">
        <v>480</v>
      </c>
      <c r="E46" s="640"/>
      <c r="F46" s="207">
        <f>StepTest!F46</f>
        <v>38.880000000000003</v>
      </c>
      <c r="G46" s="207">
        <f>StepTest!G46</f>
        <v>31.68</v>
      </c>
      <c r="H46" s="621"/>
      <c r="I46" s="626"/>
      <c r="J46" s="627"/>
    </row>
    <row r="47" spans="1:10" ht="24.95" customHeight="1">
      <c r="A47" s="208">
        <v>5</v>
      </c>
      <c r="B47" s="205">
        <f>Input!D24</f>
        <v>197.79999999999998</v>
      </c>
      <c r="C47" s="206">
        <f t="shared" si="0"/>
        <v>45725.770833333336</v>
      </c>
      <c r="D47" s="623">
        <v>490</v>
      </c>
      <c r="E47" s="640"/>
      <c r="F47" s="207">
        <f>StepTest!F47</f>
        <v>42.68</v>
      </c>
      <c r="G47" s="207">
        <f>StepTest!G47</f>
        <v>35.479999999999997</v>
      </c>
      <c r="H47" s="621"/>
      <c r="I47" s="626"/>
      <c r="J47" s="627"/>
    </row>
    <row r="48" spans="1:10" ht="24.95" customHeight="1">
      <c r="A48" s="208"/>
      <c r="B48" s="205"/>
      <c r="C48" s="206">
        <f t="shared" si="0"/>
        <v>45725.777777777774</v>
      </c>
      <c r="D48" s="623">
        <v>500</v>
      </c>
      <c r="E48" s="640"/>
      <c r="F48" s="207">
        <f>StepTest!F48</f>
        <v>44.1</v>
      </c>
      <c r="G48" s="207">
        <f>StepTest!G48</f>
        <v>36.9</v>
      </c>
      <c r="H48" s="621"/>
      <c r="I48" s="626"/>
      <c r="J48" s="627"/>
    </row>
    <row r="49" spans="1:10" ht="24.95" customHeight="1">
      <c r="A49" s="208"/>
      <c r="B49" s="205"/>
      <c r="C49" s="206">
        <f t="shared" si="0"/>
        <v>45725.784722222219</v>
      </c>
      <c r="D49" s="623">
        <v>510</v>
      </c>
      <c r="E49" s="640"/>
      <c r="F49" s="207">
        <f>StepTest!F49</f>
        <v>45.53</v>
      </c>
      <c r="G49" s="207">
        <f>StepTest!G49</f>
        <v>38.33</v>
      </c>
      <c r="H49" s="621"/>
      <c r="I49" s="626"/>
      <c r="J49" s="627"/>
    </row>
    <row r="50" spans="1:10" ht="24.95" customHeight="1">
      <c r="A50" s="208"/>
      <c r="B50" s="205"/>
      <c r="C50" s="206">
        <f t="shared" si="0"/>
        <v>45725.805555555555</v>
      </c>
      <c r="D50" s="623">
        <v>540</v>
      </c>
      <c r="E50" s="640"/>
      <c r="F50" s="207">
        <f>StepTest!F50</f>
        <v>46.95</v>
      </c>
      <c r="G50" s="207">
        <f>StepTest!G50</f>
        <v>39.75</v>
      </c>
      <c r="H50" s="621"/>
      <c r="I50" s="626"/>
      <c r="J50" s="627"/>
    </row>
    <row r="51" spans="1:10" ht="24.95" customHeight="1">
      <c r="A51" s="209"/>
      <c r="B51" s="210"/>
      <c r="C51" s="211">
        <f t="shared" si="0"/>
        <v>45725.847222222219</v>
      </c>
      <c r="D51" s="655">
        <v>600</v>
      </c>
      <c r="E51" s="656"/>
      <c r="F51" s="212">
        <f>StepTest!F51</f>
        <v>48.38</v>
      </c>
      <c r="G51" s="212">
        <f>StepTest!G51</f>
        <v>41.18</v>
      </c>
      <c r="H51" s="660"/>
      <c r="I51" s="661"/>
      <c r="J51" s="662"/>
    </row>
    <row r="52" spans="1:10" ht="24.95" customHeight="1">
      <c r="A52" s="229"/>
      <c r="B52" s="237"/>
      <c r="C52" s="237"/>
      <c r="D52" s="663"/>
      <c r="E52" s="669"/>
      <c r="F52" s="237"/>
      <c r="G52" s="237"/>
      <c r="H52" s="663"/>
      <c r="I52" s="664"/>
      <c r="J52" s="665"/>
    </row>
    <row r="53" spans="1:10" ht="24.95" customHeight="1">
      <c r="A53" s="229"/>
      <c r="B53" s="237"/>
      <c r="C53" s="237"/>
      <c r="D53" s="663"/>
      <c r="E53" s="669"/>
      <c r="F53" s="237"/>
      <c r="G53" s="237"/>
      <c r="H53" s="663"/>
      <c r="I53" s="664"/>
      <c r="J53" s="665"/>
    </row>
    <row r="54" spans="1:10" ht="24.95" customHeight="1">
      <c r="A54" s="229"/>
      <c r="B54" s="237"/>
      <c r="C54" s="237"/>
      <c r="D54" s="663"/>
      <c r="E54" s="669"/>
      <c r="F54" s="237"/>
      <c r="G54" s="237"/>
      <c r="H54" s="663"/>
      <c r="I54" s="664"/>
      <c r="J54" s="665"/>
    </row>
    <row r="55" spans="1:10" ht="24.95" customHeight="1">
      <c r="A55" s="229"/>
      <c r="B55" s="237"/>
      <c r="C55" s="237"/>
      <c r="D55" s="663"/>
      <c r="E55" s="669"/>
      <c r="F55" s="237"/>
      <c r="G55" s="237"/>
      <c r="H55" s="663"/>
      <c r="I55" s="664"/>
      <c r="J55" s="665"/>
    </row>
    <row r="56" spans="1:10" ht="24.95" customHeight="1">
      <c r="A56" s="229"/>
      <c r="B56" s="237"/>
      <c r="C56" s="237"/>
      <c r="D56" s="663"/>
      <c r="E56" s="669"/>
      <c r="F56" s="237"/>
      <c r="G56" s="237"/>
      <c r="H56" s="663"/>
      <c r="I56" s="664"/>
      <c r="J56" s="665"/>
    </row>
    <row r="57" spans="1:10" ht="24.95" customHeight="1" thickBot="1">
      <c r="A57" s="233"/>
      <c r="B57" s="238"/>
      <c r="C57" s="238"/>
      <c r="D57" s="666"/>
      <c r="E57" s="670"/>
      <c r="F57" s="238"/>
      <c r="G57" s="238"/>
      <c r="H57" s="666"/>
      <c r="I57" s="667"/>
      <c r="J57" s="668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2" zoomScaleNormal="130" zoomScaleSheetLayoutView="100" workbookViewId="0">
      <selection activeCell="G43" sqref="G4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52" t="s">
        <v>316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294</v>
      </c>
      <c r="B4" s="640"/>
      <c r="C4" s="641">
        <f>LongTest!C10</f>
        <v>45768.479166666664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295</v>
      </c>
      <c r="B5" s="640"/>
      <c r="C5" s="641">
        <f>LongTest!C77</f>
        <v>45770.479166666664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30">
        <v>1</v>
      </c>
      <c r="E12" s="630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30">
        <v>2</v>
      </c>
      <c r="E13" s="630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30">
        <v>3</v>
      </c>
      <c r="E14" s="630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30">
        <v>4</v>
      </c>
      <c r="E15" s="630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30">
        <v>5</v>
      </c>
      <c r="E16" s="630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30">
        <v>10</v>
      </c>
      <c r="E17" s="630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30">
        <v>15</v>
      </c>
      <c r="E18" s="630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30">
        <v>20</v>
      </c>
      <c r="E19" s="630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30">
        <v>25</v>
      </c>
      <c r="E20" s="630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30">
        <v>30</v>
      </c>
      <c r="E21" s="630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30">
        <v>35</v>
      </c>
      <c r="E22" s="630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30">
        <v>40</v>
      </c>
      <c r="E23" s="630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30">
        <v>45</v>
      </c>
      <c r="E24" s="630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30">
        <v>50</v>
      </c>
      <c r="E25" s="630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30">
        <v>55</v>
      </c>
      <c r="E26" s="630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30">
        <v>60</v>
      </c>
      <c r="E27" s="630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30">
        <v>75</v>
      </c>
      <c r="E28" s="630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30">
        <v>90</v>
      </c>
      <c r="E29" s="630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30">
        <v>105</v>
      </c>
      <c r="E30" s="630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30">
        <v>120</v>
      </c>
      <c r="E31" s="630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30">
        <v>140</v>
      </c>
      <c r="E32" s="630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30">
        <v>160</v>
      </c>
      <c r="E33" s="630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30">
        <v>180</v>
      </c>
      <c r="E34" s="630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30">
        <v>240</v>
      </c>
      <c r="E35" s="630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30">
        <v>300</v>
      </c>
      <c r="E36" s="630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30">
        <v>360</v>
      </c>
      <c r="E37" s="630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30">
        <v>420</v>
      </c>
      <c r="E38" s="630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30">
        <v>480</v>
      </c>
      <c r="E39" s="630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30">
        <v>540</v>
      </c>
      <c r="E40" s="630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30">
        <v>600</v>
      </c>
      <c r="E41" s="630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30">
        <v>660</v>
      </c>
      <c r="E42" s="630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30">
        <v>720</v>
      </c>
      <c r="E43" s="630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30">
        <v>780</v>
      </c>
      <c r="E44" s="630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30">
        <v>840</v>
      </c>
      <c r="E45" s="630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30">
        <v>900</v>
      </c>
      <c r="E46" s="630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30">
        <v>960</v>
      </c>
      <c r="E47" s="630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30">
        <v>1020</v>
      </c>
      <c r="E48" s="630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30">
        <v>1080</v>
      </c>
      <c r="E49" s="630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30">
        <v>1140</v>
      </c>
      <c r="E50" s="630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30">
        <v>1200</v>
      </c>
      <c r="E51" s="630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30">
        <v>1260</v>
      </c>
      <c r="E52" s="630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30">
        <v>1320</v>
      </c>
      <c r="E53" s="630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30">
        <v>1380</v>
      </c>
      <c r="E54" s="630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30">
        <v>1440</v>
      </c>
      <c r="E55" s="630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21">
        <v>1500</v>
      </c>
      <c r="E56" s="622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21">
        <v>1560</v>
      </c>
      <c r="E57" s="622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21">
        <v>1620</v>
      </c>
      <c r="E58" s="622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21">
        <v>1680</v>
      </c>
      <c r="E59" s="622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21">
        <v>1740</v>
      </c>
      <c r="E60" s="622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21">
        <v>1800</v>
      </c>
      <c r="E61" s="622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21">
        <v>1860</v>
      </c>
      <c r="E62" s="622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21">
        <v>1920</v>
      </c>
      <c r="E63" s="622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21">
        <v>1980</v>
      </c>
      <c r="E64" s="622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21">
        <v>2040</v>
      </c>
      <c r="E65" s="622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21">
        <v>2100</v>
      </c>
      <c r="E66" s="622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21">
        <v>2160</v>
      </c>
      <c r="E67" s="622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21">
        <v>2220</v>
      </c>
      <c r="E68" s="622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21">
        <v>2280</v>
      </c>
      <c r="E69" s="622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21">
        <v>2340</v>
      </c>
      <c r="E70" s="622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21">
        <v>2400</v>
      </c>
      <c r="E71" s="622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21">
        <v>2460</v>
      </c>
      <c r="E72" s="622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21">
        <v>2520</v>
      </c>
      <c r="E73" s="622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21">
        <v>2580</v>
      </c>
      <c r="E74" s="622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21">
        <v>2640</v>
      </c>
      <c r="E75" s="622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21">
        <v>2700</v>
      </c>
      <c r="E76" s="622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21">
        <v>2760</v>
      </c>
      <c r="E77" s="622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21">
        <v>2820</v>
      </c>
      <c r="E78" s="622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30"/>
      <c r="B79" s="211"/>
      <c r="C79" s="211">
        <f t="shared" si="4"/>
        <v>45770.479166666664</v>
      </c>
      <c r="D79" s="660">
        <v>2880</v>
      </c>
      <c r="E79" s="671"/>
      <c r="F79" s="212">
        <f>LongTest!F77</f>
        <v>42.8</v>
      </c>
      <c r="G79" s="212">
        <f>LongTest!G77</f>
        <v>35.599999999999994</v>
      </c>
      <c r="H79" s="231">
        <f>H63</f>
        <v>15.6</v>
      </c>
      <c r="I79" s="231">
        <f t="shared" ref="I79:J79" si="5">I63</f>
        <v>212</v>
      </c>
      <c r="J79" s="232">
        <f t="shared" si="5"/>
        <v>7.22</v>
      </c>
    </row>
    <row r="80" spans="1:10" ht="24.95" customHeight="1" thickBot="1">
      <c r="A80" s="672" t="s">
        <v>321</v>
      </c>
      <c r="B80" s="673"/>
      <c r="C80" s="673"/>
      <c r="D80" s="673"/>
      <c r="E80" s="673"/>
      <c r="F80" s="673"/>
      <c r="G80" s="673"/>
      <c r="H80" s="673"/>
      <c r="I80" s="673"/>
      <c r="J80" s="674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345</v>
      </c>
      <c r="B4" s="640"/>
      <c r="C4" s="641">
        <f>장기28!C5</f>
        <v>45770.479166666664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344</v>
      </c>
      <c r="B5" s="640"/>
      <c r="C5" s="641">
        <f>LongTest!C101</f>
        <v>45770.729166666664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5" si="0">$C$4+D12/1440</f>
        <v>45770.479861111111</v>
      </c>
      <c r="D12" s="621">
        <v>1</v>
      </c>
      <c r="E12" s="622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45770.48055555555</v>
      </c>
      <c r="D13" s="621">
        <v>2</v>
      </c>
      <c r="E13" s="622"/>
      <c r="F13" s="207">
        <f>LongTest!F79</f>
        <v>26.595612475263646</v>
      </c>
      <c r="G13" s="207">
        <f>LongTest!G79</f>
        <v>19.395612475263647</v>
      </c>
      <c r="H13" s="621"/>
      <c r="I13" s="626"/>
      <c r="J13" s="627"/>
    </row>
    <row r="14" spans="1:10" ht="24.95" customHeight="1">
      <c r="A14" s="229"/>
      <c r="B14" s="206"/>
      <c r="C14" s="206">
        <f t="shared" si="0"/>
        <v>45770.481249999997</v>
      </c>
      <c r="D14" s="621">
        <v>3</v>
      </c>
      <c r="E14" s="622"/>
      <c r="F14" s="207">
        <f>LongTest!F80</f>
        <v>24.624486904727952</v>
      </c>
      <c r="G14" s="207">
        <f>LongTest!G80</f>
        <v>17.424486904727953</v>
      </c>
      <c r="H14" s="621"/>
      <c r="I14" s="626"/>
      <c r="J14" s="627"/>
    </row>
    <row r="15" spans="1:10" ht="24.95" customHeight="1">
      <c r="A15" s="229"/>
      <c r="B15" s="206"/>
      <c r="C15" s="206">
        <f t="shared" si="0"/>
        <v>45770.481944444444</v>
      </c>
      <c r="D15" s="621">
        <v>4</v>
      </c>
      <c r="E15" s="622"/>
      <c r="F15" s="207">
        <f>LongTest!F81</f>
        <v>22.853681691168592</v>
      </c>
      <c r="G15" s="207">
        <f>LongTest!G81</f>
        <v>15.653681691168593</v>
      </c>
      <c r="H15" s="621"/>
      <c r="I15" s="626"/>
      <c r="J15" s="627"/>
    </row>
    <row r="16" spans="1:10" ht="24.95" customHeight="1">
      <c r="A16" s="229"/>
      <c r="B16" s="206"/>
      <c r="C16" s="206">
        <f t="shared" si="0"/>
        <v>45770.482638888883</v>
      </c>
      <c r="D16" s="621">
        <v>5</v>
      </c>
      <c r="E16" s="622"/>
      <c r="F16" s="207">
        <f>LongTest!F82</f>
        <v>21.262838798538073</v>
      </c>
      <c r="G16" s="207">
        <f>LongTest!G82</f>
        <v>14.062838798538074</v>
      </c>
      <c r="H16" s="621"/>
      <c r="I16" s="626"/>
      <c r="J16" s="627"/>
    </row>
    <row r="17" spans="1:10" ht="24.95" customHeight="1">
      <c r="A17" s="229"/>
      <c r="B17" s="206"/>
      <c r="C17" s="206">
        <f t="shared" si="0"/>
        <v>45770.486111111109</v>
      </c>
      <c r="D17" s="621">
        <v>10</v>
      </c>
      <c r="E17" s="622"/>
      <c r="F17" s="207">
        <f>LongTest!F83</f>
        <v>17.396297504184883</v>
      </c>
      <c r="G17" s="207">
        <f>LongTest!G83</f>
        <v>10.196297504184882</v>
      </c>
      <c r="H17" s="621"/>
      <c r="I17" s="626"/>
      <c r="J17" s="627"/>
    </row>
    <row r="18" spans="1:10" ht="24.95" customHeight="1">
      <c r="A18" s="229"/>
      <c r="B18" s="206"/>
      <c r="C18" s="206">
        <f t="shared" si="0"/>
        <v>45770.489583333328</v>
      </c>
      <c r="D18" s="621">
        <v>15</v>
      </c>
      <c r="E18" s="622"/>
      <c r="F18" s="207">
        <f>LongTest!F84</f>
        <v>16.693218977090154</v>
      </c>
      <c r="G18" s="207">
        <f>LongTest!G84</f>
        <v>9.4932189770901534</v>
      </c>
      <c r="H18" s="621"/>
      <c r="I18" s="626"/>
      <c r="J18" s="627"/>
    </row>
    <row r="19" spans="1:10" ht="24.95" customHeight="1">
      <c r="A19" s="229"/>
      <c r="B19" s="206"/>
      <c r="C19" s="206">
        <f t="shared" si="0"/>
        <v>45770.493055555555</v>
      </c>
      <c r="D19" s="621">
        <v>20</v>
      </c>
      <c r="E19" s="622"/>
      <c r="F19" s="207">
        <f>LongTest!F85</f>
        <v>14.861723922431089</v>
      </c>
      <c r="G19" s="207">
        <f>LongTest!G85</f>
        <v>7.66172392243109</v>
      </c>
      <c r="H19" s="621"/>
      <c r="I19" s="626"/>
      <c r="J19" s="627"/>
    </row>
    <row r="20" spans="1:10" ht="24.95" customHeight="1">
      <c r="A20" s="229"/>
      <c r="B20" s="206"/>
      <c r="C20" s="206">
        <f t="shared" si="0"/>
        <v>45770.496527777774</v>
      </c>
      <c r="D20" s="621">
        <v>25</v>
      </c>
      <c r="E20" s="622"/>
      <c r="F20" s="207">
        <f>LongTest!F86</f>
        <v>14.083082878888396</v>
      </c>
      <c r="G20" s="207">
        <f>LongTest!G86</f>
        <v>6.8830828788883958</v>
      </c>
      <c r="H20" s="621"/>
      <c r="I20" s="626"/>
      <c r="J20" s="627"/>
    </row>
    <row r="21" spans="1:10" ht="24.95" customHeight="1">
      <c r="A21" s="229"/>
      <c r="B21" s="206"/>
      <c r="C21" s="206">
        <f t="shared" si="0"/>
        <v>45770.5</v>
      </c>
      <c r="D21" s="621">
        <v>30</v>
      </c>
      <c r="E21" s="622"/>
      <c r="F21" s="207">
        <f>LongTest!F87</f>
        <v>13.383573096250867</v>
      </c>
      <c r="G21" s="207">
        <f>LongTest!G87</f>
        <v>6.1835730962508677</v>
      </c>
      <c r="H21" s="621"/>
      <c r="I21" s="626"/>
      <c r="J21" s="627"/>
    </row>
    <row r="22" spans="1:10" ht="24.95" customHeight="1">
      <c r="A22" s="229"/>
      <c r="B22" s="206"/>
      <c r="C22" s="206">
        <f t="shared" si="0"/>
        <v>45770.503472222219</v>
      </c>
      <c r="D22" s="621">
        <v>35</v>
      </c>
      <c r="E22" s="622"/>
      <c r="F22" s="207">
        <f>LongTest!F88</f>
        <v>13.166573556070519</v>
      </c>
      <c r="G22" s="207">
        <f>LongTest!G88</f>
        <v>5.9665735560705189</v>
      </c>
      <c r="H22" s="621"/>
      <c r="I22" s="626"/>
      <c r="J22" s="627"/>
    </row>
    <row r="23" spans="1:10" ht="24.95" customHeight="1">
      <c r="A23" s="229"/>
      <c r="B23" s="206"/>
      <c r="C23" s="206">
        <f t="shared" si="0"/>
        <v>45770.506944444445</v>
      </c>
      <c r="D23" s="621">
        <v>40</v>
      </c>
      <c r="E23" s="622"/>
      <c r="F23" s="207">
        <f>LongTest!F89</f>
        <v>12.957189160031835</v>
      </c>
      <c r="G23" s="207">
        <f>LongTest!G89</f>
        <v>5.7571891600318352</v>
      </c>
      <c r="H23" s="621"/>
      <c r="I23" s="626"/>
      <c r="J23" s="627"/>
    </row>
    <row r="24" spans="1:10" ht="24.95" customHeight="1">
      <c r="A24" s="229"/>
      <c r="B24" s="206"/>
      <c r="C24" s="206">
        <f t="shared" si="0"/>
        <v>45770.510416666664</v>
      </c>
      <c r="D24" s="621">
        <v>45</v>
      </c>
      <c r="E24" s="622"/>
      <c r="F24" s="207">
        <f>LongTest!F90</f>
        <v>12.755152670608648</v>
      </c>
      <c r="G24" s="207">
        <f>LongTest!G90</f>
        <v>5.5551526706086483</v>
      </c>
      <c r="H24" s="621"/>
      <c r="I24" s="626"/>
      <c r="J24" s="627"/>
    </row>
    <row r="25" spans="1:10" ht="24.95" customHeight="1">
      <c r="A25" s="229"/>
      <c r="B25" s="206"/>
      <c r="C25" s="206">
        <f t="shared" si="0"/>
        <v>45770.513888888883</v>
      </c>
      <c r="D25" s="621">
        <v>50</v>
      </c>
      <c r="E25" s="622"/>
      <c r="F25" s="207">
        <f>LongTest!F91</f>
        <v>12.560206228415769</v>
      </c>
      <c r="G25" s="207">
        <f>LongTest!G91</f>
        <v>5.3602062284157688</v>
      </c>
      <c r="H25" s="621"/>
      <c r="I25" s="626"/>
      <c r="J25" s="627"/>
    </row>
    <row r="26" spans="1:10" ht="24.95" customHeight="1">
      <c r="A26" s="229"/>
      <c r="B26" s="206"/>
      <c r="C26" s="206">
        <f t="shared" si="0"/>
        <v>45770.517361111109</v>
      </c>
      <c r="D26" s="621">
        <v>55</v>
      </c>
      <c r="E26" s="622"/>
      <c r="F26" s="207">
        <f>LongTest!F92</f>
        <v>12.372101023102793</v>
      </c>
      <c r="G26" s="207">
        <f>LongTest!G92</f>
        <v>5.172101023102794</v>
      </c>
      <c r="H26" s="621"/>
      <c r="I26" s="626"/>
      <c r="J26" s="627"/>
    </row>
    <row r="27" spans="1:10" ht="24.95" customHeight="1">
      <c r="A27" s="229"/>
      <c r="B27" s="206"/>
      <c r="C27" s="206">
        <f t="shared" si="0"/>
        <v>45770.520833333328</v>
      </c>
      <c r="D27" s="621">
        <v>60</v>
      </c>
      <c r="E27" s="622"/>
      <c r="F27" s="207">
        <f>LongTest!F93</f>
        <v>12.190596975797185</v>
      </c>
      <c r="G27" s="207">
        <f>LongTest!G93</f>
        <v>4.9905969757971835</v>
      </c>
      <c r="H27" s="621"/>
      <c r="I27" s="626"/>
      <c r="J27" s="627"/>
    </row>
    <row r="28" spans="1:10" ht="24.95" customHeight="1">
      <c r="A28" s="229"/>
      <c r="B28" s="206"/>
      <c r="C28" s="206">
        <f t="shared" si="0"/>
        <v>45770.53125</v>
      </c>
      <c r="D28" s="621">
        <v>75</v>
      </c>
      <c r="E28" s="622"/>
      <c r="F28" s="207">
        <f>LongTest!F94</f>
        <v>12.015462432691349</v>
      </c>
      <c r="G28" s="207">
        <f>LongTest!G94</f>
        <v>4.8154624326913487</v>
      </c>
      <c r="H28" s="621"/>
      <c r="I28" s="626"/>
      <c r="J28" s="627"/>
    </row>
    <row r="29" spans="1:10" ht="24.95" customHeight="1">
      <c r="A29" s="229"/>
      <c r="B29" s="206"/>
      <c r="C29" s="206">
        <f t="shared" si="0"/>
        <v>45770.541666666664</v>
      </c>
      <c r="D29" s="621">
        <v>90</v>
      </c>
      <c r="E29" s="622"/>
      <c r="F29" s="207">
        <f>LongTest!F95</f>
        <v>11.846473869382649</v>
      </c>
      <c r="G29" s="207">
        <f>LongTest!G95</f>
        <v>4.6464738693826479</v>
      </c>
      <c r="H29" s="621"/>
      <c r="I29" s="626"/>
      <c r="J29" s="627"/>
    </row>
    <row r="30" spans="1:10" ht="24.95" customHeight="1">
      <c r="A30" s="229"/>
      <c r="B30" s="206"/>
      <c r="C30" s="206">
        <f t="shared" si="0"/>
        <v>45770.552083333328</v>
      </c>
      <c r="D30" s="621">
        <v>105</v>
      </c>
      <c r="E30" s="622"/>
      <c r="F30" s="207">
        <f>LongTest!F96</f>
        <v>11.683415605588959</v>
      </c>
      <c r="G30" s="207">
        <f>LongTest!G96</f>
        <v>4.4834156055889576</v>
      </c>
      <c r="H30" s="621"/>
      <c r="I30" s="626"/>
      <c r="J30" s="627"/>
    </row>
    <row r="31" spans="1:10" ht="24.95" customHeight="1">
      <c r="A31" s="229"/>
      <c r="B31" s="206"/>
      <c r="C31" s="206">
        <f t="shared" si="0"/>
        <v>45770.5625</v>
      </c>
      <c r="D31" s="621">
        <v>120</v>
      </c>
      <c r="E31" s="622"/>
      <c r="F31" s="207">
        <f>LongTest!F97</f>
        <v>11.227777756833936</v>
      </c>
      <c r="G31" s="207">
        <f>LongTest!G97</f>
        <v>4.0277777568339355</v>
      </c>
      <c r="H31" s="621"/>
      <c r="I31" s="626"/>
      <c r="J31" s="627"/>
    </row>
    <row r="32" spans="1:10" ht="24.95" customHeight="1">
      <c r="A32" s="229"/>
      <c r="B32" s="206"/>
      <c r="C32" s="206">
        <f t="shared" si="0"/>
        <v>45770.604166666664</v>
      </c>
      <c r="D32" s="621">
        <v>180</v>
      </c>
      <c r="E32" s="622"/>
      <c r="F32" s="207">
        <f>LongTest!F98</f>
        <v>11.086431336636927</v>
      </c>
      <c r="G32" s="207">
        <f>LongTest!G98</f>
        <v>3.8864313366369263</v>
      </c>
      <c r="H32" s="621"/>
      <c r="I32" s="626"/>
      <c r="J32" s="627"/>
    </row>
    <row r="33" spans="1:10" ht="24.95" customHeight="1">
      <c r="A33" s="229"/>
      <c r="B33" s="206"/>
      <c r="C33" s="206">
        <f t="shared" si="0"/>
        <v>45770.645833333328</v>
      </c>
      <c r="D33" s="621">
        <v>240</v>
      </c>
      <c r="E33" s="622"/>
      <c r="F33" s="207">
        <f>LongTest!F99</f>
        <v>10.336635109403545</v>
      </c>
      <c r="G33" s="207">
        <f>LongTest!G99</f>
        <v>3.1366351094035441</v>
      </c>
      <c r="H33" s="621"/>
      <c r="I33" s="626"/>
      <c r="J33" s="627"/>
    </row>
    <row r="34" spans="1:10" ht="24.95" customHeight="1">
      <c r="A34" s="229"/>
      <c r="B34" s="206"/>
      <c r="C34" s="206">
        <f t="shared" si="0"/>
        <v>45770.6875</v>
      </c>
      <c r="D34" s="621">
        <v>300</v>
      </c>
      <c r="E34" s="622"/>
      <c r="F34" s="207">
        <f>LongTest!F100</f>
        <v>9.7314945659265355</v>
      </c>
      <c r="G34" s="207">
        <f>LongTest!G100</f>
        <v>2.5314945659265358</v>
      </c>
      <c r="H34" s="621"/>
      <c r="I34" s="626"/>
      <c r="J34" s="627"/>
    </row>
    <row r="35" spans="1:10" ht="24.95" customHeight="1" thickBot="1">
      <c r="A35" s="233"/>
      <c r="B35" s="234"/>
      <c r="C35" s="234">
        <f t="shared" si="0"/>
        <v>45770.729166666664</v>
      </c>
      <c r="D35" s="628">
        <v>360</v>
      </c>
      <c r="E35" s="629"/>
      <c r="F35" s="235">
        <f>LongTest!F101</f>
        <v>9.2431017679114742</v>
      </c>
      <c r="G35" s="235">
        <f>LongTest!G101</f>
        <v>2.043101767911474</v>
      </c>
      <c r="H35" s="628" t="s">
        <v>320</v>
      </c>
      <c r="I35" s="650"/>
      <c r="J35" s="6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26" zoomScaleNormal="130" zoomScaleSheetLayoutView="100" workbookViewId="0">
      <selection activeCell="M45" sqref="M45"/>
    </sheetView>
  </sheetViews>
  <sheetFormatPr defaultRowHeight="16.5"/>
  <cols>
    <col min="1" max="2" width="9" style="213"/>
    <col min="3" max="3" width="11.375" style="213" customWidth="1"/>
    <col min="4" max="4" width="6.75" style="213" customWidth="1"/>
    <col min="5" max="5" width="7.25" style="213" customWidth="1"/>
    <col min="6" max="6" width="13.875" style="213" bestFit="1" customWidth="1"/>
    <col min="7" max="7" width="12.125" style="213" customWidth="1"/>
    <col min="8" max="16384" width="9" style="213"/>
  </cols>
  <sheetData>
    <row r="1" spans="1:10" ht="45.75" customHeight="1" thickBot="1">
      <c r="A1" s="680" t="s">
        <v>316</v>
      </c>
      <c r="B1" s="681"/>
      <c r="C1" s="681"/>
      <c r="D1" s="681"/>
      <c r="E1" s="681"/>
      <c r="F1" s="681"/>
      <c r="G1" s="681"/>
      <c r="H1" s="681"/>
      <c r="I1" s="681"/>
      <c r="J1" s="682"/>
    </row>
    <row r="2" spans="1:10" ht="24.95" customHeight="1">
      <c r="A2" s="683" t="s">
        <v>292</v>
      </c>
      <c r="B2" s="684"/>
      <c r="C2" s="685" t="str">
        <f>LongTest!C2</f>
        <v>벌곡 한삼천등 8지구 소규모수도시설 지하수영향조사 및 사후관리 용역</v>
      </c>
      <c r="D2" s="686"/>
      <c r="E2" s="686"/>
      <c r="F2" s="686"/>
      <c r="G2" s="686"/>
      <c r="H2" s="686"/>
      <c r="I2" s="686"/>
      <c r="J2" s="687"/>
    </row>
    <row r="3" spans="1:10" ht="24.95" customHeight="1">
      <c r="A3" s="675" t="s">
        <v>293</v>
      </c>
      <c r="B3" s="676"/>
      <c r="C3" s="688" t="str">
        <f>LongTest!C4</f>
        <v>논산시 은진면 시묘리 352-1</v>
      </c>
      <c r="D3" s="689"/>
      <c r="E3" s="689"/>
      <c r="F3" s="689"/>
      <c r="G3" s="689"/>
      <c r="H3" s="690"/>
      <c r="I3" s="214" t="str">
        <f>Input!I54</f>
        <v>W-1</v>
      </c>
      <c r="J3" s="215" t="s">
        <v>319</v>
      </c>
    </row>
    <row r="4" spans="1:10" ht="24.95" customHeight="1">
      <c r="A4" s="675" t="s">
        <v>294</v>
      </c>
      <c r="B4" s="676"/>
      <c r="C4" s="677">
        <f>LongTest!C10</f>
        <v>45768.479166666664</v>
      </c>
      <c r="D4" s="678"/>
      <c r="E4" s="678"/>
      <c r="F4" s="678"/>
      <c r="G4" s="678"/>
      <c r="H4" s="678"/>
      <c r="I4" s="678"/>
      <c r="J4" s="679"/>
    </row>
    <row r="5" spans="1:10" ht="24.95" customHeight="1">
      <c r="A5" s="675" t="s">
        <v>295</v>
      </c>
      <c r="B5" s="676"/>
      <c r="C5" s="677">
        <f>C55</f>
        <v>45769.479166666664</v>
      </c>
      <c r="D5" s="678"/>
      <c r="E5" s="678"/>
      <c r="F5" s="678"/>
      <c r="G5" s="678"/>
      <c r="H5" s="678"/>
      <c r="I5" s="678"/>
      <c r="J5" s="679"/>
    </row>
    <row r="6" spans="1:10" ht="24.95" customHeight="1">
      <c r="A6" s="675" t="s">
        <v>291</v>
      </c>
      <c r="B6" s="676"/>
      <c r="C6" s="691" t="str">
        <f>LongTest!C5</f>
        <v>(주)환일</v>
      </c>
      <c r="D6" s="692"/>
      <c r="E6" s="692"/>
      <c r="F6" s="692"/>
      <c r="G6" s="692"/>
      <c r="H6" s="692"/>
      <c r="I6" s="692"/>
      <c r="J6" s="693"/>
    </row>
    <row r="7" spans="1:10" ht="24.95" customHeight="1">
      <c r="A7" s="675" t="s">
        <v>296</v>
      </c>
      <c r="B7" s="676"/>
      <c r="C7" s="694" t="s">
        <v>323</v>
      </c>
      <c r="D7" s="676"/>
      <c r="E7" s="216">
        <f>LongTest!C6</f>
        <v>5</v>
      </c>
      <c r="F7" s="216" t="s">
        <v>297</v>
      </c>
      <c r="G7" s="216" t="s">
        <v>325</v>
      </c>
      <c r="H7" s="694">
        <f>Input!I50</f>
        <v>60</v>
      </c>
      <c r="I7" s="676"/>
      <c r="J7" s="217" t="s">
        <v>298</v>
      </c>
    </row>
    <row r="8" spans="1:10" ht="24.95" customHeight="1">
      <c r="A8" s="675" t="s">
        <v>299</v>
      </c>
      <c r="B8" s="676"/>
      <c r="C8" s="694" t="s">
        <v>324</v>
      </c>
      <c r="D8" s="676"/>
      <c r="E8" s="216">
        <f>LongTest!D7</f>
        <v>250</v>
      </c>
      <c r="F8" s="216" t="s">
        <v>300</v>
      </c>
      <c r="G8" s="216" t="s">
        <v>301</v>
      </c>
      <c r="H8" s="694">
        <f>LongTest!G7</f>
        <v>88</v>
      </c>
      <c r="I8" s="676"/>
      <c r="J8" s="217" t="s">
        <v>298</v>
      </c>
    </row>
    <row r="9" spans="1:10" ht="24.95" customHeight="1">
      <c r="A9" s="675" t="s">
        <v>302</v>
      </c>
      <c r="B9" s="676"/>
      <c r="C9" s="694" t="s">
        <v>322</v>
      </c>
      <c r="D9" s="676"/>
      <c r="E9" s="216">
        <f>LongTest!D8</f>
        <v>7.2</v>
      </c>
      <c r="F9" s="216" t="s">
        <v>298</v>
      </c>
      <c r="G9" s="216" t="s">
        <v>303</v>
      </c>
      <c r="H9" s="694">
        <f>LongTest!G8</f>
        <v>42.8</v>
      </c>
      <c r="I9" s="676"/>
      <c r="J9" s="217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198">
        <v>1</v>
      </c>
      <c r="B12" s="248">
        <f>LongTest!B10</f>
        <v>150</v>
      </c>
      <c r="C12" s="219">
        <f t="shared" ref="C12:C55" si="0">$C$4+D12/1440</f>
        <v>45768.479861111111</v>
      </c>
      <c r="D12" s="632">
        <v>1</v>
      </c>
      <c r="E12" s="632"/>
      <c r="F12" s="220">
        <f>LongTest!F10</f>
        <v>10.12563776343033</v>
      </c>
      <c r="G12" s="220">
        <f>LongTest!G10</f>
        <v>2.9256377634303292</v>
      </c>
      <c r="H12" s="221"/>
      <c r="I12" s="221"/>
      <c r="J12" s="222"/>
    </row>
    <row r="13" spans="1:10" ht="24.95" customHeight="1">
      <c r="A13" s="198"/>
      <c r="B13" s="216"/>
      <c r="C13" s="219">
        <f t="shared" si="0"/>
        <v>45768.48055555555</v>
      </c>
      <c r="D13" s="632">
        <v>2</v>
      </c>
      <c r="E13" s="632"/>
      <c r="F13" s="220">
        <f>LongTest!F11</f>
        <v>12.851275526860658</v>
      </c>
      <c r="G13" s="220">
        <f>LongTest!G11</f>
        <v>5.6512755268606583</v>
      </c>
      <c r="H13" s="221"/>
      <c r="I13" s="221"/>
      <c r="J13" s="222"/>
    </row>
    <row r="14" spans="1:10" ht="24.95" customHeight="1">
      <c r="A14" s="198"/>
      <c r="B14" s="216"/>
      <c r="C14" s="219">
        <f t="shared" si="0"/>
        <v>45768.481249999997</v>
      </c>
      <c r="D14" s="632">
        <v>3</v>
      </c>
      <c r="E14" s="632"/>
      <c r="F14" s="220">
        <f>LongTest!F12</f>
        <v>14.914297644940913</v>
      </c>
      <c r="G14" s="220">
        <f>LongTest!G12</f>
        <v>7.7142976449409133</v>
      </c>
      <c r="H14" s="221"/>
      <c r="I14" s="221"/>
      <c r="J14" s="222"/>
    </row>
    <row r="15" spans="1:10" ht="24.95" customHeight="1">
      <c r="A15" s="198"/>
      <c r="B15" s="216"/>
      <c r="C15" s="219">
        <f t="shared" si="0"/>
        <v>45768.481944444444</v>
      </c>
      <c r="D15" s="632">
        <v>4</v>
      </c>
      <c r="E15" s="632"/>
      <c r="F15" s="220">
        <f>LongTest!F13</f>
        <v>16.378035132026664</v>
      </c>
      <c r="G15" s="220">
        <f>LongTest!G13</f>
        <v>9.1780351320266647</v>
      </c>
      <c r="H15" s="221"/>
      <c r="I15" s="221"/>
      <c r="J15" s="222"/>
    </row>
    <row r="16" spans="1:10" ht="24.95" customHeight="1">
      <c r="A16" s="198"/>
      <c r="B16" s="216"/>
      <c r="C16" s="219">
        <f t="shared" si="0"/>
        <v>45768.482638888883</v>
      </c>
      <c r="D16" s="632">
        <v>5</v>
      </c>
      <c r="E16" s="632"/>
      <c r="F16" s="220">
        <f>LongTest!F14</f>
        <v>17.513398132843459</v>
      </c>
      <c r="G16" s="220">
        <f>LongTest!G14</f>
        <v>10.31339813284346</v>
      </c>
      <c r="H16" s="216">
        <f>'w1'!D14</f>
        <v>15.899999999999999</v>
      </c>
      <c r="I16" s="216">
        <f>'w1'!E14</f>
        <v>214</v>
      </c>
      <c r="J16" s="217">
        <f>'w1'!F14</f>
        <v>7.38</v>
      </c>
    </row>
    <row r="17" spans="1:10" ht="24.95" customHeight="1">
      <c r="A17" s="198"/>
      <c r="B17" s="216"/>
      <c r="C17" s="219">
        <f t="shared" si="0"/>
        <v>45768.486111111109</v>
      </c>
      <c r="D17" s="632">
        <v>10</v>
      </c>
      <c r="E17" s="632"/>
      <c r="F17" s="220">
        <f>LongTest!F15</f>
        <v>21.040157738009459</v>
      </c>
      <c r="G17" s="220">
        <f>LongTest!G15</f>
        <v>13.840157738009459</v>
      </c>
      <c r="H17" s="216"/>
      <c r="I17" s="216"/>
      <c r="J17" s="217"/>
    </row>
    <row r="18" spans="1:10" ht="24.95" customHeight="1">
      <c r="A18" s="198"/>
      <c r="B18" s="216"/>
      <c r="C18" s="219">
        <f t="shared" si="0"/>
        <v>45768.489583333328</v>
      </c>
      <c r="D18" s="632">
        <v>15</v>
      </c>
      <c r="E18" s="632"/>
      <c r="F18" s="220">
        <f>LongTest!F16</f>
        <v>23.103179856089721</v>
      </c>
      <c r="G18" s="220">
        <f>LongTest!G16</f>
        <v>15.903179856089722</v>
      </c>
      <c r="H18" s="216"/>
      <c r="I18" s="216"/>
      <c r="J18" s="217"/>
    </row>
    <row r="19" spans="1:10" ht="24.95" customHeight="1">
      <c r="A19" s="198"/>
      <c r="B19" s="216"/>
      <c r="C19" s="219">
        <f t="shared" si="0"/>
        <v>45768.493055555555</v>
      </c>
      <c r="D19" s="632">
        <v>20</v>
      </c>
      <c r="E19" s="632"/>
      <c r="F19" s="220">
        <f>LongTest!F17</f>
        <v>24.566917343175465</v>
      </c>
      <c r="G19" s="220">
        <f>LongTest!G17</f>
        <v>17.366917343175466</v>
      </c>
      <c r="H19" s="216"/>
      <c r="I19" s="216"/>
      <c r="J19" s="217"/>
    </row>
    <row r="20" spans="1:10" ht="24.95" customHeight="1">
      <c r="A20" s="198"/>
      <c r="B20" s="216"/>
      <c r="C20" s="219">
        <f t="shared" si="0"/>
        <v>45768.496527777774</v>
      </c>
      <c r="D20" s="632">
        <v>25</v>
      </c>
      <c r="E20" s="632"/>
      <c r="F20" s="220">
        <f>LongTest!F18</f>
        <v>25.70228034399226</v>
      </c>
      <c r="G20" s="220">
        <f>LongTest!G18</f>
        <v>18.502280343992261</v>
      </c>
      <c r="H20" s="216"/>
      <c r="I20" s="216"/>
      <c r="J20" s="217"/>
    </row>
    <row r="21" spans="1:10" ht="24.95" customHeight="1">
      <c r="A21" s="198"/>
      <c r="B21" s="216"/>
      <c r="C21" s="219">
        <f t="shared" si="0"/>
        <v>45768.5</v>
      </c>
      <c r="D21" s="632">
        <v>30</v>
      </c>
      <c r="E21" s="632"/>
      <c r="F21" s="220">
        <f>LongTest!F19</f>
        <v>26.62993946125572</v>
      </c>
      <c r="G21" s="220">
        <f>LongTest!G19</f>
        <v>19.429939461255721</v>
      </c>
      <c r="H21" s="216">
        <f>'w1'!D15</f>
        <v>16</v>
      </c>
      <c r="I21" s="216">
        <f>'w1'!E15</f>
        <v>213</v>
      </c>
      <c r="J21" s="217">
        <f>'w1'!F15</f>
        <v>7.37</v>
      </c>
    </row>
    <row r="22" spans="1:10" ht="24.95" customHeight="1">
      <c r="A22" s="198"/>
      <c r="B22" s="216"/>
      <c r="C22" s="219">
        <f t="shared" si="0"/>
        <v>45768.503472222219</v>
      </c>
      <c r="D22" s="632">
        <v>35</v>
      </c>
      <c r="E22" s="632"/>
      <c r="F22" s="220">
        <f>LongTest!F20</f>
        <v>27.414264069320165</v>
      </c>
      <c r="G22" s="220">
        <f>LongTest!G20</f>
        <v>20.214264069320166</v>
      </c>
      <c r="H22" s="216"/>
      <c r="I22" s="216"/>
      <c r="J22" s="217"/>
    </row>
    <row r="23" spans="1:10" ht="24.95" customHeight="1">
      <c r="A23" s="198"/>
      <c r="B23" s="216"/>
      <c r="C23" s="219">
        <f t="shared" si="0"/>
        <v>45768.506944444445</v>
      </c>
      <c r="D23" s="632">
        <v>40</v>
      </c>
      <c r="E23" s="632"/>
      <c r="F23" s="220">
        <f>LongTest!F21</f>
        <v>28.093676948341464</v>
      </c>
      <c r="G23" s="220">
        <f>LongTest!G21</f>
        <v>20.893676948341465</v>
      </c>
      <c r="H23" s="216"/>
      <c r="I23" s="216"/>
      <c r="J23" s="217"/>
    </row>
    <row r="24" spans="1:10" ht="24.95" customHeight="1">
      <c r="A24" s="198"/>
      <c r="B24" s="216"/>
      <c r="C24" s="219">
        <f t="shared" si="0"/>
        <v>45768.510416666664</v>
      </c>
      <c r="D24" s="632">
        <v>45</v>
      </c>
      <c r="E24" s="632"/>
      <c r="F24" s="220">
        <f>LongTest!F22</f>
        <v>28.692961579335989</v>
      </c>
      <c r="G24" s="220">
        <f>LongTest!G22</f>
        <v>21.49296157933599</v>
      </c>
      <c r="H24" s="216"/>
      <c r="I24" s="216"/>
      <c r="J24" s="217"/>
    </row>
    <row r="25" spans="1:10" ht="24.95" customHeight="1">
      <c r="A25" s="198"/>
      <c r="B25" s="216"/>
      <c r="C25" s="219">
        <f t="shared" si="0"/>
        <v>45768.513888888883</v>
      </c>
      <c r="D25" s="632">
        <v>50</v>
      </c>
      <c r="E25" s="632"/>
      <c r="F25" s="220">
        <f>LongTest!F23</f>
        <v>29.22903994915826</v>
      </c>
      <c r="G25" s="220">
        <f>LongTest!G23</f>
        <v>22.02903994915826</v>
      </c>
      <c r="H25" s="216"/>
      <c r="I25" s="216"/>
      <c r="J25" s="217"/>
    </row>
    <row r="26" spans="1:10" ht="24.95" customHeight="1">
      <c r="A26" s="198"/>
      <c r="B26" s="216"/>
      <c r="C26" s="219">
        <f t="shared" si="0"/>
        <v>45768.517361111109</v>
      </c>
      <c r="D26" s="632">
        <v>55</v>
      </c>
      <c r="E26" s="632"/>
      <c r="F26" s="220">
        <f>LongTest!F24</f>
        <v>29.713981822287518</v>
      </c>
      <c r="G26" s="220">
        <f>LongTest!G24</f>
        <v>22.513981822287519</v>
      </c>
      <c r="H26" s="216"/>
      <c r="I26" s="216"/>
      <c r="J26" s="217"/>
    </row>
    <row r="27" spans="1:10" ht="24.95" customHeight="1">
      <c r="A27" s="198"/>
      <c r="B27" s="216"/>
      <c r="C27" s="219">
        <f t="shared" si="0"/>
        <v>45768.520833333328</v>
      </c>
      <c r="D27" s="632">
        <v>60</v>
      </c>
      <c r="E27" s="632"/>
      <c r="F27" s="220">
        <f>LongTest!F25</f>
        <v>30.156699066421726</v>
      </c>
      <c r="G27" s="220">
        <f>LongTest!G25</f>
        <v>22.956699066421727</v>
      </c>
      <c r="H27" s="216">
        <f>'w1'!D16</f>
        <v>15.5</v>
      </c>
      <c r="I27" s="216">
        <f>'w1'!E16</f>
        <v>212</v>
      </c>
      <c r="J27" s="217">
        <f>'w1'!F16</f>
        <v>7.39</v>
      </c>
    </row>
    <row r="28" spans="1:10" ht="24.95" customHeight="1">
      <c r="A28" s="198"/>
      <c r="B28" s="216"/>
      <c r="C28" s="219">
        <f t="shared" si="0"/>
        <v>45768.53125</v>
      </c>
      <c r="D28" s="632">
        <v>75</v>
      </c>
      <c r="E28" s="632"/>
      <c r="F28" s="220">
        <f>LongTest!F26</f>
        <v>31.292062067238522</v>
      </c>
      <c r="G28" s="220">
        <f>LongTest!G26</f>
        <v>24.092062067238523</v>
      </c>
      <c r="H28" s="216"/>
      <c r="I28" s="216"/>
      <c r="J28" s="217"/>
    </row>
    <row r="29" spans="1:10" ht="24.95" customHeight="1">
      <c r="A29" s="198"/>
      <c r="B29" s="216"/>
      <c r="C29" s="219">
        <f t="shared" si="0"/>
        <v>45768.541666666664</v>
      </c>
      <c r="D29" s="632">
        <v>90</v>
      </c>
      <c r="E29" s="632"/>
      <c r="F29" s="220">
        <f>LongTest!F27</f>
        <v>32.219721184501999</v>
      </c>
      <c r="G29" s="220">
        <f>LongTest!G27</f>
        <v>25.019721184501996</v>
      </c>
      <c r="H29" s="216"/>
      <c r="I29" s="216"/>
      <c r="J29" s="217"/>
    </row>
    <row r="30" spans="1:10" ht="24.95" customHeight="1">
      <c r="A30" s="198"/>
      <c r="B30" s="216"/>
      <c r="C30" s="219">
        <f t="shared" si="0"/>
        <v>45768.552083333328</v>
      </c>
      <c r="D30" s="632">
        <v>105</v>
      </c>
      <c r="E30" s="632"/>
      <c r="F30" s="220">
        <f>LongTest!F28</f>
        <v>33.004045792566437</v>
      </c>
      <c r="G30" s="220">
        <f>LongTest!G28</f>
        <v>25.804045792566434</v>
      </c>
      <c r="H30" s="216"/>
      <c r="I30" s="216"/>
      <c r="J30" s="217"/>
    </row>
    <row r="31" spans="1:10" ht="24.95" customHeight="1">
      <c r="A31" s="198"/>
      <c r="B31" s="216"/>
      <c r="C31" s="219">
        <f t="shared" si="0"/>
        <v>45768.5625</v>
      </c>
      <c r="D31" s="632">
        <v>120</v>
      </c>
      <c r="E31" s="632"/>
      <c r="F31" s="220">
        <f>LongTest!F29</f>
        <v>33.683458671587736</v>
      </c>
      <c r="G31" s="220">
        <f>LongTest!G29</f>
        <v>26.483458671587734</v>
      </c>
      <c r="H31" s="216">
        <f>'w1'!D17</f>
        <v>15.799999999999999</v>
      </c>
      <c r="I31" s="216">
        <f>'w1'!E17</f>
        <v>209</v>
      </c>
      <c r="J31" s="217">
        <f>'w1'!F17</f>
        <v>7.2</v>
      </c>
    </row>
    <row r="32" spans="1:10" ht="24.95" customHeight="1">
      <c r="A32" s="198"/>
      <c r="B32" s="196"/>
      <c r="C32" s="219">
        <f t="shared" si="0"/>
        <v>45768.576388888883</v>
      </c>
      <c r="D32" s="632">
        <v>140</v>
      </c>
      <c r="E32" s="632"/>
      <c r="F32" s="220">
        <f>LongTest!F30</f>
        <v>34.467783279652181</v>
      </c>
      <c r="G32" s="220">
        <f>LongTest!G30</f>
        <v>27.267783279652178</v>
      </c>
      <c r="H32" s="216"/>
      <c r="I32" s="216"/>
      <c r="J32" s="217"/>
    </row>
    <row r="33" spans="1:10" ht="24.95" customHeight="1">
      <c r="A33" s="198"/>
      <c r="B33" s="216"/>
      <c r="C33" s="219">
        <f t="shared" si="0"/>
        <v>45768.590277777774</v>
      </c>
      <c r="D33" s="632">
        <v>160</v>
      </c>
      <c r="E33" s="632"/>
      <c r="F33" s="220">
        <f>LongTest!F31</f>
        <v>35.147196158673474</v>
      </c>
      <c r="G33" s="220">
        <f>LongTest!G31</f>
        <v>27.947196158673471</v>
      </c>
      <c r="H33" s="216"/>
      <c r="I33" s="216"/>
      <c r="J33" s="217"/>
    </row>
    <row r="34" spans="1:10" ht="24.95" customHeight="1">
      <c r="A34" s="198"/>
      <c r="B34" s="216"/>
      <c r="C34" s="219">
        <f t="shared" si="0"/>
        <v>45768.604166666664</v>
      </c>
      <c r="D34" s="632">
        <v>180</v>
      </c>
      <c r="E34" s="632"/>
      <c r="F34" s="220">
        <f>LongTest!F32</f>
        <v>35.746480789667991</v>
      </c>
      <c r="G34" s="220">
        <f>LongTest!G32</f>
        <v>28.546480789667989</v>
      </c>
      <c r="H34" s="216"/>
      <c r="I34" s="216"/>
      <c r="J34" s="217"/>
    </row>
    <row r="35" spans="1:10" ht="24.95" customHeight="1">
      <c r="A35" s="198"/>
      <c r="B35" s="216"/>
      <c r="C35" s="219">
        <f t="shared" si="0"/>
        <v>45768.645833333328</v>
      </c>
      <c r="D35" s="632">
        <v>240</v>
      </c>
      <c r="E35" s="632"/>
      <c r="F35" s="220">
        <f>LongTest!F33</f>
        <v>37.210218276753729</v>
      </c>
      <c r="G35" s="220">
        <f>LongTest!G33</f>
        <v>30.010218276753726</v>
      </c>
      <c r="H35" s="216">
        <f>'w1'!D18</f>
        <v>15.799999999999999</v>
      </c>
      <c r="I35" s="216">
        <f>'w1'!E18</f>
        <v>213</v>
      </c>
      <c r="J35" s="217">
        <f>'w1'!F18</f>
        <v>7.43</v>
      </c>
    </row>
    <row r="36" spans="1:10" ht="24.95" customHeight="1">
      <c r="A36" s="198"/>
      <c r="B36" s="216"/>
      <c r="C36" s="219">
        <f t="shared" si="0"/>
        <v>45768.6875</v>
      </c>
      <c r="D36" s="632">
        <v>300</v>
      </c>
      <c r="E36" s="632"/>
      <c r="F36" s="220">
        <f>LongTest!F34</f>
        <v>38.345581277570538</v>
      </c>
      <c r="G36" s="220">
        <f>LongTest!G34</f>
        <v>31.145581277570535</v>
      </c>
      <c r="H36" s="216"/>
      <c r="I36" s="216"/>
      <c r="J36" s="217"/>
    </row>
    <row r="37" spans="1:10" ht="24.95" customHeight="1">
      <c r="A37" s="199"/>
      <c r="B37" s="197"/>
      <c r="C37" s="219">
        <f t="shared" si="0"/>
        <v>45768.729166666664</v>
      </c>
      <c r="D37" s="632">
        <v>360</v>
      </c>
      <c r="E37" s="632"/>
      <c r="F37" s="220">
        <f>LongTest!F35</f>
        <v>39.273240394833991</v>
      </c>
      <c r="G37" s="220">
        <f>LongTest!G35</f>
        <v>32.073240394833988</v>
      </c>
      <c r="H37" s="216"/>
      <c r="I37" s="216"/>
      <c r="J37" s="217"/>
    </row>
    <row r="38" spans="1:10" ht="24.95" customHeight="1">
      <c r="A38" s="198"/>
      <c r="B38" s="216"/>
      <c r="C38" s="219">
        <f t="shared" si="0"/>
        <v>45768.770833333328</v>
      </c>
      <c r="D38" s="632">
        <v>420</v>
      </c>
      <c r="E38" s="632"/>
      <c r="F38" s="220">
        <f>LongTest!F36</f>
        <v>40.057565002898443</v>
      </c>
      <c r="G38" s="220">
        <f>LongTest!G36</f>
        <v>32.85756500289844</v>
      </c>
      <c r="H38" s="216"/>
      <c r="I38" s="216"/>
      <c r="J38" s="217"/>
    </row>
    <row r="39" spans="1:10" ht="24.95" customHeight="1">
      <c r="A39" s="198"/>
      <c r="B39" s="216"/>
      <c r="C39" s="219">
        <f t="shared" si="0"/>
        <v>45768.8125</v>
      </c>
      <c r="D39" s="632">
        <v>480</v>
      </c>
      <c r="E39" s="632"/>
      <c r="F39" s="220">
        <f>LongTest!F37</f>
        <v>40.736977881919735</v>
      </c>
      <c r="G39" s="220">
        <f>LongTest!G37</f>
        <v>33.536977881919732</v>
      </c>
      <c r="H39" s="216">
        <f>'w1'!D19</f>
        <v>15.899999999999999</v>
      </c>
      <c r="I39" s="216">
        <f>'w1'!E19</f>
        <v>213</v>
      </c>
      <c r="J39" s="217">
        <f>'w1'!F19</f>
        <v>7.2</v>
      </c>
    </row>
    <row r="40" spans="1:10" ht="24.95" customHeight="1">
      <c r="A40" s="198"/>
      <c r="B40" s="216"/>
      <c r="C40" s="219">
        <f t="shared" si="0"/>
        <v>45768.854166666664</v>
      </c>
      <c r="D40" s="632">
        <v>540</v>
      </c>
      <c r="E40" s="632"/>
      <c r="F40" s="220">
        <f>LongTest!F38</f>
        <v>41.33626251291426</v>
      </c>
      <c r="G40" s="220">
        <f>LongTest!G38</f>
        <v>34.136262512914257</v>
      </c>
      <c r="H40" s="216"/>
      <c r="I40" s="216"/>
      <c r="J40" s="217"/>
    </row>
    <row r="41" spans="1:10" ht="24.95" customHeight="1">
      <c r="A41" s="198"/>
      <c r="B41" s="216"/>
      <c r="C41" s="219">
        <f t="shared" si="0"/>
        <v>45768.895833333328</v>
      </c>
      <c r="D41" s="632">
        <v>600</v>
      </c>
      <c r="E41" s="632"/>
      <c r="F41" s="220">
        <f>LongTest!F39</f>
        <v>41.872340882736538</v>
      </c>
      <c r="G41" s="220">
        <f>LongTest!G39</f>
        <v>34.672340882736535</v>
      </c>
      <c r="H41" s="216"/>
      <c r="I41" s="216"/>
      <c r="J41" s="217"/>
    </row>
    <row r="42" spans="1:10" ht="24.95" customHeight="1">
      <c r="A42" s="199"/>
      <c r="B42" s="197"/>
      <c r="C42" s="219">
        <f t="shared" si="0"/>
        <v>45768.9375</v>
      </c>
      <c r="D42" s="632">
        <v>660</v>
      </c>
      <c r="E42" s="632"/>
      <c r="F42" s="220">
        <f>LongTest!F40</f>
        <v>42.357282755865789</v>
      </c>
      <c r="G42" s="220">
        <f>LongTest!G40</f>
        <v>35.157282755865786</v>
      </c>
      <c r="H42" s="216"/>
      <c r="I42" s="216"/>
      <c r="J42" s="217"/>
    </row>
    <row r="43" spans="1:10" ht="24.95" customHeight="1">
      <c r="A43" s="198"/>
      <c r="B43" s="216"/>
      <c r="C43" s="219">
        <f t="shared" si="0"/>
        <v>45768.979166666664</v>
      </c>
      <c r="D43" s="632">
        <v>720</v>
      </c>
      <c r="E43" s="632"/>
      <c r="F43" s="220">
        <f>LongTest!F41</f>
        <v>42.8</v>
      </c>
      <c r="G43" s="220">
        <f>LongTest!G41</f>
        <v>35.599999999999994</v>
      </c>
      <c r="H43" s="216"/>
      <c r="I43" s="216"/>
      <c r="J43" s="217"/>
    </row>
    <row r="44" spans="1:10" ht="24.95" customHeight="1">
      <c r="A44" s="198"/>
      <c r="B44" s="216"/>
      <c r="C44" s="219">
        <f t="shared" si="0"/>
        <v>45769.020833333328</v>
      </c>
      <c r="D44" s="632">
        <v>780</v>
      </c>
      <c r="E44" s="632"/>
      <c r="F44" s="220">
        <f>LongTest!F42</f>
        <v>42.8</v>
      </c>
      <c r="G44" s="220">
        <f>LongTest!G42</f>
        <v>35.599999999999994</v>
      </c>
      <c r="H44" s="216"/>
      <c r="I44" s="216"/>
      <c r="J44" s="217"/>
    </row>
    <row r="45" spans="1:10" ht="24.95" customHeight="1">
      <c r="A45" s="198"/>
      <c r="B45" s="216"/>
      <c r="C45" s="219">
        <f t="shared" si="0"/>
        <v>45769.0625</v>
      </c>
      <c r="D45" s="632">
        <v>840</v>
      </c>
      <c r="E45" s="632"/>
      <c r="F45" s="220">
        <f>LongTest!F43</f>
        <v>42.8</v>
      </c>
      <c r="G45" s="220">
        <f>LongTest!G43</f>
        <v>35.599999999999994</v>
      </c>
      <c r="H45" s="216"/>
      <c r="I45" s="216"/>
      <c r="J45" s="217"/>
    </row>
    <row r="46" spans="1:10" ht="24.95" customHeight="1">
      <c r="A46" s="198"/>
      <c r="B46" s="216"/>
      <c r="C46" s="219">
        <f t="shared" si="0"/>
        <v>45769.104166666664</v>
      </c>
      <c r="D46" s="632">
        <v>900</v>
      </c>
      <c r="E46" s="632"/>
      <c r="F46" s="220">
        <f>LongTest!F44</f>
        <v>42.8</v>
      </c>
      <c r="G46" s="220">
        <f>LongTest!G44</f>
        <v>35.599999999999994</v>
      </c>
      <c r="H46" s="216"/>
      <c r="I46" s="216"/>
      <c r="J46" s="217"/>
    </row>
    <row r="47" spans="1:10" ht="24.95" customHeight="1">
      <c r="A47" s="199"/>
      <c r="B47" s="197"/>
      <c r="C47" s="219">
        <f t="shared" si="0"/>
        <v>45769.145833333328</v>
      </c>
      <c r="D47" s="632">
        <v>960</v>
      </c>
      <c r="E47" s="632"/>
      <c r="F47" s="220">
        <f>LongTest!F45</f>
        <v>42.8</v>
      </c>
      <c r="G47" s="220">
        <f>LongTest!G45</f>
        <v>35.599999999999994</v>
      </c>
      <c r="H47" s="216"/>
      <c r="I47" s="216"/>
      <c r="J47" s="217"/>
    </row>
    <row r="48" spans="1:10" ht="24.95" customHeight="1">
      <c r="A48" s="198"/>
      <c r="B48" s="216"/>
      <c r="C48" s="219">
        <f t="shared" si="0"/>
        <v>45769.1875</v>
      </c>
      <c r="D48" s="632">
        <v>1020</v>
      </c>
      <c r="E48" s="632"/>
      <c r="F48" s="220">
        <f>LongTest!F46</f>
        <v>42.8</v>
      </c>
      <c r="G48" s="220">
        <f>LongTest!G46</f>
        <v>35.599999999999994</v>
      </c>
      <c r="H48" s="216"/>
      <c r="I48" s="216"/>
      <c r="J48" s="217"/>
    </row>
    <row r="49" spans="1:10" ht="24.95" customHeight="1">
      <c r="A49" s="198"/>
      <c r="B49" s="216"/>
      <c r="C49" s="219">
        <f t="shared" si="0"/>
        <v>45769.229166666664</v>
      </c>
      <c r="D49" s="632">
        <v>1080</v>
      </c>
      <c r="E49" s="632"/>
      <c r="F49" s="220">
        <f>LongTest!F47</f>
        <v>42.8</v>
      </c>
      <c r="G49" s="220">
        <f>LongTest!G47</f>
        <v>35.599999999999994</v>
      </c>
      <c r="H49" s="216"/>
      <c r="I49" s="216"/>
      <c r="J49" s="217"/>
    </row>
    <row r="50" spans="1:10" ht="24.95" customHeight="1">
      <c r="A50" s="198"/>
      <c r="B50" s="216"/>
      <c r="C50" s="219">
        <f t="shared" si="0"/>
        <v>45769.270833333328</v>
      </c>
      <c r="D50" s="632">
        <v>1140</v>
      </c>
      <c r="E50" s="632"/>
      <c r="F50" s="220">
        <f>LongTest!F48</f>
        <v>42.8</v>
      </c>
      <c r="G50" s="220">
        <f>LongTest!G48</f>
        <v>35.599999999999994</v>
      </c>
      <c r="H50" s="216"/>
      <c r="I50" s="216"/>
      <c r="J50" s="217"/>
    </row>
    <row r="51" spans="1:10" ht="24.95" customHeight="1">
      <c r="A51" s="198"/>
      <c r="B51" s="216"/>
      <c r="C51" s="219">
        <f t="shared" si="0"/>
        <v>45769.3125</v>
      </c>
      <c r="D51" s="632">
        <v>1200</v>
      </c>
      <c r="E51" s="632"/>
      <c r="F51" s="220">
        <f>LongTest!F49</f>
        <v>42.8</v>
      </c>
      <c r="G51" s="220">
        <f>LongTest!G49</f>
        <v>35.599999999999994</v>
      </c>
      <c r="H51" s="216"/>
      <c r="I51" s="216"/>
      <c r="J51" s="217"/>
    </row>
    <row r="52" spans="1:10" ht="24.95" customHeight="1">
      <c r="A52" s="198"/>
      <c r="B52" s="216"/>
      <c r="C52" s="219">
        <f t="shared" si="0"/>
        <v>45769.354166666664</v>
      </c>
      <c r="D52" s="632">
        <v>1260</v>
      </c>
      <c r="E52" s="632"/>
      <c r="F52" s="220">
        <f>LongTest!F50</f>
        <v>42.8</v>
      </c>
      <c r="G52" s="220">
        <f>LongTest!G50</f>
        <v>35.599999999999994</v>
      </c>
      <c r="H52" s="216"/>
      <c r="I52" s="216"/>
      <c r="J52" s="217"/>
    </row>
    <row r="53" spans="1:10" ht="24.95" customHeight="1">
      <c r="A53" s="198"/>
      <c r="B53" s="216"/>
      <c r="C53" s="219">
        <f t="shared" si="0"/>
        <v>45769.395833333328</v>
      </c>
      <c r="D53" s="632">
        <v>1320</v>
      </c>
      <c r="E53" s="632"/>
      <c r="F53" s="220">
        <f>LongTest!F51</f>
        <v>42.8</v>
      </c>
      <c r="G53" s="220">
        <f>LongTest!G51</f>
        <v>35.599999999999994</v>
      </c>
      <c r="H53" s="216"/>
      <c r="I53" s="216"/>
      <c r="J53" s="217"/>
    </row>
    <row r="54" spans="1:10" ht="24.95" customHeight="1">
      <c r="A54" s="198"/>
      <c r="B54" s="216"/>
      <c r="C54" s="219">
        <f t="shared" si="0"/>
        <v>45769.4375</v>
      </c>
      <c r="D54" s="632">
        <v>1380</v>
      </c>
      <c r="E54" s="632"/>
      <c r="F54" s="220">
        <f>LongTest!F52</f>
        <v>42.8</v>
      </c>
      <c r="G54" s="220">
        <f>LongTest!G52</f>
        <v>35.599999999999994</v>
      </c>
      <c r="H54" s="216"/>
      <c r="I54" s="216"/>
      <c r="J54" s="217"/>
    </row>
    <row r="55" spans="1:10" ht="24.95" customHeight="1">
      <c r="A55" s="198"/>
      <c r="B55" s="216"/>
      <c r="C55" s="219">
        <f t="shared" si="0"/>
        <v>45769.479166666664</v>
      </c>
      <c r="D55" s="632">
        <v>1440</v>
      </c>
      <c r="E55" s="632"/>
      <c r="F55" s="220">
        <f>LongTest!F53</f>
        <v>42.8</v>
      </c>
      <c r="G55" s="220">
        <f>LongTest!G53</f>
        <v>35.599999999999994</v>
      </c>
      <c r="H55" s="216">
        <f>'w1'!D20</f>
        <v>15.6</v>
      </c>
      <c r="I55" s="216">
        <f>'w1'!E20</f>
        <v>212</v>
      </c>
      <c r="J55" s="217">
        <f>'w1'!F20</f>
        <v>7.22</v>
      </c>
    </row>
    <row r="56" spans="1:10" ht="24.95" customHeight="1">
      <c r="A56" s="223"/>
      <c r="B56" s="219"/>
      <c r="C56" s="219"/>
      <c r="D56" s="698"/>
      <c r="E56" s="699"/>
      <c r="F56" s="216"/>
      <c r="G56" s="216"/>
      <c r="H56" s="216"/>
      <c r="I56" s="216"/>
      <c r="J56" s="217"/>
    </row>
    <row r="57" spans="1:10" ht="24.95" customHeight="1" thickBot="1">
      <c r="A57" s="695" t="s">
        <v>321</v>
      </c>
      <c r="B57" s="696"/>
      <c r="C57" s="696"/>
      <c r="D57" s="696"/>
      <c r="E57" s="696"/>
      <c r="F57" s="696"/>
      <c r="G57" s="696"/>
      <c r="H57" s="696"/>
      <c r="I57" s="696"/>
      <c r="J57" s="697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A6" sqref="A6:B6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52" t="s">
        <v>327</v>
      </c>
      <c r="B1" s="653"/>
      <c r="C1" s="653"/>
      <c r="D1" s="653"/>
      <c r="E1" s="653"/>
      <c r="F1" s="653"/>
      <c r="G1" s="653"/>
      <c r="H1" s="653"/>
      <c r="I1" s="653"/>
      <c r="J1" s="654"/>
    </row>
    <row r="2" spans="1:10" ht="24.95" customHeight="1">
      <c r="A2" s="634" t="s">
        <v>292</v>
      </c>
      <c r="B2" s="635"/>
      <c r="C2" s="636" t="str">
        <f>LongTest!C2</f>
        <v>벌곡 한삼천등 8지구 소규모수도시설 지하수영향조사 및 사후관리 용역</v>
      </c>
      <c r="D2" s="637"/>
      <c r="E2" s="637"/>
      <c r="F2" s="637"/>
      <c r="G2" s="637"/>
      <c r="H2" s="637"/>
      <c r="I2" s="637"/>
      <c r="J2" s="638"/>
    </row>
    <row r="3" spans="1:10" ht="24.95" customHeight="1">
      <c r="A3" s="639" t="s">
        <v>293</v>
      </c>
      <c r="B3" s="640"/>
      <c r="C3" s="644" t="str">
        <f>LongTest!C4</f>
        <v>논산시 은진면 시묘리 352-1</v>
      </c>
      <c r="D3" s="645"/>
      <c r="E3" s="645"/>
      <c r="F3" s="645"/>
      <c r="G3" s="645"/>
      <c r="H3" s="646"/>
      <c r="I3" s="200" t="str">
        <f>Input!I54</f>
        <v>W-1</v>
      </c>
      <c r="J3" s="201" t="s">
        <v>319</v>
      </c>
    </row>
    <row r="4" spans="1:10" ht="24.95" customHeight="1">
      <c r="A4" s="639" t="s">
        <v>345</v>
      </c>
      <c r="B4" s="640"/>
      <c r="C4" s="641">
        <f>장기14!C55</f>
        <v>45769.479166666664</v>
      </c>
      <c r="D4" s="642"/>
      <c r="E4" s="642"/>
      <c r="F4" s="642"/>
      <c r="G4" s="642"/>
      <c r="H4" s="642"/>
      <c r="I4" s="642"/>
      <c r="J4" s="643"/>
    </row>
    <row r="5" spans="1:10" ht="24.95" customHeight="1">
      <c r="A5" s="639" t="s">
        <v>344</v>
      </c>
      <c r="B5" s="640"/>
      <c r="C5" s="641">
        <f>C31</f>
        <v>45769.5625</v>
      </c>
      <c r="D5" s="642"/>
      <c r="E5" s="642"/>
      <c r="F5" s="642"/>
      <c r="G5" s="642"/>
      <c r="H5" s="642"/>
      <c r="I5" s="642"/>
      <c r="J5" s="643"/>
    </row>
    <row r="6" spans="1:10" ht="24.95" customHeight="1">
      <c r="A6" s="639" t="s">
        <v>291</v>
      </c>
      <c r="B6" s="640"/>
      <c r="C6" s="647" t="str">
        <f>LongTest!C5</f>
        <v>(주)환일</v>
      </c>
      <c r="D6" s="648"/>
      <c r="E6" s="648"/>
      <c r="F6" s="648"/>
      <c r="G6" s="648"/>
      <c r="H6" s="648"/>
      <c r="I6" s="648"/>
      <c r="J6" s="649"/>
    </row>
    <row r="7" spans="1:10" ht="24.95" customHeight="1">
      <c r="A7" s="639" t="s">
        <v>296</v>
      </c>
      <c r="B7" s="640"/>
      <c r="C7" s="623" t="s">
        <v>323</v>
      </c>
      <c r="D7" s="640"/>
      <c r="E7" s="202">
        <f>LongTest!C6</f>
        <v>5</v>
      </c>
      <c r="F7" s="202" t="s">
        <v>297</v>
      </c>
      <c r="G7" s="202" t="s">
        <v>325</v>
      </c>
      <c r="H7" s="623">
        <f>Input!I50</f>
        <v>60</v>
      </c>
      <c r="I7" s="640"/>
      <c r="J7" s="203" t="s">
        <v>298</v>
      </c>
    </row>
    <row r="8" spans="1:10" ht="24.95" customHeight="1">
      <c r="A8" s="639" t="s">
        <v>299</v>
      </c>
      <c r="B8" s="640"/>
      <c r="C8" s="623" t="s">
        <v>324</v>
      </c>
      <c r="D8" s="640"/>
      <c r="E8" s="202">
        <f>LongTest!D7</f>
        <v>250</v>
      </c>
      <c r="F8" s="202" t="s">
        <v>300</v>
      </c>
      <c r="G8" s="202" t="s">
        <v>301</v>
      </c>
      <c r="H8" s="623">
        <f>LongTest!G7</f>
        <v>88</v>
      </c>
      <c r="I8" s="640"/>
      <c r="J8" s="203" t="s">
        <v>298</v>
      </c>
    </row>
    <row r="9" spans="1:10" ht="24.95" customHeight="1">
      <c r="A9" s="639" t="s">
        <v>302</v>
      </c>
      <c r="B9" s="640"/>
      <c r="C9" s="623" t="s">
        <v>322</v>
      </c>
      <c r="D9" s="640"/>
      <c r="E9" s="202">
        <f>LongTest!D8</f>
        <v>7.2</v>
      </c>
      <c r="F9" s="202" t="s">
        <v>298</v>
      </c>
      <c r="G9" s="202" t="s">
        <v>303</v>
      </c>
      <c r="H9" s="623">
        <f>LongTest!G8</f>
        <v>42.8</v>
      </c>
      <c r="I9" s="640"/>
      <c r="J9" s="203" t="s">
        <v>298</v>
      </c>
    </row>
    <row r="10" spans="1:10" ht="24.95" customHeight="1">
      <c r="A10" s="631" t="s">
        <v>304</v>
      </c>
      <c r="B10" s="216" t="s">
        <v>305</v>
      </c>
      <c r="C10" s="632" t="s">
        <v>190</v>
      </c>
      <c r="D10" s="632" t="s">
        <v>307</v>
      </c>
      <c r="E10" s="632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31"/>
      <c r="B11" s="216" t="s">
        <v>328</v>
      </c>
      <c r="C11" s="632"/>
      <c r="D11" s="632" t="s">
        <v>329</v>
      </c>
      <c r="E11" s="632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1" si="0">$C$4+D12/1440</f>
        <v>45769.479861111111</v>
      </c>
      <c r="D12" s="621">
        <v>1</v>
      </c>
      <c r="E12" s="622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45769.48055555555</v>
      </c>
      <c r="D13" s="621">
        <v>2</v>
      </c>
      <c r="E13" s="622"/>
      <c r="F13" s="207">
        <f>LongTest!F79</f>
        <v>26.595612475263646</v>
      </c>
      <c r="G13" s="207">
        <f>LongTest!G79</f>
        <v>19.395612475263647</v>
      </c>
      <c r="H13" s="621"/>
      <c r="I13" s="626"/>
      <c r="J13" s="627"/>
    </row>
    <row r="14" spans="1:10" ht="24.95" customHeight="1">
      <c r="A14" s="229"/>
      <c r="B14" s="206"/>
      <c r="C14" s="206">
        <f t="shared" si="0"/>
        <v>45769.481249999997</v>
      </c>
      <c r="D14" s="621">
        <v>3</v>
      </c>
      <c r="E14" s="622"/>
      <c r="F14" s="207">
        <f>LongTest!F80</f>
        <v>24.624486904727952</v>
      </c>
      <c r="G14" s="207">
        <f>LongTest!G80</f>
        <v>17.424486904727953</v>
      </c>
      <c r="H14" s="621"/>
      <c r="I14" s="626"/>
      <c r="J14" s="627"/>
    </row>
    <row r="15" spans="1:10" ht="24.95" customHeight="1">
      <c r="A15" s="229"/>
      <c r="B15" s="206"/>
      <c r="C15" s="206">
        <f t="shared" si="0"/>
        <v>45769.481944444444</v>
      </c>
      <c r="D15" s="621">
        <v>4</v>
      </c>
      <c r="E15" s="622"/>
      <c r="F15" s="207">
        <f>LongTest!F81</f>
        <v>22.853681691168592</v>
      </c>
      <c r="G15" s="207">
        <f>LongTest!G81</f>
        <v>15.653681691168593</v>
      </c>
      <c r="H15" s="621"/>
      <c r="I15" s="626"/>
      <c r="J15" s="627"/>
    </row>
    <row r="16" spans="1:10" ht="24.95" customHeight="1">
      <c r="A16" s="229"/>
      <c r="B16" s="206"/>
      <c r="C16" s="206">
        <f t="shared" si="0"/>
        <v>45769.482638888883</v>
      </c>
      <c r="D16" s="621">
        <v>5</v>
      </c>
      <c r="E16" s="622"/>
      <c r="F16" s="207">
        <f>LongTest!F82</f>
        <v>21.262838798538073</v>
      </c>
      <c r="G16" s="207">
        <f>LongTest!G82</f>
        <v>14.062838798538074</v>
      </c>
      <c r="H16" s="621"/>
      <c r="I16" s="626"/>
      <c r="J16" s="627"/>
    </row>
    <row r="17" spans="1:10" ht="24.95" customHeight="1">
      <c r="A17" s="229"/>
      <c r="B17" s="206"/>
      <c r="C17" s="206">
        <f t="shared" si="0"/>
        <v>45769.486111111109</v>
      </c>
      <c r="D17" s="621">
        <v>10</v>
      </c>
      <c r="E17" s="622"/>
      <c r="F17" s="207">
        <f>LongTest!F83</f>
        <v>17.396297504184883</v>
      </c>
      <c r="G17" s="207">
        <f>LongTest!G83</f>
        <v>10.196297504184882</v>
      </c>
      <c r="H17" s="621"/>
      <c r="I17" s="626"/>
      <c r="J17" s="627"/>
    </row>
    <row r="18" spans="1:10" ht="24.95" customHeight="1">
      <c r="A18" s="229"/>
      <c r="B18" s="206"/>
      <c r="C18" s="206">
        <f t="shared" si="0"/>
        <v>45769.489583333328</v>
      </c>
      <c r="D18" s="621">
        <v>15</v>
      </c>
      <c r="E18" s="622"/>
      <c r="F18" s="207">
        <f>LongTest!F84</f>
        <v>16.693218977090154</v>
      </c>
      <c r="G18" s="207">
        <f>LongTest!G84</f>
        <v>9.4932189770901534</v>
      </c>
      <c r="H18" s="621"/>
      <c r="I18" s="626"/>
      <c r="J18" s="627"/>
    </row>
    <row r="19" spans="1:10" ht="24.95" customHeight="1">
      <c r="A19" s="229"/>
      <c r="B19" s="206"/>
      <c r="C19" s="206">
        <f t="shared" si="0"/>
        <v>45769.493055555555</v>
      </c>
      <c r="D19" s="621">
        <v>20</v>
      </c>
      <c r="E19" s="622"/>
      <c r="F19" s="207">
        <f>LongTest!F85</f>
        <v>14.861723922431089</v>
      </c>
      <c r="G19" s="207">
        <f>LongTest!G85</f>
        <v>7.66172392243109</v>
      </c>
      <c r="H19" s="621"/>
      <c r="I19" s="626"/>
      <c r="J19" s="627"/>
    </row>
    <row r="20" spans="1:10" ht="24.95" customHeight="1">
      <c r="A20" s="229"/>
      <c r="B20" s="206"/>
      <c r="C20" s="206">
        <f t="shared" si="0"/>
        <v>45769.496527777774</v>
      </c>
      <c r="D20" s="621">
        <v>25</v>
      </c>
      <c r="E20" s="622"/>
      <c r="F20" s="207">
        <f>LongTest!F86</f>
        <v>14.083082878888396</v>
      </c>
      <c r="G20" s="207">
        <f>LongTest!G86</f>
        <v>6.8830828788883958</v>
      </c>
      <c r="H20" s="621"/>
      <c r="I20" s="626"/>
      <c r="J20" s="627"/>
    </row>
    <row r="21" spans="1:10" ht="24.95" customHeight="1">
      <c r="A21" s="229"/>
      <c r="B21" s="206"/>
      <c r="C21" s="206">
        <f t="shared" si="0"/>
        <v>45769.5</v>
      </c>
      <c r="D21" s="621">
        <v>30</v>
      </c>
      <c r="E21" s="622"/>
      <c r="F21" s="207">
        <f>LongTest!F87</f>
        <v>13.383573096250867</v>
      </c>
      <c r="G21" s="207">
        <f>LongTest!G87</f>
        <v>6.1835730962508677</v>
      </c>
      <c r="H21" s="621"/>
      <c r="I21" s="626"/>
      <c r="J21" s="627"/>
    </row>
    <row r="22" spans="1:10" ht="24.95" customHeight="1">
      <c r="A22" s="229"/>
      <c r="B22" s="206"/>
      <c r="C22" s="206">
        <f t="shared" si="0"/>
        <v>45769.503472222219</v>
      </c>
      <c r="D22" s="621">
        <v>35</v>
      </c>
      <c r="E22" s="622"/>
      <c r="F22" s="207">
        <f>LongTest!F88</f>
        <v>13.166573556070519</v>
      </c>
      <c r="G22" s="207">
        <f>LongTest!G88</f>
        <v>5.9665735560705189</v>
      </c>
      <c r="H22" s="621"/>
      <c r="I22" s="626"/>
      <c r="J22" s="627"/>
    </row>
    <row r="23" spans="1:10" ht="24.95" customHeight="1">
      <c r="A23" s="229"/>
      <c r="B23" s="206"/>
      <c r="C23" s="206">
        <f t="shared" si="0"/>
        <v>45769.506944444445</v>
      </c>
      <c r="D23" s="621">
        <v>40</v>
      </c>
      <c r="E23" s="622"/>
      <c r="F23" s="207">
        <f>LongTest!F89</f>
        <v>12.957189160031835</v>
      </c>
      <c r="G23" s="207">
        <f>LongTest!G89</f>
        <v>5.7571891600318352</v>
      </c>
      <c r="H23" s="621"/>
      <c r="I23" s="626"/>
      <c r="J23" s="627"/>
    </row>
    <row r="24" spans="1:10" ht="24.95" customHeight="1">
      <c r="A24" s="229"/>
      <c r="B24" s="206"/>
      <c r="C24" s="206">
        <f t="shared" si="0"/>
        <v>45769.510416666664</v>
      </c>
      <c r="D24" s="621">
        <v>45</v>
      </c>
      <c r="E24" s="622"/>
      <c r="F24" s="207">
        <f>LongTest!F90</f>
        <v>12.755152670608648</v>
      </c>
      <c r="G24" s="207">
        <f>LongTest!G90</f>
        <v>5.5551526706086483</v>
      </c>
      <c r="H24" s="621"/>
      <c r="I24" s="626"/>
      <c r="J24" s="627"/>
    </row>
    <row r="25" spans="1:10" ht="24.95" customHeight="1">
      <c r="A25" s="229"/>
      <c r="B25" s="206"/>
      <c r="C25" s="206">
        <f t="shared" si="0"/>
        <v>45769.513888888883</v>
      </c>
      <c r="D25" s="621">
        <v>50</v>
      </c>
      <c r="E25" s="622"/>
      <c r="F25" s="207">
        <f>LongTest!F91</f>
        <v>12.560206228415769</v>
      </c>
      <c r="G25" s="207">
        <f>LongTest!G91</f>
        <v>5.3602062284157688</v>
      </c>
      <c r="H25" s="621"/>
      <c r="I25" s="626"/>
      <c r="J25" s="627"/>
    </row>
    <row r="26" spans="1:10" ht="24.95" customHeight="1">
      <c r="A26" s="229"/>
      <c r="B26" s="206"/>
      <c r="C26" s="206">
        <f t="shared" si="0"/>
        <v>45769.517361111109</v>
      </c>
      <c r="D26" s="621">
        <v>55</v>
      </c>
      <c r="E26" s="622"/>
      <c r="F26" s="207">
        <f>LongTest!F92</f>
        <v>12.372101023102793</v>
      </c>
      <c r="G26" s="207">
        <f>LongTest!G92</f>
        <v>5.172101023102794</v>
      </c>
      <c r="H26" s="621"/>
      <c r="I26" s="626"/>
      <c r="J26" s="627"/>
    </row>
    <row r="27" spans="1:10" ht="24.95" customHeight="1">
      <c r="A27" s="229"/>
      <c r="B27" s="206"/>
      <c r="C27" s="206">
        <f t="shared" si="0"/>
        <v>45769.520833333328</v>
      </c>
      <c r="D27" s="621">
        <v>60</v>
      </c>
      <c r="E27" s="622"/>
      <c r="F27" s="207">
        <f>LongTest!F93</f>
        <v>12.190596975797185</v>
      </c>
      <c r="G27" s="207">
        <f>LongTest!G93</f>
        <v>4.9905969757971835</v>
      </c>
      <c r="H27" s="621"/>
      <c r="I27" s="626"/>
      <c r="J27" s="627"/>
    </row>
    <row r="28" spans="1:10" ht="24.95" customHeight="1">
      <c r="A28" s="229"/>
      <c r="B28" s="206"/>
      <c r="C28" s="206">
        <f t="shared" si="0"/>
        <v>45769.53125</v>
      </c>
      <c r="D28" s="621">
        <v>75</v>
      </c>
      <c r="E28" s="622"/>
      <c r="F28" s="207">
        <f>LongTest!F94</f>
        <v>12.015462432691349</v>
      </c>
      <c r="G28" s="207">
        <f>LongTest!G94</f>
        <v>4.8154624326913487</v>
      </c>
      <c r="H28" s="621"/>
      <c r="I28" s="626"/>
      <c r="J28" s="627"/>
    </row>
    <row r="29" spans="1:10" ht="24.95" customHeight="1">
      <c r="A29" s="229"/>
      <c r="B29" s="206"/>
      <c r="C29" s="206">
        <f t="shared" si="0"/>
        <v>45769.541666666664</v>
      </c>
      <c r="D29" s="621">
        <v>90</v>
      </c>
      <c r="E29" s="622"/>
      <c r="F29" s="207">
        <f>LongTest!F95</f>
        <v>11.846473869382649</v>
      </c>
      <c r="G29" s="207">
        <f>LongTest!G95</f>
        <v>4.6464738693826479</v>
      </c>
      <c r="H29" s="621"/>
      <c r="I29" s="626"/>
      <c r="J29" s="627"/>
    </row>
    <row r="30" spans="1:10" ht="24.95" customHeight="1">
      <c r="A30" s="229"/>
      <c r="B30" s="206"/>
      <c r="C30" s="206">
        <f t="shared" si="0"/>
        <v>45769.552083333328</v>
      </c>
      <c r="D30" s="621">
        <v>105</v>
      </c>
      <c r="E30" s="622"/>
      <c r="F30" s="207">
        <f>LongTest!F96</f>
        <v>11.683415605588959</v>
      </c>
      <c r="G30" s="207">
        <f>LongTest!G96</f>
        <v>4.4834156055889576</v>
      </c>
      <c r="H30" s="621"/>
      <c r="I30" s="626"/>
      <c r="J30" s="627"/>
    </row>
    <row r="31" spans="1:10" ht="24.95" customHeight="1">
      <c r="A31" s="229"/>
      <c r="B31" s="206"/>
      <c r="C31" s="206">
        <f t="shared" si="0"/>
        <v>45769.5625</v>
      </c>
      <c r="D31" s="621">
        <v>120</v>
      </c>
      <c r="E31" s="622"/>
      <c r="F31" s="207">
        <f>LongTest!F97</f>
        <v>11.227777756833936</v>
      </c>
      <c r="G31" s="207">
        <f>LongTest!G97</f>
        <v>4.0277777568339355</v>
      </c>
      <c r="H31" s="621" t="s">
        <v>326</v>
      </c>
      <c r="I31" s="626"/>
      <c r="J31" s="627"/>
    </row>
    <row r="32" spans="1:10" ht="24.95" customHeight="1">
      <c r="A32" s="229"/>
      <c r="B32" s="206"/>
      <c r="C32" s="206"/>
      <c r="D32" s="621"/>
      <c r="E32" s="622"/>
      <c r="F32" s="207"/>
      <c r="G32" s="207"/>
      <c r="H32" s="621"/>
      <c r="I32" s="626"/>
      <c r="J32" s="627"/>
    </row>
    <row r="33" spans="1:10" ht="24.95" customHeight="1">
      <c r="A33" s="229"/>
      <c r="B33" s="206"/>
      <c r="C33" s="206"/>
      <c r="D33" s="621"/>
      <c r="E33" s="622"/>
      <c r="F33" s="207"/>
      <c r="G33" s="207"/>
      <c r="H33" s="621"/>
      <c r="I33" s="626"/>
      <c r="J33" s="627"/>
    </row>
    <row r="34" spans="1:10" ht="24.95" customHeight="1">
      <c r="A34" s="229"/>
      <c r="B34" s="206"/>
      <c r="C34" s="206"/>
      <c r="D34" s="621"/>
      <c r="E34" s="622"/>
      <c r="F34" s="207"/>
      <c r="G34" s="207"/>
      <c r="H34" s="621"/>
      <c r="I34" s="626"/>
      <c r="J34" s="627"/>
    </row>
    <row r="35" spans="1:10" ht="24.95" customHeight="1" thickBot="1">
      <c r="A35" s="233"/>
      <c r="B35" s="234"/>
      <c r="C35" s="234"/>
      <c r="D35" s="628"/>
      <c r="E35" s="629"/>
      <c r="F35" s="235"/>
      <c r="G35" s="235"/>
      <c r="H35" s="628"/>
      <c r="I35" s="650"/>
      <c r="J35" s="651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SUM(C31:C74)</f>
        <v>44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 t="s">
        <v>201</v>
      </c>
      <c r="B75" s="50"/>
      <c r="C7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8" r:id="rId4" name="CommandButton4">
          <controlPr defaultSize="0" autoLine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4" name="CommandButton4"/>
      </mc:Fallback>
    </mc:AlternateContent>
    <mc:AlternateContent xmlns:mc="http://schemas.openxmlformats.org/markup-compatibility/2006">
      <mc:Choice Requires="x14">
        <control shapeId="26627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6" name="CommandButton3"/>
      </mc:Fallback>
    </mc:AlternateContent>
    <mc:AlternateContent xmlns:mc="http://schemas.openxmlformats.org/markup-compatibility/2006">
      <mc:Choice Requires="x14">
        <control shapeId="26626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8" name="CommandButton2"/>
      </mc:Fallback>
    </mc:AlternateContent>
    <mc:AlternateContent xmlns:mc="http://schemas.openxmlformats.org/markup-compatibility/2006">
      <mc:Choice Requires="x14">
        <control shapeId="26625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10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7"/>
  <sheetViews>
    <sheetView tabSelected="1" topLeftCell="A13" zoomScaleNormal="100" workbookViewId="0">
      <selection activeCell="E38" sqref="E38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20"/>
      <c r="M6" s="620"/>
      <c r="N6" s="620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5">
      <c r="A17" s="49">
        <v>0</v>
      </c>
      <c r="B17" s="49"/>
      <c r="C17" s="50"/>
    </row>
    <row r="18" spans="1:5">
      <c r="A18" s="49">
        <f>Step.Select!A18</f>
        <v>0.125</v>
      </c>
      <c r="B18" s="49"/>
      <c r="C18" s="50"/>
    </row>
    <row r="19" spans="1:5">
      <c r="A19" s="49">
        <f>Step.Select!A19</f>
        <v>0.125</v>
      </c>
      <c r="B19" s="49"/>
      <c r="C19" s="50"/>
    </row>
    <row r="20" spans="1:5">
      <c r="A20" s="49">
        <v>0</v>
      </c>
      <c r="B20" s="49"/>
      <c r="C20" s="50"/>
    </row>
    <row r="21" spans="1:5">
      <c r="A21" s="49">
        <v>0</v>
      </c>
      <c r="B21" s="49"/>
      <c r="C21" s="50"/>
    </row>
    <row r="22" spans="1:5">
      <c r="A22" s="49">
        <v>1</v>
      </c>
      <c r="B22" s="49"/>
      <c r="C22" s="50"/>
    </row>
    <row r="23" spans="1:5">
      <c r="A23" s="49">
        <v>2</v>
      </c>
      <c r="B23" s="49"/>
      <c r="C23" s="50"/>
    </row>
    <row r="24" spans="1:5">
      <c r="A24" s="51">
        <v>0</v>
      </c>
      <c r="B24" s="51">
        <f>Input!M51</f>
        <v>150</v>
      </c>
      <c r="C24" s="50"/>
    </row>
    <row r="25" spans="1:5">
      <c r="A25" s="51">
        <v>1440</v>
      </c>
      <c r="B25" s="51">
        <v>0</v>
      </c>
      <c r="C25" s="50"/>
    </row>
    <row r="26" spans="1:5">
      <c r="A26" s="49" t="s">
        <v>200</v>
      </c>
      <c r="B26" s="49"/>
      <c r="C26" s="50"/>
    </row>
    <row r="27" spans="1:5">
      <c r="A27" s="49" t="str">
        <f>A15</f>
        <v>W-1</v>
      </c>
      <c r="B27" s="49"/>
      <c r="C27" s="50"/>
    </row>
    <row r="28" spans="1:5">
      <c r="A28" s="52">
        <f>SkinFactor!C8</f>
        <v>2.1</v>
      </c>
      <c r="B28" s="49"/>
      <c r="C28" s="50"/>
    </row>
    <row r="29" spans="1:5">
      <c r="A29" s="49">
        <v>0</v>
      </c>
      <c r="B29" s="49"/>
      <c r="C29" s="50"/>
    </row>
    <row r="30" spans="1:5">
      <c r="A30" s="49">
        <v>0</v>
      </c>
      <c r="B30" s="49"/>
      <c r="C30" s="50"/>
    </row>
    <row r="31" spans="1:5">
      <c r="A31" s="51">
        <f>SUM(C32:C53)</f>
        <v>22</v>
      </c>
      <c r="B31" s="49"/>
      <c r="C31" s="50"/>
    </row>
    <row r="32" spans="1:5">
      <c r="A32" s="49">
        <v>1440</v>
      </c>
      <c r="B32" s="50">
        <f>LongTest!G77</f>
        <v>35.599999999999994</v>
      </c>
      <c r="C32" s="51">
        <v>1</v>
      </c>
      <c r="D32" s="524"/>
      <c r="E32" s="525"/>
    </row>
    <row r="33" spans="1:5">
      <c r="A33" s="49">
        <v>1441</v>
      </c>
      <c r="B33" s="50">
        <f>LongTest!G78</f>
        <v>21.589719418855754</v>
      </c>
      <c r="C33" s="51">
        <v>1</v>
      </c>
      <c r="D33" s="524"/>
      <c r="E33" s="525"/>
    </row>
    <row r="34" spans="1:5">
      <c r="A34" s="49">
        <v>1442</v>
      </c>
      <c r="B34" s="50">
        <f>LongTest!G79</f>
        <v>19.395612475263647</v>
      </c>
      <c r="C34" s="51">
        <v>1</v>
      </c>
      <c r="D34" s="524"/>
      <c r="E34" s="525"/>
    </row>
    <row r="35" spans="1:5">
      <c r="A35" s="49">
        <v>1443</v>
      </c>
      <c r="B35" s="50">
        <f>LongTest!G80</f>
        <v>17.424486904727953</v>
      </c>
      <c r="C35" s="51">
        <v>1</v>
      </c>
      <c r="D35" s="524"/>
      <c r="E35" s="525"/>
    </row>
    <row r="36" spans="1:5">
      <c r="A36" s="49">
        <v>1444</v>
      </c>
      <c r="B36" s="50">
        <f>LongTest!G81</f>
        <v>15.653681691168593</v>
      </c>
      <c r="C36" s="51">
        <v>1</v>
      </c>
      <c r="D36" s="524"/>
      <c r="E36" s="525"/>
    </row>
    <row r="37" spans="1:5">
      <c r="A37" s="49">
        <v>1445</v>
      </c>
      <c r="B37" s="50">
        <f>LongTest!G82</f>
        <v>14.062838798538074</v>
      </c>
      <c r="C37" s="51">
        <v>1</v>
      </c>
      <c r="D37" s="524"/>
      <c r="E37" s="525"/>
    </row>
    <row r="38" spans="1:5">
      <c r="A38" s="49">
        <v>1450</v>
      </c>
      <c r="B38" s="50">
        <f>LongTest!G83</f>
        <v>10.196297504184882</v>
      </c>
      <c r="C38" s="51">
        <v>1</v>
      </c>
      <c r="D38" s="524"/>
      <c r="E38" s="525"/>
    </row>
    <row r="39" spans="1:5">
      <c r="A39" s="49">
        <v>1455</v>
      </c>
      <c r="B39" s="50">
        <f>LongTest!G84</f>
        <v>9.4932189770901534</v>
      </c>
      <c r="C39" s="51">
        <v>1</v>
      </c>
      <c r="D39" s="524"/>
      <c r="E39" s="525"/>
    </row>
    <row r="40" spans="1:5">
      <c r="A40" s="49">
        <v>1460</v>
      </c>
      <c r="B40" s="50">
        <f>LongTest!G85</f>
        <v>7.66172392243109</v>
      </c>
      <c r="C40" s="51">
        <v>1</v>
      </c>
      <c r="D40" s="524"/>
      <c r="E40" s="525"/>
    </row>
    <row r="41" spans="1:5">
      <c r="A41" s="49">
        <v>1465</v>
      </c>
      <c r="B41" s="50">
        <f>LongTest!G86</f>
        <v>6.8830828788883958</v>
      </c>
      <c r="C41" s="51">
        <v>1</v>
      </c>
      <c r="D41" s="524"/>
      <c r="E41" s="525"/>
    </row>
    <row r="42" spans="1:5">
      <c r="A42" s="49">
        <v>1470</v>
      </c>
      <c r="B42" s="50">
        <f>LongTest!G87</f>
        <v>6.1835730962508677</v>
      </c>
      <c r="C42" s="51">
        <v>1</v>
      </c>
      <c r="D42" s="524"/>
      <c r="E42" s="525"/>
    </row>
    <row r="43" spans="1:5">
      <c r="A43" s="49">
        <v>1475</v>
      </c>
      <c r="B43" s="50">
        <f>LongTest!G88</f>
        <v>5.9665735560705189</v>
      </c>
      <c r="C43" s="51">
        <v>1</v>
      </c>
      <c r="D43" s="524"/>
      <c r="E43" s="525"/>
    </row>
    <row r="44" spans="1:5">
      <c r="A44" s="49">
        <v>1480</v>
      </c>
      <c r="B44" s="50">
        <f>LongTest!G89</f>
        <v>5.7571891600318352</v>
      </c>
      <c r="C44" s="51">
        <v>1</v>
      </c>
      <c r="D44" s="524"/>
      <c r="E44" s="525"/>
    </row>
    <row r="45" spans="1:5">
      <c r="A45" s="49">
        <v>1485</v>
      </c>
      <c r="B45" s="50">
        <f>LongTest!G90</f>
        <v>5.5551526706086483</v>
      </c>
      <c r="C45" s="51">
        <v>1</v>
      </c>
      <c r="D45" s="524"/>
      <c r="E45" s="525"/>
    </row>
    <row r="46" spans="1:5">
      <c r="A46" s="49">
        <v>1490</v>
      </c>
      <c r="B46" s="50">
        <f>LongTest!G91</f>
        <v>5.3602062284157688</v>
      </c>
      <c r="C46" s="51">
        <v>1</v>
      </c>
      <c r="D46" s="524"/>
      <c r="E46" s="525"/>
    </row>
    <row r="47" spans="1:5">
      <c r="A47" s="49">
        <v>1495</v>
      </c>
      <c r="B47" s="50">
        <f>LongTest!G92</f>
        <v>5.172101023102794</v>
      </c>
      <c r="C47" s="51">
        <v>1</v>
      </c>
      <c r="D47" s="524"/>
      <c r="E47" s="525"/>
    </row>
    <row r="48" spans="1:5">
      <c r="A48" s="49">
        <v>1500</v>
      </c>
      <c r="B48" s="50">
        <f>LongTest!G93</f>
        <v>4.9905969757971835</v>
      </c>
      <c r="C48" s="51">
        <v>1</v>
      </c>
      <c r="D48" s="524"/>
      <c r="E48" s="525"/>
    </row>
    <row r="49" spans="1:5">
      <c r="A49" s="49">
        <v>1515</v>
      </c>
      <c r="B49" s="50">
        <f>LongTest!G94</f>
        <v>4.8154624326913487</v>
      </c>
      <c r="C49" s="51">
        <v>1</v>
      </c>
      <c r="D49" s="524"/>
      <c r="E49" s="525"/>
    </row>
    <row r="50" spans="1:5">
      <c r="A50" s="49">
        <v>1530</v>
      </c>
      <c r="B50" s="50">
        <f>LongTest!G95</f>
        <v>4.6464738693826479</v>
      </c>
      <c r="C50" s="51">
        <v>1</v>
      </c>
      <c r="D50" s="524"/>
      <c r="E50" s="525"/>
    </row>
    <row r="51" spans="1:5">
      <c r="A51" s="49">
        <v>1545</v>
      </c>
      <c r="B51" s="50">
        <f>LongTest!G96</f>
        <v>4.4834156055889576</v>
      </c>
      <c r="C51" s="51">
        <v>1</v>
      </c>
      <c r="D51" s="524"/>
      <c r="E51" s="525"/>
    </row>
    <row r="52" spans="1:5">
      <c r="A52" s="49">
        <v>1560</v>
      </c>
      <c r="B52" s="50">
        <f>LongTest!G97</f>
        <v>4.0277777568339355</v>
      </c>
      <c r="C52" s="51">
        <v>1</v>
      </c>
      <c r="D52" s="524"/>
      <c r="E52" s="525"/>
    </row>
    <row r="53" spans="1:5">
      <c r="A53" s="49">
        <v>1620</v>
      </c>
      <c r="B53" s="50">
        <f>LongTest!G98</f>
        <v>3.8864313366369263</v>
      </c>
      <c r="C53" s="51">
        <v>1</v>
      </c>
      <c r="D53" s="524"/>
      <c r="E53" s="525"/>
    </row>
    <row r="54" spans="1:5">
      <c r="A54" s="49" t="s">
        <v>202</v>
      </c>
      <c r="B54" s="50"/>
      <c r="C54" s="50"/>
      <c r="D54" s="524"/>
    </row>
    <row r="55" spans="1:5">
      <c r="D55" s="524"/>
    </row>
    <row r="56" spans="1:5">
      <c r="D56" s="524"/>
    </row>
    <row r="57" spans="1:5">
      <c r="D57" s="52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54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4" name="CommandButton_Print_Long"/>
      </mc:Fallback>
    </mc:AlternateContent>
    <mc:AlternateContent xmlns:mc="http://schemas.openxmlformats.org/markup-compatibility/2006">
      <mc:Choice Requires="x14">
        <control shapeId="27653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6" name="CommandButton_Print_LS"/>
      </mc:Fallback>
    </mc:AlternateContent>
    <mc:AlternateContent xmlns:mc="http://schemas.openxmlformats.org/markup-compatibility/2006">
      <mc:Choice Requires="x14">
        <control shapeId="27652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8" name="CommandButton4"/>
      </mc:Fallback>
    </mc:AlternateContent>
    <mc:AlternateContent xmlns:mc="http://schemas.openxmlformats.org/markup-compatibility/2006">
      <mc:Choice Requires="x14">
        <control shapeId="27651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10" name="CommandButton3"/>
      </mc:Fallback>
    </mc:AlternateContent>
    <mc:AlternateContent xmlns:mc="http://schemas.openxmlformats.org/markup-compatibility/2006">
      <mc:Choice Requires="x14">
        <control shapeId="27650" r:id="rId12" name="CommandButton2">
          <controlPr defaultSize="0" autoLine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12" name="CommandButton2"/>
      </mc:Fallback>
    </mc:AlternateContent>
    <mc:AlternateContent xmlns:mc="http://schemas.openxmlformats.org/markup-compatibility/2006">
      <mc:Choice Requires="x14">
        <control shapeId="27649" r:id="rId14" name="CommandButton1">
          <controlPr defaultSize="0" autoLine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1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M13" sqref="M13"/>
    </sheetView>
  </sheetViews>
  <sheetFormatPr defaultColWidth="10" defaultRowHeight="16.5"/>
  <cols>
    <col min="1" max="1" width="10" style="195"/>
    <col min="2" max="2" width="18.75" style="195" customWidth="1"/>
    <col min="3" max="4" width="16.375" style="195" customWidth="1"/>
    <col min="5" max="5" width="13.375" style="194" customWidth="1"/>
    <col min="6" max="6" width="13.875" style="194" customWidth="1"/>
    <col min="7" max="7" width="10" style="195"/>
    <col min="8" max="8" width="11.625" style="195" customWidth="1"/>
    <col min="9" max="9" width="10.625" style="195" customWidth="1"/>
    <col min="10" max="10" width="11.375" style="195" customWidth="1"/>
    <col min="11" max="11" width="10" style="195"/>
    <col min="12" max="12" width="11.25" style="195" customWidth="1"/>
    <col min="13" max="15" width="10" style="195"/>
    <col min="16" max="16" width="11.25" style="195" customWidth="1"/>
    <col min="17" max="16384" width="10" style="195"/>
  </cols>
  <sheetData>
    <row r="1" spans="2:17" s="48" customFormat="1" ht="18" customHeight="1">
      <c r="E1" s="4"/>
      <c r="F1" s="4"/>
    </row>
    <row r="2" spans="2:17" s="48" customFormat="1" ht="18" customHeight="1">
      <c r="B2" s="167" t="s">
        <v>233</v>
      </c>
      <c r="E2" s="4"/>
      <c r="F2" s="4"/>
    </row>
    <row r="3" spans="2:17" s="48" customFormat="1" ht="18" customHeight="1">
      <c r="E3" s="4"/>
      <c r="F3" s="4"/>
    </row>
    <row r="4" spans="2:17" s="170" customFormat="1" ht="26.25" customHeight="1">
      <c r="B4" s="168" t="s">
        <v>232</v>
      </c>
      <c r="C4" s="169" t="str">
        <f>Input!$I$54</f>
        <v>W-1</v>
      </c>
      <c r="E4" s="169"/>
      <c r="F4" s="169"/>
    </row>
    <row r="5" spans="2:17" s="48" customFormat="1" ht="18" customHeight="1" thickBot="1">
      <c r="E5" s="4"/>
      <c r="F5" s="4"/>
    </row>
    <row r="6" spans="2:17" s="48" customFormat="1" ht="26.1" customHeight="1">
      <c r="B6" s="171" t="s">
        <v>203</v>
      </c>
      <c r="C6" s="172">
        <f>LongTest!C10</f>
        <v>45768.479166666664</v>
      </c>
      <c r="D6" s="173"/>
      <c r="E6" s="4"/>
      <c r="F6" s="4"/>
    </row>
    <row r="7" spans="2:17" s="48" customFormat="1" ht="26.1" customHeight="1">
      <c r="B7" s="174" t="s">
        <v>204</v>
      </c>
      <c r="C7" s="175">
        <v>15.7</v>
      </c>
      <c r="D7" s="173"/>
      <c r="E7" s="4"/>
      <c r="F7" s="4"/>
    </row>
    <row r="8" spans="2:17" s="48" customFormat="1" ht="26.1" customHeight="1">
      <c r="B8" s="174" t="s">
        <v>205</v>
      </c>
      <c r="C8" s="175">
        <v>211</v>
      </c>
      <c r="D8" s="173"/>
      <c r="E8" s="4"/>
      <c r="F8" s="4"/>
    </row>
    <row r="9" spans="2:17" s="48" customFormat="1" ht="26.1" customHeight="1" thickBot="1">
      <c r="B9" s="176" t="s">
        <v>206</v>
      </c>
      <c r="C9" s="177">
        <v>7.3</v>
      </c>
      <c r="D9" s="173"/>
      <c r="E9" s="4"/>
      <c r="F9" s="4"/>
    </row>
    <row r="10" spans="2:17" s="48" customFormat="1" ht="26.1" customHeight="1">
      <c r="B10" s="4"/>
      <c r="C10" s="178"/>
      <c r="D10" s="173"/>
      <c r="E10" s="4"/>
      <c r="F10" s="4"/>
      <c r="L10"/>
      <c r="M10"/>
      <c r="N10"/>
      <c r="O10"/>
      <c r="P10"/>
      <c r="Q10"/>
    </row>
    <row r="11" spans="2:17" s="48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702" t="s">
        <v>207</v>
      </c>
      <c r="C12" s="703"/>
      <c r="D12" s="702" t="str">
        <f>C4</f>
        <v>W-1</v>
      </c>
      <c r="E12" s="704"/>
      <c r="F12" s="703"/>
      <c r="H12" s="705" t="str">
        <f>C4</f>
        <v>W-1</v>
      </c>
      <c r="I12" s="706"/>
      <c r="J12" s="707"/>
      <c r="L12"/>
      <c r="M12"/>
      <c r="N12"/>
      <c r="O12"/>
      <c r="P12"/>
      <c r="Q12"/>
    </row>
    <row r="13" spans="2:17" s="4" customFormat="1" ht="26.1" customHeight="1">
      <c r="B13" s="528" t="s">
        <v>203</v>
      </c>
      <c r="C13" s="529" t="s">
        <v>208</v>
      </c>
      <c r="D13" s="530" t="s">
        <v>209</v>
      </c>
      <c r="E13" s="531" t="s">
        <v>210</v>
      </c>
      <c r="F13" s="529" t="s">
        <v>211</v>
      </c>
      <c r="H13" s="179" t="s">
        <v>209</v>
      </c>
      <c r="I13" s="181" t="s">
        <v>210</v>
      </c>
      <c r="J13" s="180" t="s">
        <v>211</v>
      </c>
      <c r="L13"/>
      <c r="M13"/>
      <c r="N13"/>
      <c r="O13"/>
      <c r="P13"/>
      <c r="Q13"/>
    </row>
    <row r="14" spans="2:17" s="4" customFormat="1" ht="26.1" customHeight="1">
      <c r="B14" s="182">
        <f>$C$6+C14/1440</f>
        <v>45768.482638888883</v>
      </c>
      <c r="C14" s="183">
        <v>5</v>
      </c>
      <c r="D14" s="184">
        <f t="shared" ref="D14:D20" si="0">baseTemp+H14</f>
        <v>15.899999999999999</v>
      </c>
      <c r="E14" s="185">
        <f>$C$8+I14</f>
        <v>214</v>
      </c>
      <c r="F14" s="186">
        <f>$C$9+J14</f>
        <v>7.38</v>
      </c>
      <c r="H14" s="179">
        <v>0.2</v>
      </c>
      <c r="I14" s="181">
        <v>3</v>
      </c>
      <c r="J14" s="180">
        <v>0.08</v>
      </c>
      <c r="L14"/>
      <c r="M14"/>
      <c r="N14"/>
      <c r="O14"/>
      <c r="P14"/>
      <c r="Q14"/>
    </row>
    <row r="15" spans="2:17" s="4" customFormat="1" ht="26.1" customHeight="1">
      <c r="B15" s="187">
        <f t="shared" ref="B15:B20" si="1">$C$6+C15/1440</f>
        <v>45768.5</v>
      </c>
      <c r="C15" s="180">
        <v>30</v>
      </c>
      <c r="D15" s="188">
        <f t="shared" si="0"/>
        <v>16</v>
      </c>
      <c r="E15" s="189">
        <f t="shared" ref="E15:E20" si="2">$C$8+I15</f>
        <v>213</v>
      </c>
      <c r="F15" s="190">
        <f t="shared" ref="F15:F20" si="3">$C$9+J15</f>
        <v>7.37</v>
      </c>
      <c r="H15" s="179">
        <v>0.3</v>
      </c>
      <c r="I15" s="181">
        <v>2</v>
      </c>
      <c r="J15" s="180">
        <v>7.0000000000000007E-2</v>
      </c>
      <c r="L15"/>
      <c r="M15"/>
      <c r="N15"/>
      <c r="O15"/>
      <c r="P15"/>
      <c r="Q15"/>
    </row>
    <row r="16" spans="2:17" s="4" customFormat="1" ht="26.1" customHeight="1">
      <c r="B16" s="187">
        <f t="shared" si="1"/>
        <v>45768.520833333328</v>
      </c>
      <c r="C16" s="180">
        <v>60</v>
      </c>
      <c r="D16" s="188">
        <f t="shared" si="0"/>
        <v>15.5</v>
      </c>
      <c r="E16" s="189">
        <f t="shared" si="2"/>
        <v>212</v>
      </c>
      <c r="F16" s="190">
        <f t="shared" si="3"/>
        <v>7.39</v>
      </c>
      <c r="H16" s="179">
        <v>-0.2</v>
      </c>
      <c r="I16" s="181">
        <v>1</v>
      </c>
      <c r="J16" s="180">
        <v>0.09</v>
      </c>
      <c r="L16"/>
      <c r="M16"/>
      <c r="N16"/>
      <c r="O16"/>
      <c r="P16"/>
      <c r="Q16"/>
    </row>
    <row r="17" spans="2:17" s="4" customFormat="1" ht="26.1" customHeight="1">
      <c r="B17" s="187">
        <f t="shared" si="1"/>
        <v>45768.5625</v>
      </c>
      <c r="C17" s="180">
        <v>120</v>
      </c>
      <c r="D17" s="188">
        <f t="shared" si="0"/>
        <v>15.799999999999999</v>
      </c>
      <c r="E17" s="189">
        <f t="shared" si="2"/>
        <v>209</v>
      </c>
      <c r="F17" s="190">
        <f t="shared" si="3"/>
        <v>7.2</v>
      </c>
      <c r="H17" s="179">
        <v>0.1</v>
      </c>
      <c r="I17" s="181">
        <v>-2</v>
      </c>
      <c r="J17" s="180">
        <v>-0.1</v>
      </c>
      <c r="L17"/>
      <c r="M17"/>
      <c r="N17"/>
      <c r="O17"/>
      <c r="P17"/>
      <c r="Q17"/>
    </row>
    <row r="18" spans="2:17" s="4" customFormat="1" ht="26.1" customHeight="1">
      <c r="B18" s="187">
        <f t="shared" si="1"/>
        <v>45768.645833333328</v>
      </c>
      <c r="C18" s="180">
        <v>240</v>
      </c>
      <c r="D18" s="188">
        <f t="shared" si="0"/>
        <v>15.799999999999999</v>
      </c>
      <c r="E18" s="189">
        <f t="shared" si="2"/>
        <v>213</v>
      </c>
      <c r="F18" s="190">
        <f t="shared" si="3"/>
        <v>7.43</v>
      </c>
      <c r="H18" s="179">
        <v>0.1</v>
      </c>
      <c r="I18" s="181">
        <v>2</v>
      </c>
      <c r="J18" s="180">
        <v>0.13</v>
      </c>
      <c r="L18"/>
      <c r="M18"/>
      <c r="N18"/>
      <c r="O18"/>
      <c r="P18"/>
      <c r="Q18"/>
    </row>
    <row r="19" spans="2:17" s="4" customFormat="1" ht="26.1" customHeight="1">
      <c r="B19" s="187">
        <f t="shared" si="1"/>
        <v>45768.8125</v>
      </c>
      <c r="C19" s="180">
        <v>480</v>
      </c>
      <c r="D19" s="188">
        <f t="shared" si="0"/>
        <v>15.899999999999999</v>
      </c>
      <c r="E19" s="189">
        <f t="shared" si="2"/>
        <v>213</v>
      </c>
      <c r="F19" s="190">
        <f t="shared" si="3"/>
        <v>7.2</v>
      </c>
      <c r="H19" s="179">
        <v>0.2</v>
      </c>
      <c r="I19" s="181">
        <v>2</v>
      </c>
      <c r="J19" s="180">
        <v>-0.1</v>
      </c>
      <c r="L19"/>
      <c r="M19"/>
      <c r="N19"/>
      <c r="O19"/>
      <c r="P19"/>
      <c r="Q19"/>
    </row>
    <row r="20" spans="2:17" s="48" customFormat="1" ht="26.1" customHeight="1">
      <c r="B20" s="187">
        <f t="shared" si="1"/>
        <v>45769.479166666664</v>
      </c>
      <c r="C20" s="180">
        <v>1440</v>
      </c>
      <c r="D20" s="188">
        <f t="shared" si="0"/>
        <v>15.6</v>
      </c>
      <c r="E20" s="189">
        <f t="shared" si="2"/>
        <v>212</v>
      </c>
      <c r="F20" s="190">
        <f t="shared" si="3"/>
        <v>7.22</v>
      </c>
      <c r="H20" s="179">
        <v>-0.1</v>
      </c>
      <c r="I20" s="181">
        <v>1</v>
      </c>
      <c r="J20" s="180">
        <v>-0.08</v>
      </c>
      <c r="L20"/>
      <c r="M20"/>
      <c r="N20"/>
      <c r="O20"/>
      <c r="P20"/>
      <c r="Q20"/>
    </row>
    <row r="21" spans="2:17" s="48" customFormat="1" ht="26.1" customHeight="1">
      <c r="B21" s="187"/>
      <c r="C21" s="180"/>
      <c r="D21" s="188"/>
      <c r="E21" s="189"/>
      <c r="F21" s="190"/>
      <c r="H21" s="179">
        <v>-0.2</v>
      </c>
      <c r="I21" s="181">
        <v>-1</v>
      </c>
      <c r="J21" s="180">
        <v>-0.13</v>
      </c>
      <c r="L21"/>
      <c r="M21" s="521"/>
      <c r="N21"/>
      <c r="O21" s="521"/>
      <c r="P21" s="522"/>
      <c r="Q21" s="523"/>
    </row>
    <row r="22" spans="2:17" s="48" customFormat="1" ht="26.1" customHeight="1">
      <c r="B22" s="187"/>
      <c r="C22" s="180"/>
      <c r="D22" s="188"/>
      <c r="E22" s="189"/>
      <c r="F22" s="190"/>
      <c r="H22" s="179">
        <v>0.1</v>
      </c>
      <c r="I22" s="181">
        <v>-3</v>
      </c>
      <c r="J22" s="180">
        <v>-0.1</v>
      </c>
      <c r="L22"/>
      <c r="M22"/>
      <c r="N22"/>
      <c r="O22" s="521"/>
      <c r="P22" s="522"/>
      <c r="Q22" s="523"/>
    </row>
    <row r="23" spans="2:17" s="48" customFormat="1" ht="26.1" customHeight="1" thickBot="1">
      <c r="B23" s="187"/>
      <c r="C23" s="180"/>
      <c r="D23" s="188"/>
      <c r="E23" s="189"/>
      <c r="F23" s="190"/>
      <c r="H23" s="191">
        <v>0.3</v>
      </c>
      <c r="I23" s="192">
        <v>-1</v>
      </c>
      <c r="J23" s="193">
        <v>-0.09</v>
      </c>
      <c r="L23"/>
      <c r="M23"/>
      <c r="N23"/>
      <c r="O23" s="521"/>
      <c r="P23" s="522"/>
      <c r="Q23" s="523"/>
    </row>
    <row r="24" spans="2:17" s="48" customFormat="1" ht="26.1" customHeight="1">
      <c r="B24" s="708" t="s">
        <v>79</v>
      </c>
      <c r="C24" s="709"/>
      <c r="D24" s="530">
        <f>MAX(D14:D23)</f>
        <v>16</v>
      </c>
      <c r="E24" s="531">
        <f t="shared" ref="E24:F24" si="4">MAX(E14:E23)</f>
        <v>214</v>
      </c>
      <c r="F24" s="529">
        <f t="shared" si="4"/>
        <v>7.43</v>
      </c>
      <c r="H24" s="4"/>
      <c r="I24" s="4"/>
      <c r="J24" s="4"/>
      <c r="L24"/>
      <c r="M24"/>
      <c r="N24"/>
      <c r="O24"/>
      <c r="P24"/>
      <c r="Q24"/>
    </row>
    <row r="25" spans="2:17" s="48" customFormat="1" ht="26.1" customHeight="1">
      <c r="B25" s="708" t="s">
        <v>212</v>
      </c>
      <c r="C25" s="709"/>
      <c r="D25" s="530">
        <f>MIN(D14:D23)</f>
        <v>15.5</v>
      </c>
      <c r="E25" s="531">
        <f t="shared" ref="E25:F25" si="5">MIN(E14:E23)</f>
        <v>209</v>
      </c>
      <c r="F25" s="529">
        <f t="shared" si="5"/>
        <v>7.2</v>
      </c>
      <c r="H25" s="4"/>
      <c r="I25" s="4"/>
      <c r="J25" s="4"/>
      <c r="L25" s="1"/>
      <c r="M25" s="1"/>
      <c r="N25" s="1"/>
      <c r="O25" s="1"/>
      <c r="P25" s="1"/>
    </row>
    <row r="26" spans="2:17" s="48" customFormat="1" ht="26.1" customHeight="1" thickBot="1">
      <c r="B26" s="700" t="s">
        <v>213</v>
      </c>
      <c r="C26" s="701"/>
      <c r="D26" s="532">
        <f>D24-D25</f>
        <v>0.5</v>
      </c>
      <c r="E26" s="533">
        <f t="shared" ref="E26:F26" si="6">E24-E25</f>
        <v>5</v>
      </c>
      <c r="F26" s="534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8" customFormat="1" ht="18" customHeight="1">
      <c r="B27" s="535"/>
      <c r="C27" s="535"/>
      <c r="D27" s="535"/>
      <c r="E27" s="536"/>
      <c r="F27" s="536"/>
      <c r="L27" s="1"/>
      <c r="M27" s="1"/>
      <c r="N27" s="1"/>
      <c r="O27" s="1"/>
      <c r="P27" s="1"/>
    </row>
    <row r="28" spans="2:17" s="48" customFormat="1" ht="18" customHeight="1">
      <c r="E28" s="4"/>
      <c r="F28" s="4"/>
      <c r="L28" s="1"/>
      <c r="M28" s="1"/>
      <c r="N28" s="1"/>
      <c r="O28" s="1"/>
      <c r="P28" s="1"/>
    </row>
    <row r="29" spans="2:17" s="48" customFormat="1" ht="18" customHeight="1">
      <c r="E29" s="4"/>
      <c r="F29" s="4"/>
    </row>
    <row r="30" spans="2:17" s="48" customFormat="1" ht="18" customHeight="1">
      <c r="E30" s="4"/>
      <c r="F30" s="4"/>
    </row>
    <row r="31" spans="2:17" s="48" customFormat="1" ht="18" customHeight="1">
      <c r="E31" s="4"/>
      <c r="F31" s="4"/>
    </row>
    <row r="32" spans="2:17" s="48" customFormat="1" ht="18" customHeight="1">
      <c r="E32" s="4"/>
      <c r="F32" s="4"/>
    </row>
    <row r="33" spans="5:6" s="48" customFormat="1" ht="18" customHeight="1">
      <c r="E33" s="4"/>
      <c r="F33" s="4"/>
    </row>
    <row r="34" spans="5:6" s="48" customFormat="1" ht="18" customHeight="1">
      <c r="E34" s="4"/>
      <c r="F34" s="4"/>
    </row>
    <row r="35" spans="5:6" s="48" customFormat="1" ht="18" customHeight="1">
      <c r="E35" s="4"/>
      <c r="F35" s="4"/>
    </row>
    <row r="36" spans="5:6" s="48" customFormat="1" ht="18" customHeight="1">
      <c r="E36" s="4"/>
      <c r="F36" s="4"/>
    </row>
    <row r="37" spans="5:6" s="48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J2880</vt:lpstr>
      <vt:lpstr>R360</vt:lpstr>
      <vt:lpstr>장회</vt:lpstr>
      <vt:lpstr>장회14</vt:lpstr>
      <vt:lpstr>단계</vt:lpstr>
      <vt:lpstr>장기28</vt:lpstr>
      <vt:lpstr>회복</vt:lpstr>
      <vt:lpstr>장기14</vt:lpstr>
      <vt:lpstr>회복12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2025-05-16T03:44:22Z</dcterms:modified>
</cp:coreProperties>
</file>