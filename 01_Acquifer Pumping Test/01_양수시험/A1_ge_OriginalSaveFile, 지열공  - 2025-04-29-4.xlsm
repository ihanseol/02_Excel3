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FFB78CC9-8FAE-49CB-BEB1-911B01B86BBA}" xr6:coauthVersionLast="47" xr6:coauthVersionMax="47" xr10:uidLastSave="{00000000-0000-0000-0000-000000000000}"/>
  <bookViews>
    <workbookView xWindow="5115" yWindow="40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F23" i="11"/>
  <c r="E23" i="11"/>
  <c r="D23" i="11"/>
  <c r="B23" i="11"/>
  <c r="F22" i="11"/>
  <c r="E22" i="11"/>
  <c r="D22" i="11"/>
  <c r="B22" i="11"/>
  <c r="F21" i="11"/>
  <c r="E21" i="11"/>
  <c r="D21" i="11"/>
  <c r="B21" i="11"/>
  <c r="A27" i="22"/>
  <c r="A28" i="23"/>
  <c r="A28" i="10"/>
  <c r="A31" i="23" l="1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<sst xmlns="http://schemas.openxmlformats.org/spreadsheetml/2006/main" count="1440" uniqueCount="355">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</sst>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 formatCode="\ 0.00\ ">
                  <c:v>11.39</c:v>
                </c:pt>
                <c:pt idx="21" formatCode="\ 0.00\ ">
                  <c:v>11.540000000000001</c:v>
                </c:pt>
                <c:pt idx="22" formatCode="\ 0.00\ ">
                  <c:v>11.680000000000001</c:v>
                </c:pt>
                <c:pt idx="23" formatCode="\ 0.00\ ">
                  <c:v>11.810000000000002</c:v>
                </c:pt>
                <c:pt idx="24" formatCode="\ 0.00\ ">
                  <c:v>11.940000000000003</c:v>
                </c:pt>
                <c:pt idx="25">
                  <c:v>13.48</c:v>
                </c:pt>
                <c:pt idx="26" formatCode="\ 0.00\ ">
                  <c:v>13.59</c:v>
                </c:pt>
                <c:pt idx="27">
                  <c:v>13.85</c:v>
                </c:pt>
                <c:pt idx="28" formatCode="\ 0.00\ ">
                  <c:v>13.95</c:v>
                </c:pt>
                <c:pt idx="29">
                  <c:v>14.23</c:v>
                </c:pt>
                <c:pt idx="30" formatCode="\ 0.00\ ">
                  <c:v>14.290000000000001</c:v>
                </c:pt>
                <c:pt idx="31" formatCode="\ 0.00\ ">
                  <c:v>14.340000000000002</c:v>
                </c:pt>
                <c:pt idx="32" formatCode="\ 0.00\ ">
                  <c:v>14.38</c:v>
                </c:pt>
                <c:pt idx="33" formatCode="\ 0.00\ ">
                  <c:v>14.41</c:v>
                </c:pt>
                <c:pt idx="34" formatCode="\ 0.00\ ">
                  <c:v>14.43</c:v>
                </c:pt>
                <c:pt idx="35">
                  <c:v>14.6</c:v>
                </c:pt>
                <c:pt idx="36" formatCode="\ 0.00\ ">
                  <c:v>14.67</c:v>
                </c:pt>
                <c:pt idx="37" formatCode="\ 0.00\ ">
                  <c:v>14.73</c:v>
                </c:pt>
                <c:pt idx="38" formatCode="\ 0.00\ ">
                  <c:v>14.780000000000001</c:v>
                </c:pt>
                <c:pt idx="39">
                  <c:v>14.98</c:v>
                </c:pt>
                <c:pt idx="40" formatCode="\ 0.00\ ">
                  <c:v>15.16</c:v>
                </c:pt>
                <c:pt idx="41" formatCode="\ 0.00\ ">
                  <c:v>15.32</c:v>
                </c:pt>
                <c:pt idx="42" formatCode="\ 0.00\ ">
                  <c:v>15.47</c:v>
                </c:pt>
                <c:pt idx="43" formatCode="\ 0.00\ ">
                  <c:v>15.610000000000001</c:v>
                </c:pt>
                <c:pt idx="44" formatCode="\ 0.00\ ">
                  <c:v>15.740000000000002</c:v>
                </c:pt>
                <c:pt idx="45">
                  <c:v>17.5</c:v>
                </c:pt>
                <c:pt idx="46" formatCode="\ 0.00\ ">
                  <c:v>17.61</c:v>
                </c:pt>
                <c:pt idx="47">
                  <c:v>17.920000000000002</c:v>
                </c:pt>
                <c:pt idx="48" formatCode="\ 0.00\ ">
                  <c:v>18.03</c:v>
                </c:pt>
                <c:pt idx="49">
                  <c:v>18.34</c:v>
                </c:pt>
                <c:pt idx="50" formatCode="\ 0.00\ ">
                  <c:v>18.41</c:v>
                </c:pt>
                <c:pt idx="51" formatCode="\ 0.00\ ">
                  <c:v>18.46</c:v>
                </c:pt>
                <c:pt idx="52" formatCode="\ 0.00\ ">
                  <c:v>18.5</c:v>
                </c:pt>
                <c:pt idx="53" formatCode="\ 0.00\ ">
                  <c:v>18.53</c:v>
                </c:pt>
                <c:pt idx="54" formatCode="\ 0.00\ ">
                  <c:v>18.55</c:v>
                </c:pt>
                <c:pt idx="55">
                  <c:v>18.760000000000002</c:v>
                </c:pt>
                <c:pt idx="56" formatCode="\ 0.00\ ">
                  <c:v>18.84</c:v>
                </c:pt>
                <c:pt idx="57" formatCode="\ 0.00\ ">
                  <c:v>18.899999999999999</c:v>
                </c:pt>
                <c:pt idx="58" formatCode="\ 0.00\ ">
                  <c:v>18.95</c:v>
                </c:pt>
                <c:pt idx="59">
                  <c:v>19.190000000000001</c:v>
                </c:pt>
                <c:pt idx="60" formatCode="\ 0.00\ ">
                  <c:v>19.380000000000003</c:v>
                </c:pt>
                <c:pt idx="61" formatCode="\ 0.00\ ">
                  <c:v>19.550000000000004</c:v>
                </c:pt>
                <c:pt idx="62" formatCode="\ 0.00\ ">
                  <c:v>19.710000000000004</c:v>
                </c:pt>
                <c:pt idx="63" formatCode="\ 0.00\ ">
                  <c:v>19.860000000000003</c:v>
                </c:pt>
                <c:pt idx="64" formatCode="\ 0.00\ ">
                  <c:v>20.000000000000004</c:v>
                </c:pt>
                <c:pt idx="65">
                  <c:v>22.01</c:v>
                </c:pt>
                <c:pt idx="66" formatCode="\ 0.00\ ">
                  <c:v>22.130000000000003</c:v>
                </c:pt>
                <c:pt idx="67" formatCode="\ 0.00\ ">
                  <c:v>22.48</c:v>
                </c:pt>
                <c:pt idx="68" formatCode="\ 0.00\ ">
                  <c:v>22.6</c:v>
                </c:pt>
                <c:pt idx="69" formatCode="\ 0.00\ ">
                  <c:v>22.95</c:v>
                </c:pt>
                <c:pt idx="70" formatCode="\ 0.00\ ">
                  <c:v>23.02</c:v>
                </c:pt>
                <c:pt idx="71" formatCode="\ 0.00\ ">
                  <c:v>23.07</c:v>
                </c:pt>
                <c:pt idx="72" formatCode="\ 0.00\ ">
                  <c:v>23.11</c:v>
                </c:pt>
                <c:pt idx="73" formatCode="\ 0.00\ ">
                  <c:v>23.14</c:v>
                </c:pt>
                <c:pt idx="74" formatCode="\ 0.00\ ">
                  <c:v>23.17</c:v>
                </c:pt>
                <c:pt idx="75" formatCode="\ 0.00\ ">
                  <c:v>23.42</c:v>
                </c:pt>
                <c:pt idx="76" formatCode="\ 0.00\ ">
                  <c:v>23.51</c:v>
                </c:pt>
                <c:pt idx="77" formatCode="\ 0.00\ ">
                  <c:v>23.580000000000002</c:v>
                </c:pt>
                <c:pt idx="78" formatCode="\ 0.00\ ">
                  <c:v>23.630000000000003</c:v>
                </c:pt>
                <c:pt idx="79" formatCode="\ 0.00\ ">
                  <c:v>23.89</c:v>
                </c:pt>
                <c:pt idx="80" formatCode="\ 0.00\ ">
                  <c:v>24.1</c:v>
                </c:pt>
                <c:pt idx="81" formatCode="\ 0.00\ ">
                  <c:v>24.290000000000003</c:v>
                </c:pt>
                <c:pt idx="82" formatCode="\ 0.00\ ">
                  <c:v>24.460000000000004</c:v>
                </c:pt>
                <c:pt idx="83" formatCode="\ 0.00\ ">
                  <c:v>24.620000000000005</c:v>
                </c:pt>
                <c:pt idx="84" formatCode="\ 0.00\ ">
                  <c:v>24.760000000000005</c:v>
                </c:pt>
                <c:pt idx="85" formatCode="\ 0.00\ ">
                  <c:v>26.75</c:v>
                </c:pt>
                <c:pt idx="86" formatCode="\ 0.00\ ">
                  <c:v>27.06</c:v>
                </c:pt>
                <c:pt idx="87" formatCode="\ 0.00\ ">
                  <c:v>27.82</c:v>
                </c:pt>
                <c:pt idx="88" formatCode="\ 0.00\ ">
                  <c:v>28.12</c:v>
                </c:pt>
                <c:pt idx="89" formatCode="\ 0.00\ ">
                  <c:v>28.9</c:v>
                </c:pt>
                <c:pt idx="90" formatCode="\ 0.00\ ">
                  <c:v>29.049999999999997</c:v>
                </c:pt>
                <c:pt idx="91" formatCode="\ 0.00\ ">
                  <c:v>29.179999999999996</c:v>
                </c:pt>
                <c:pt idx="92" formatCode="\ 0.00\ ">
                  <c:v>29.289999999999996</c:v>
                </c:pt>
                <c:pt idx="93" formatCode="\ 0.00\ ">
                  <c:v>29.369999999999994</c:v>
                </c:pt>
                <c:pt idx="94" formatCode="\ 0.00\ ">
                  <c:v>29.439999999999994</c:v>
                </c:pt>
                <c:pt idx="95" formatCode="\ 0.00\ ">
                  <c:v>29.97</c:v>
                </c:pt>
                <c:pt idx="96" formatCode="\ 0.00\ ">
                  <c:v>30.16</c:v>
                </c:pt>
                <c:pt idx="97" formatCode="\ 0.00\ ">
                  <c:v>30.32</c:v>
                </c:pt>
                <c:pt idx="98" formatCode="\ 0.00\ ">
                  <c:v>30.46</c:v>
                </c:pt>
                <c:pt idx="99" formatCode="\ 0.00\ ">
                  <c:v>31.05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8.9840000000000003E-2</c:v>
                </c:pt>
                <c:pt idx="1">
                  <c:v>9.3625E-2</c:v>
                </c:pt>
                <c:pt idx="2">
                  <c:v>9.8587207808887745E-2</c:v>
                </c:pt>
                <c:pt idx="3">
                  <c:v>0.10432314410480349</c:v>
                </c:pt>
                <c:pt idx="4">
                  <c:v>0.11790393013100438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11.23</c:v>
                </c:pt>
                <c:pt idx="1">
                  <c:v>14.98</c:v>
                </c:pt>
                <c:pt idx="2">
                  <c:v>19.190000000000001</c:v>
                </c:pt>
                <c:pt idx="3">
                  <c:v>23.89</c:v>
                </c:pt>
                <c:pt idx="4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8.9840000000000003E-2</c:v>
                </c:pt>
                <c:pt idx="2">
                  <c:v>9.3625E-2</c:v>
                </c:pt>
                <c:pt idx="3">
                  <c:v>9.8587207808887745E-2</c:v>
                </c:pt>
                <c:pt idx="4">
                  <c:v>0.10432314410480349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1.0076429827289779</c:v>
                </c:pt>
                <c:pt idx="1">
                  <c:v>2.4876659939187782</c:v>
                </c:pt>
                <c:pt idx="2">
                  <c:v>3.3534239556692143</c:v>
                </c:pt>
                <c:pt idx="3">
                  <c:v>3.9676890051085749</c:v>
                </c:pt>
                <c:pt idx="4">
                  <c:v>4.4441499934903632</c:v>
                </c:pt>
                <c:pt idx="5">
                  <c:v>5.9241730046801635</c:v>
                </c:pt>
                <c:pt idx="6">
                  <c:v>6.7899309664306031</c:v>
                </c:pt>
                <c:pt idx="7">
                  <c:v>7.4041960158699602</c:v>
                </c:pt>
                <c:pt idx="8">
                  <c:v>7.8806570042517485</c:v>
                </c:pt>
                <c:pt idx="9">
                  <c:v>8.2699539776204034</c:v>
                </c:pt>
                <c:pt idx="10">
                  <c:v>8.5990998787125612</c:v>
                </c:pt>
                <c:pt idx="11">
                  <c:v>8.8842190270597605</c:v>
                </c:pt>
                <c:pt idx="12">
                  <c:v>9.135711939370843</c:v>
                </c:pt>
                <c:pt idx="13">
                  <c:v>9.3606800154415488</c:v>
                </c:pt>
                <c:pt idx="14">
                  <c:v>9.5641883947111346</c:v>
                </c:pt>
                <c:pt idx="15">
                  <c:v>9.7499769888102001</c:v>
                </c:pt>
                <c:pt idx="16">
                  <c:v>10.226437977191988</c:v>
                </c:pt>
                <c:pt idx="17">
                  <c:v>10.61573495056064</c:v>
                </c:pt>
                <c:pt idx="18">
                  <c:v>10.944880851652801</c:v>
                </c:pt>
                <c:pt idx="19">
                  <c:v>11.23</c:v>
                </c:pt>
                <c:pt idx="20">
                  <c:v>13.304333987660637</c:v>
                </c:pt>
                <c:pt idx="21">
                  <c:v>13.506877299075018</c:v>
                </c:pt>
                <c:pt idx="22">
                  <c:v>13.695440610805743</c:v>
                </c:pt>
                <c:pt idx="23">
                  <c:v>14.193740736717618</c:v>
                </c:pt>
                <c:pt idx="24">
                  <c:v>14.98</c:v>
                </c:pt>
                <c:pt idx="25">
                  <c:v>17.977573506140683</c:v>
                </c:pt>
                <c:pt idx="26">
                  <c:v>18.107981101850374</c:v>
                </c:pt>
                <c:pt idx="27">
                  <c:v>18.233466465013034</c:v>
                </c:pt>
                <c:pt idx="28">
                  <c:v>18.583786753070346</c:v>
                </c:pt>
                <c:pt idx="29">
                  <c:v>19.190000000000001</c:v>
                </c:pt>
                <c:pt idx="30">
                  <c:v>22.871843721325654</c:v>
                </c:pt>
                <c:pt idx="31">
                  <c:v>22.976162608679743</c:v>
                </c:pt>
                <c:pt idx="32">
                  <c:v>23.077771605766102</c:v>
                </c:pt>
                <c:pt idx="33">
                  <c:v>23.367661720227943</c:v>
                </c:pt>
                <c:pt idx="34">
                  <c:v>23.89</c:v>
                </c:pt>
                <c:pt idx="35">
                  <c:v>30.138947552360332</c:v>
                </c:pt>
                <c:pt idx="36">
                  <c:v>30.229829136506925</c:v>
                </c:pt>
                <c:pt idx="37">
                  <c:v>30.318910966513972</c:v>
                </c:pt>
                <c:pt idx="38">
                  <c:v>30.576037257334225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51.emf"/><Relationship Id="rId4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454387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276225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11</xdr:col>
      <xdr:colOff>466725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0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2.emf"/><Relationship Id="rId5" Type="http://schemas.openxmlformats.org/officeDocument/2006/relationships/image" Target="../media/image4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1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2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3.96</v>
      </c>
      <c r="E4" s="1">
        <v>4</v>
      </c>
      <c r="F4" s="1">
        <f>StepTest!G15</f>
        <v>3.96</v>
      </c>
    </row>
    <row r="5" spans="1:6">
      <c r="A5" s="50">
        <v>5</v>
      </c>
      <c r="B5" s="1">
        <f>F5</f>
        <v>4.4400000000000004</v>
      </c>
      <c r="E5" s="1">
        <v>5</v>
      </c>
      <c r="F5" s="1">
        <f>StepTest!G16</f>
        <v>4.4400000000000004</v>
      </c>
    </row>
    <row r="6" spans="1:6">
      <c r="A6" s="50">
        <v>10</v>
      </c>
      <c r="B6" s="1">
        <f t="shared" si="0"/>
        <v>5.92</v>
      </c>
      <c r="E6" s="1">
        <v>10</v>
      </c>
      <c r="F6" s="1">
        <f>StepTest!G17</f>
        <v>5.92</v>
      </c>
    </row>
    <row r="7" spans="1:6">
      <c r="A7" s="50">
        <v>15</v>
      </c>
      <c r="B7" s="1">
        <f t="shared" si="0"/>
        <v>6.78</v>
      </c>
      <c r="E7" s="1">
        <v>15</v>
      </c>
      <c r="F7" s="1">
        <f>StepTest!G18</f>
        <v>6.78</v>
      </c>
    </row>
    <row r="8" spans="1:6">
      <c r="A8" s="50">
        <v>20</v>
      </c>
      <c r="B8" s="1">
        <f t="shared" si="0"/>
        <v>7.4</v>
      </c>
      <c r="E8" s="1">
        <v>20</v>
      </c>
      <c r="F8" s="1">
        <f>StepTest!G19</f>
        <v>7.4</v>
      </c>
    </row>
    <row r="9" spans="1:6">
      <c r="A9" s="50">
        <v>25</v>
      </c>
      <c r="B9" s="1">
        <f t="shared" si="0"/>
        <v>7.88</v>
      </c>
      <c r="E9" s="1">
        <v>25</v>
      </c>
      <c r="F9" s="1">
        <f>StepTest!G20</f>
        <v>7.88</v>
      </c>
    </row>
    <row r="10" spans="1:6">
      <c r="A10" s="50">
        <v>30</v>
      </c>
      <c r="B10" s="1">
        <f t="shared" si="0"/>
        <v>8.26</v>
      </c>
      <c r="E10" s="1">
        <v>30</v>
      </c>
      <c r="F10" s="1">
        <f>StepTest!G21</f>
        <v>8.26</v>
      </c>
    </row>
    <row r="11" spans="1:6">
      <c r="A11" s="50">
        <v>35</v>
      </c>
      <c r="B11" s="1">
        <f t="shared" si="0"/>
        <v>8.59</v>
      </c>
      <c r="E11" s="1">
        <v>35</v>
      </c>
      <c r="F11" s="1">
        <f>StepTest!G22</f>
        <v>8.59</v>
      </c>
    </row>
    <row r="12" spans="1:6">
      <c r="A12" s="50">
        <v>40</v>
      </c>
      <c r="B12" s="1">
        <f t="shared" si="0"/>
        <v>8.8800000000000008</v>
      </c>
      <c r="E12" s="1">
        <v>40</v>
      </c>
      <c r="F12" s="1">
        <f>StepTest!G23</f>
        <v>8.8800000000000008</v>
      </c>
    </row>
    <row r="13" spans="1:6">
      <c r="A13" s="50">
        <v>45</v>
      </c>
      <c r="B13" s="1">
        <f t="shared" si="0"/>
        <v>9.1300000000000008</v>
      </c>
      <c r="E13" s="1">
        <v>45</v>
      </c>
      <c r="F13" s="1">
        <f>StepTest!G24</f>
        <v>9.1300000000000008</v>
      </c>
    </row>
    <row r="14" spans="1:6">
      <c r="A14" s="50">
        <v>50</v>
      </c>
      <c r="B14" s="1">
        <f t="shared" si="0"/>
        <v>9.36</v>
      </c>
      <c r="E14" s="1">
        <v>50</v>
      </c>
      <c r="F14" s="1">
        <f>StepTest!G25</f>
        <v>9.36</v>
      </c>
    </row>
    <row r="15" spans="1:6">
      <c r="A15" s="50">
        <v>55</v>
      </c>
      <c r="B15" s="1">
        <f t="shared" si="0"/>
        <v>9.56</v>
      </c>
      <c r="E15" s="1">
        <v>55</v>
      </c>
      <c r="F15" s="1">
        <f>StepTest!G26</f>
        <v>9.56</v>
      </c>
    </row>
    <row r="16" spans="1:6">
      <c r="A16" s="50">
        <v>60</v>
      </c>
      <c r="B16" s="1">
        <f t="shared" si="0"/>
        <v>9.74</v>
      </c>
      <c r="E16" s="1">
        <v>60</v>
      </c>
      <c r="F16" s="1">
        <f>StepTest!G27</f>
        <v>9.74</v>
      </c>
    </row>
    <row r="17" spans="1:6">
      <c r="A17" s="50">
        <v>75</v>
      </c>
      <c r="B17" s="1">
        <f t="shared" si="0"/>
        <v>10.220000000000001</v>
      </c>
      <c r="E17" s="1">
        <v>75</v>
      </c>
      <c r="F17" s="1">
        <f>StepTest!G28</f>
        <v>10.220000000000001</v>
      </c>
    </row>
    <row r="18" spans="1:6">
      <c r="A18" s="50">
        <v>90</v>
      </c>
      <c r="B18" s="1">
        <f t="shared" si="0"/>
        <v>10.61</v>
      </c>
      <c r="E18" s="1">
        <v>90</v>
      </c>
      <c r="F18" s="1">
        <f>StepTest!G29</f>
        <v>10.61</v>
      </c>
    </row>
    <row r="19" spans="1:6">
      <c r="A19" s="50">
        <v>105</v>
      </c>
      <c r="B19" s="1">
        <f t="shared" si="0"/>
        <v>10.94</v>
      </c>
      <c r="E19" s="1">
        <v>105</v>
      </c>
      <c r="F19" s="1">
        <f>StepTest!G30</f>
        <v>10.94</v>
      </c>
    </row>
    <row r="20" spans="1:6">
      <c r="A20" s="51">
        <v>120</v>
      </c>
      <c r="B20" s="52">
        <f t="shared" si="0"/>
        <v>11.23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11.23</v>
      </c>
    </row>
    <row r="21" spans="1:6">
      <c r="A21" s="50">
        <v>121</v>
      </c>
      <c r="B21" s="54">
        <f>B20+D21</f>
        <v>11.39</v>
      </c>
      <c r="D21" s="1">
        <v>0.16</v>
      </c>
      <c r="E21" s="1">
        <v>130</v>
      </c>
      <c r="F21" s="1">
        <f>StepTest!G32</f>
        <v>13.48</v>
      </c>
    </row>
    <row r="22" spans="1:6">
      <c r="A22" s="50">
        <v>122</v>
      </c>
      <c r="B22" s="54">
        <f>B21+D22</f>
        <v>11.540000000000001</v>
      </c>
      <c r="D22" s="1">
        <v>0.15</v>
      </c>
      <c r="E22" s="1">
        <v>140</v>
      </c>
      <c r="F22" s="1">
        <f>StepTest!G33</f>
        <v>13.85</v>
      </c>
    </row>
    <row r="23" spans="1:6">
      <c r="A23" s="50">
        <v>123</v>
      </c>
      <c r="B23" s="54">
        <f>B22+D23</f>
        <v>11.680000000000001</v>
      </c>
      <c r="D23" s="1">
        <v>0.14000000000000001</v>
      </c>
      <c r="E23" s="1">
        <v>150</v>
      </c>
      <c r="F23" s="1">
        <f>StepTest!G34</f>
        <v>14.23</v>
      </c>
    </row>
    <row r="24" spans="1:6">
      <c r="A24" s="50">
        <v>124</v>
      </c>
      <c r="B24" s="54">
        <f>B23+D24</f>
        <v>11.810000000000002</v>
      </c>
      <c r="D24" s="1">
        <v>0.13</v>
      </c>
      <c r="E24" s="1">
        <v>180</v>
      </c>
      <c r="F24" s="1">
        <f>StepTest!G35</f>
        <v>14.6</v>
      </c>
    </row>
    <row r="25" spans="1:6">
      <c r="A25" s="50">
        <v>125</v>
      </c>
      <c r="B25" s="54">
        <f>B24+D25</f>
        <v>11.940000000000003</v>
      </c>
      <c r="D25" s="1">
        <v>0.13</v>
      </c>
      <c r="E25" s="1">
        <v>240</v>
      </c>
      <c r="F25" s="1">
        <f>StepTest!G36</f>
        <v>14.98</v>
      </c>
    </row>
    <row r="26" spans="1:6">
      <c r="A26" s="50">
        <v>130</v>
      </c>
      <c r="B26" s="52">
        <f>F21</f>
        <v>13.48</v>
      </c>
      <c r="C26" s="52">
        <f>B28-B26</f>
        <v>0.36999999999999922</v>
      </c>
      <c r="D26" s="52">
        <f>C26/2</f>
        <v>0.18499999999999961</v>
      </c>
      <c r="E26" s="1">
        <v>250</v>
      </c>
      <c r="F26" s="1">
        <f>StepTest!G37</f>
        <v>17.5</v>
      </c>
    </row>
    <row r="27" spans="1:6">
      <c r="A27" s="50">
        <v>135</v>
      </c>
      <c r="B27" s="54">
        <f>B26+D27</f>
        <v>13.59</v>
      </c>
      <c r="D27" s="1">
        <v>0.11</v>
      </c>
      <c r="E27" s="1">
        <v>260</v>
      </c>
      <c r="F27" s="1">
        <f>StepTest!G38</f>
        <v>17.920000000000002</v>
      </c>
    </row>
    <row r="28" spans="1:6">
      <c r="A28" s="50">
        <v>140</v>
      </c>
      <c r="B28" s="52">
        <f>F22</f>
        <v>13.85</v>
      </c>
      <c r="C28" s="52">
        <f>B30-B28</f>
        <v>0.38000000000000078</v>
      </c>
      <c r="D28" s="52">
        <f>C28/2</f>
        <v>0.19000000000000039</v>
      </c>
      <c r="E28" s="1">
        <v>270</v>
      </c>
      <c r="F28" s="1">
        <f>StepTest!G39</f>
        <v>18.34</v>
      </c>
    </row>
    <row r="29" spans="1:6">
      <c r="A29" s="50">
        <v>145</v>
      </c>
      <c r="B29" s="54">
        <f>B28+D29</f>
        <v>13.95</v>
      </c>
      <c r="D29" s="1">
        <v>0.1</v>
      </c>
      <c r="E29" s="1">
        <v>300</v>
      </c>
      <c r="F29" s="1">
        <f>StepTest!G40</f>
        <v>18.760000000000002</v>
      </c>
    </row>
    <row r="30" spans="1:6">
      <c r="A30" s="50">
        <v>150</v>
      </c>
      <c r="B30" s="52">
        <f>F23</f>
        <v>14.23</v>
      </c>
      <c r="C30" s="52">
        <f>B36-B30</f>
        <v>0.36999999999999922</v>
      </c>
      <c r="D30" s="55">
        <f>C30/6</f>
        <v>6.1666666666666536E-2</v>
      </c>
      <c r="E30" s="1">
        <v>360</v>
      </c>
      <c r="F30" s="1">
        <f>StepTest!G41</f>
        <v>19.190000000000001</v>
      </c>
    </row>
    <row r="31" spans="1:6">
      <c r="A31" s="50">
        <v>155</v>
      </c>
      <c r="B31" s="54">
        <f>B30+D31</f>
        <v>14.290000000000001</v>
      </c>
      <c r="D31" s="1">
        <v>0.06</v>
      </c>
    </row>
    <row r="32" spans="1:6">
      <c r="A32" s="50">
        <v>160</v>
      </c>
      <c r="B32" s="54">
        <f t="shared" ref="B32:B39" si="1">B31+D32</f>
        <v>14.340000000000002</v>
      </c>
      <c r="D32" s="1">
        <v>0.05</v>
      </c>
    </row>
    <row r="33" spans="1:4">
      <c r="A33" s="50">
        <v>165</v>
      </c>
      <c r="B33" s="54">
        <f t="shared" si="1"/>
        <v>14.38</v>
      </c>
      <c r="D33" s="1">
        <v>0.04</v>
      </c>
    </row>
    <row r="34" spans="1:4">
      <c r="A34" s="50">
        <v>170</v>
      </c>
      <c r="B34" s="54">
        <f t="shared" si="1"/>
        <v>14.41</v>
      </c>
      <c r="D34" s="1">
        <v>0.03</v>
      </c>
    </row>
    <row r="35" spans="1:4">
      <c r="A35" s="50">
        <v>175</v>
      </c>
      <c r="B35" s="54">
        <f t="shared" si="1"/>
        <v>14.43</v>
      </c>
      <c r="D35" s="1">
        <v>0.02</v>
      </c>
    </row>
    <row r="36" spans="1:4">
      <c r="A36" s="50">
        <v>180</v>
      </c>
      <c r="B36" s="52">
        <f>F24</f>
        <v>14.6</v>
      </c>
      <c r="C36" s="52">
        <f>B40-B36</f>
        <v>0.38000000000000078</v>
      </c>
      <c r="D36" s="52">
        <f>C36/4</f>
        <v>9.5000000000000195E-2</v>
      </c>
    </row>
    <row r="37" spans="1:4">
      <c r="A37" s="50">
        <v>195</v>
      </c>
      <c r="B37" s="54">
        <f t="shared" si="1"/>
        <v>14.67</v>
      </c>
      <c r="D37" s="1">
        <v>7.0000000000000007E-2</v>
      </c>
    </row>
    <row r="38" spans="1:4">
      <c r="A38" s="50">
        <v>210</v>
      </c>
      <c r="B38" s="54">
        <f t="shared" si="1"/>
        <v>14.73</v>
      </c>
      <c r="D38" s="1">
        <v>0.06</v>
      </c>
    </row>
    <row r="39" spans="1:4">
      <c r="A39" s="50">
        <v>225</v>
      </c>
      <c r="B39" s="54">
        <f t="shared" si="1"/>
        <v>14.780000000000001</v>
      </c>
      <c r="D39" s="1">
        <v>0.05</v>
      </c>
    </row>
    <row r="40" spans="1:4">
      <c r="A40" s="51">
        <v>240</v>
      </c>
      <c r="B40" s="52">
        <f>F25</f>
        <v>14.98</v>
      </c>
      <c r="C40" s="52">
        <f>B46-B40</f>
        <v>2.5199999999999996</v>
      </c>
      <c r="D40" s="53">
        <f>C40/10</f>
        <v>0.25199999999999995</v>
      </c>
    </row>
    <row r="41" spans="1:4">
      <c r="A41" s="50">
        <v>241</v>
      </c>
      <c r="B41" s="54">
        <f>B40+D41</f>
        <v>15.16</v>
      </c>
      <c r="D41" s="1">
        <v>0.18</v>
      </c>
    </row>
    <row r="42" spans="1:4">
      <c r="A42" s="50">
        <v>242</v>
      </c>
      <c r="B42" s="54">
        <f>B41+D42</f>
        <v>15.32</v>
      </c>
      <c r="D42" s="1">
        <v>0.16</v>
      </c>
    </row>
    <row r="43" spans="1:4">
      <c r="A43" s="50">
        <v>243</v>
      </c>
      <c r="B43" s="54">
        <f>B42+D43</f>
        <v>15.47</v>
      </c>
      <c r="D43" s="1">
        <v>0.15</v>
      </c>
    </row>
    <row r="44" spans="1:4">
      <c r="A44" s="50">
        <v>244</v>
      </c>
      <c r="B44" s="54">
        <f>B43+D44</f>
        <v>15.610000000000001</v>
      </c>
      <c r="D44" s="1">
        <v>0.14000000000000001</v>
      </c>
    </row>
    <row r="45" spans="1:4">
      <c r="A45" s="50">
        <v>245</v>
      </c>
      <c r="B45" s="54">
        <f>B44+D45</f>
        <v>15.740000000000002</v>
      </c>
      <c r="D45" s="1">
        <v>0.13</v>
      </c>
    </row>
    <row r="46" spans="1:4">
      <c r="A46" s="50">
        <v>250</v>
      </c>
      <c r="B46" s="52">
        <f>F26</f>
        <v>17.5</v>
      </c>
      <c r="C46" s="52">
        <f>B48-B46</f>
        <v>0.42000000000000171</v>
      </c>
      <c r="D46" s="52">
        <f>C46/2</f>
        <v>0.21000000000000085</v>
      </c>
    </row>
    <row r="47" spans="1:4">
      <c r="A47" s="50">
        <v>255</v>
      </c>
      <c r="B47" s="54">
        <f>B46+D47</f>
        <v>17.61</v>
      </c>
      <c r="D47" s="1">
        <v>0.11</v>
      </c>
    </row>
    <row r="48" spans="1:4">
      <c r="A48" s="50">
        <v>260</v>
      </c>
      <c r="B48" s="52">
        <f>F27</f>
        <v>17.920000000000002</v>
      </c>
      <c r="C48" s="52">
        <f>B50-B48</f>
        <v>0.41999999999999815</v>
      </c>
      <c r="D48" s="52">
        <f>C48/2</f>
        <v>0.20999999999999908</v>
      </c>
    </row>
    <row r="49" spans="1:6">
      <c r="A49" s="50">
        <v>265</v>
      </c>
      <c r="B49" s="54">
        <f>B48+D49</f>
        <v>18.03</v>
      </c>
      <c r="D49" s="1">
        <v>0.11</v>
      </c>
    </row>
    <row r="50" spans="1:6">
      <c r="A50" s="50">
        <v>270</v>
      </c>
      <c r="B50" s="52">
        <f>F28</f>
        <v>18.34</v>
      </c>
      <c r="C50" s="52">
        <f>B56-B50</f>
        <v>0.42000000000000171</v>
      </c>
      <c r="D50" s="55">
        <f>C50/6</f>
        <v>7.0000000000000284E-2</v>
      </c>
    </row>
    <row r="51" spans="1:6">
      <c r="A51" s="50">
        <v>275</v>
      </c>
      <c r="B51" s="54">
        <f>B50+D51</f>
        <v>18.41</v>
      </c>
      <c r="D51" s="1">
        <v>7.0000000000000007E-2</v>
      </c>
    </row>
    <row r="52" spans="1:6">
      <c r="A52" s="50">
        <v>280</v>
      </c>
      <c r="B52" s="54">
        <f>B51+D52</f>
        <v>18.46</v>
      </c>
      <c r="D52" s="1">
        <v>0.05</v>
      </c>
    </row>
    <row r="53" spans="1:6">
      <c r="A53" s="50">
        <v>285</v>
      </c>
      <c r="B53" s="54">
        <f>B52+D53</f>
        <v>18.5</v>
      </c>
      <c r="D53" s="1">
        <v>0.04</v>
      </c>
    </row>
    <row r="54" spans="1:6">
      <c r="A54" s="50">
        <v>290</v>
      </c>
      <c r="B54" s="54">
        <f>B53+D54</f>
        <v>18.53</v>
      </c>
      <c r="D54" s="1">
        <v>0.03</v>
      </c>
    </row>
    <row r="55" spans="1:6">
      <c r="A55" s="50">
        <v>295</v>
      </c>
      <c r="B55" s="54">
        <f>B54+D55</f>
        <v>18.55</v>
      </c>
      <c r="D55" s="1">
        <v>0.02</v>
      </c>
    </row>
    <row r="56" spans="1:6">
      <c r="A56" s="50">
        <v>300</v>
      </c>
      <c r="B56" s="52">
        <f>F29</f>
        <v>18.760000000000002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18.84</v>
      </c>
      <c r="D57" s="1">
        <v>0.08</v>
      </c>
    </row>
    <row r="58" spans="1:6">
      <c r="A58" s="50">
        <v>330</v>
      </c>
      <c r="B58" s="54">
        <f>B57+D58</f>
        <v>18.899999999999999</v>
      </c>
      <c r="D58" s="1">
        <v>0.06</v>
      </c>
    </row>
    <row r="59" spans="1:6">
      <c r="A59" s="50">
        <v>345</v>
      </c>
      <c r="B59" s="54">
        <f>B58+D59</f>
        <v>18.95</v>
      </c>
      <c r="D59" s="1">
        <v>0.05</v>
      </c>
    </row>
    <row r="60" spans="1:6">
      <c r="A60" s="51">
        <v>360</v>
      </c>
      <c r="B60" s="52">
        <f>F30</f>
        <v>19.190000000000001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19.380000000000003</v>
      </c>
      <c r="D61" s="1">
        <v>0.19</v>
      </c>
    </row>
    <row r="62" spans="1:6">
      <c r="A62" s="50">
        <v>362</v>
      </c>
      <c r="B62" s="54">
        <f>B61+D62</f>
        <v>19.550000000000004</v>
      </c>
      <c r="D62" s="1">
        <v>0.17</v>
      </c>
    </row>
    <row r="63" spans="1:6">
      <c r="A63" s="50">
        <v>363</v>
      </c>
      <c r="B63" s="54">
        <f>B62+D63</f>
        <v>19.710000000000004</v>
      </c>
      <c r="D63" s="1">
        <v>0.16</v>
      </c>
      <c r="E63" s="1">
        <v>370</v>
      </c>
      <c r="F63" s="1">
        <f>StepTest!G42</f>
        <v>22.01</v>
      </c>
    </row>
    <row r="64" spans="1:6">
      <c r="A64" s="50">
        <v>364</v>
      </c>
      <c r="B64" s="54">
        <f>B63+D64</f>
        <v>19.860000000000003</v>
      </c>
      <c r="D64" s="1">
        <v>0.15</v>
      </c>
      <c r="E64" s="1">
        <v>380</v>
      </c>
      <c r="F64" s="1">
        <f>StepTest!G43</f>
        <v>22.48</v>
      </c>
    </row>
    <row r="65" spans="1:6">
      <c r="A65" s="50">
        <v>365</v>
      </c>
      <c r="B65" s="54">
        <f>B64+D65</f>
        <v>20.000000000000004</v>
      </c>
      <c r="D65" s="1">
        <v>0.14000000000000001</v>
      </c>
      <c r="E65" s="1">
        <v>390</v>
      </c>
      <c r="F65" s="1">
        <f>StepTest!G44</f>
        <v>22.95</v>
      </c>
    </row>
    <row r="66" spans="1:6">
      <c r="A66" s="50">
        <v>370</v>
      </c>
      <c r="B66" s="52">
        <f>F63</f>
        <v>22.01</v>
      </c>
      <c r="C66" s="56">
        <f>B68-B66</f>
        <v>0.46999999999999886</v>
      </c>
      <c r="D66" s="52">
        <f>C66/2</f>
        <v>0.23499999999999943</v>
      </c>
      <c r="E66" s="1">
        <v>420</v>
      </c>
      <c r="F66" s="1">
        <f>StepTest!G45</f>
        <v>23.42</v>
      </c>
    </row>
    <row r="67" spans="1:6">
      <c r="A67" s="50">
        <v>375</v>
      </c>
      <c r="B67" s="54">
        <f>B66+D67</f>
        <v>22.130000000000003</v>
      </c>
      <c r="D67" s="1">
        <v>0.12</v>
      </c>
      <c r="E67" s="1">
        <v>480</v>
      </c>
      <c r="F67" s="1">
        <f>StepTest!G46</f>
        <v>23.89</v>
      </c>
    </row>
    <row r="68" spans="1:6">
      <c r="A68" s="50">
        <v>380</v>
      </c>
      <c r="B68" s="57">
        <f>F64</f>
        <v>22.48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26.75</v>
      </c>
    </row>
    <row r="69" spans="1:6">
      <c r="A69" s="50">
        <v>385</v>
      </c>
      <c r="B69" s="54">
        <f>B68+D69</f>
        <v>22.6</v>
      </c>
      <c r="D69" s="1">
        <v>0.12</v>
      </c>
      <c r="E69" s="1">
        <v>500</v>
      </c>
      <c r="F69" s="1">
        <f>StepTest!G48</f>
        <v>27.82</v>
      </c>
    </row>
    <row r="70" spans="1:6">
      <c r="A70" s="50">
        <v>390</v>
      </c>
      <c r="B70" s="57">
        <f>F65</f>
        <v>22.95</v>
      </c>
      <c r="C70" s="52">
        <f>B76-B70</f>
        <v>0.47000000000000242</v>
      </c>
      <c r="D70" s="55">
        <f>C70/6</f>
        <v>7.8333333333333741E-2</v>
      </c>
      <c r="E70" s="1">
        <v>510</v>
      </c>
      <c r="F70" s="1">
        <f>StepTest!G49</f>
        <v>28.9</v>
      </c>
    </row>
    <row r="71" spans="1:6">
      <c r="A71" s="50">
        <v>395</v>
      </c>
      <c r="B71" s="54">
        <f>B70+D71</f>
        <v>23.02</v>
      </c>
      <c r="D71" s="1">
        <v>7.0000000000000007E-2</v>
      </c>
      <c r="E71" s="1">
        <v>540</v>
      </c>
      <c r="F71" s="1">
        <f>StepTest!G50</f>
        <v>29.97</v>
      </c>
    </row>
    <row r="72" spans="1:6">
      <c r="A72" s="50">
        <v>400</v>
      </c>
      <c r="B72" s="54">
        <f>B71+D72</f>
        <v>23.07</v>
      </c>
      <c r="D72" s="1">
        <v>0.05</v>
      </c>
      <c r="E72" s="1">
        <v>600</v>
      </c>
      <c r="F72" s="1">
        <f>StepTest!G51</f>
        <v>31.05</v>
      </c>
    </row>
    <row r="73" spans="1:6">
      <c r="A73" s="50">
        <v>405</v>
      </c>
      <c r="B73" s="54">
        <f>B72+D73</f>
        <v>23.11</v>
      </c>
      <c r="D73" s="1">
        <v>0.04</v>
      </c>
    </row>
    <row r="74" spans="1:6">
      <c r="A74" s="50">
        <v>410</v>
      </c>
      <c r="B74" s="54">
        <f>B73+D74</f>
        <v>23.14</v>
      </c>
      <c r="D74" s="1">
        <v>0.03</v>
      </c>
    </row>
    <row r="75" spans="1:6">
      <c r="A75" s="50">
        <v>415</v>
      </c>
      <c r="B75" s="54">
        <f>B74+D75</f>
        <v>23.17</v>
      </c>
      <c r="D75" s="1">
        <v>0.03</v>
      </c>
    </row>
    <row r="76" spans="1:6">
      <c r="A76" s="50">
        <v>420</v>
      </c>
      <c r="B76" s="57">
        <f>F66</f>
        <v>23.42</v>
      </c>
      <c r="C76" s="52">
        <f>B80-B76</f>
        <v>0.46999999999999886</v>
      </c>
      <c r="D76" s="52">
        <f>C76/4</f>
        <v>0.11749999999999972</v>
      </c>
    </row>
    <row r="77" spans="1:6">
      <c r="A77" s="50">
        <v>435</v>
      </c>
      <c r="B77" s="54">
        <f>B76+D77</f>
        <v>23.51</v>
      </c>
      <c r="D77" s="1">
        <v>0.09</v>
      </c>
    </row>
    <row r="78" spans="1:6">
      <c r="A78" s="50">
        <v>450</v>
      </c>
      <c r="B78" s="54">
        <f>B77+D78</f>
        <v>23.580000000000002</v>
      </c>
      <c r="D78" s="1">
        <v>7.0000000000000007E-2</v>
      </c>
    </row>
    <row r="79" spans="1:6">
      <c r="A79" s="50">
        <v>465</v>
      </c>
      <c r="B79" s="54">
        <f>B78+D79</f>
        <v>23.630000000000003</v>
      </c>
      <c r="D79" s="1">
        <v>0.05</v>
      </c>
    </row>
    <row r="80" spans="1:6">
      <c r="A80" s="51">
        <v>480</v>
      </c>
      <c r="B80" s="57">
        <f>F67</f>
        <v>23.89</v>
      </c>
      <c r="C80" s="52">
        <f>B86-B80</f>
        <v>2.8599999999999994</v>
      </c>
      <c r="D80" s="53">
        <f>C80/10</f>
        <v>0.28599999999999992</v>
      </c>
    </row>
    <row r="81" spans="1:4">
      <c r="A81" s="50">
        <v>481</v>
      </c>
      <c r="B81" s="54">
        <f>B80+D81</f>
        <v>24.1</v>
      </c>
      <c r="D81" s="1">
        <v>0.21</v>
      </c>
    </row>
    <row r="82" spans="1:4">
      <c r="A82" s="50">
        <v>482</v>
      </c>
      <c r="B82" s="54">
        <f>B81+D82</f>
        <v>24.290000000000003</v>
      </c>
      <c r="D82" s="1">
        <v>0.19</v>
      </c>
    </row>
    <row r="83" spans="1:4">
      <c r="A83" s="50">
        <v>483</v>
      </c>
      <c r="B83" s="54">
        <f>B82+D83</f>
        <v>24.460000000000004</v>
      </c>
      <c r="D83" s="1">
        <v>0.17</v>
      </c>
    </row>
    <row r="84" spans="1:4">
      <c r="A84" s="50">
        <v>484</v>
      </c>
      <c r="B84" s="54">
        <f>B83+D84</f>
        <v>24.620000000000005</v>
      </c>
      <c r="D84" s="1">
        <v>0.16</v>
      </c>
    </row>
    <row r="85" spans="1:4">
      <c r="A85" s="50">
        <v>485</v>
      </c>
      <c r="B85" s="54">
        <f>B84+D85</f>
        <v>24.760000000000005</v>
      </c>
      <c r="D85" s="1">
        <v>0.14000000000000001</v>
      </c>
    </row>
    <row r="86" spans="1:4">
      <c r="A86" s="50">
        <v>490</v>
      </c>
      <c r="B86" s="57">
        <f>F68</f>
        <v>26.75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27.06</v>
      </c>
      <c r="D87" s="1">
        <v>0.31</v>
      </c>
    </row>
    <row r="88" spans="1:4">
      <c r="A88" s="50">
        <v>500</v>
      </c>
      <c r="B88" s="57">
        <f>F69</f>
        <v>27.82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28.12</v>
      </c>
      <c r="D89" s="1">
        <v>0.3</v>
      </c>
    </row>
    <row r="90" spans="1:4">
      <c r="A90" s="50">
        <v>510</v>
      </c>
      <c r="B90" s="57">
        <f>F70</f>
        <v>28.9</v>
      </c>
      <c r="C90" s="52">
        <f>B96-B90</f>
        <v>1.0700000000000003</v>
      </c>
      <c r="D90" s="55">
        <f>C90/6</f>
        <v>0.17833333333333337</v>
      </c>
    </row>
    <row r="91" spans="1:4">
      <c r="A91" s="50">
        <v>515</v>
      </c>
      <c r="B91" s="54">
        <f>B90+D91</f>
        <v>29.049999999999997</v>
      </c>
      <c r="D91" s="1">
        <v>0.15</v>
      </c>
    </row>
    <row r="92" spans="1:4">
      <c r="A92" s="50">
        <v>520</v>
      </c>
      <c r="B92" s="54">
        <f>B91+D92</f>
        <v>29.179999999999996</v>
      </c>
      <c r="D92" s="1">
        <v>0.13</v>
      </c>
    </row>
    <row r="93" spans="1:4">
      <c r="A93" s="50">
        <v>525</v>
      </c>
      <c r="B93" s="54">
        <f>B92+D93</f>
        <v>29.289999999999996</v>
      </c>
      <c r="D93" s="1">
        <v>0.11</v>
      </c>
    </row>
    <row r="94" spans="1:4">
      <c r="A94" s="50">
        <v>530</v>
      </c>
      <c r="B94" s="54">
        <f>B93+D94</f>
        <v>29.369999999999994</v>
      </c>
      <c r="D94" s="1">
        <v>0.08</v>
      </c>
    </row>
    <row r="95" spans="1:4">
      <c r="A95" s="50">
        <v>535</v>
      </c>
      <c r="B95" s="54">
        <f>B94+D95</f>
        <v>29.439999999999994</v>
      </c>
      <c r="D95" s="1">
        <v>7.0000000000000007E-2</v>
      </c>
    </row>
    <row r="96" spans="1:4">
      <c r="A96" s="50">
        <v>540</v>
      </c>
      <c r="B96" s="57">
        <f>F71</f>
        <v>29.97</v>
      </c>
      <c r="C96" s="52">
        <f>B100-B96</f>
        <v>1.0800000000000018</v>
      </c>
      <c r="D96" s="52">
        <f>C96/4</f>
        <v>0.27000000000000046</v>
      </c>
    </row>
    <row r="97" spans="1:4">
      <c r="A97" s="50">
        <v>555</v>
      </c>
      <c r="B97" s="54">
        <f>B96+D97</f>
        <v>30.16</v>
      </c>
      <c r="D97" s="1">
        <v>0.19</v>
      </c>
    </row>
    <row r="98" spans="1:4">
      <c r="A98" s="50">
        <v>570</v>
      </c>
      <c r="B98" s="54">
        <f>B97+D98</f>
        <v>30.32</v>
      </c>
      <c r="D98" s="1">
        <v>0.16</v>
      </c>
    </row>
    <row r="99" spans="1:4">
      <c r="A99" s="50">
        <v>585</v>
      </c>
      <c r="B99" s="54">
        <f>B98+D99</f>
        <v>30.46</v>
      </c>
      <c r="D99" s="1">
        <v>0.14000000000000001</v>
      </c>
    </row>
    <row r="100" spans="1:4">
      <c r="A100" s="51">
        <v>600</v>
      </c>
      <c r="B100" s="34">
        <f>F72</f>
        <v>31.05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13" sqref="S13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22.58</v>
      </c>
      <c r="B3" s="275">
        <f>B20</f>
        <v>11.23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8.9840000000000003E-2</v>
      </c>
      <c r="G3" s="277">
        <f>1/F3</f>
        <v>11.130899376669635</v>
      </c>
    </row>
    <row r="4" spans="1:19" s="6" customFormat="1">
      <c r="A4" s="274">
        <f>B4+$M$48</f>
        <v>26.33</v>
      </c>
      <c r="B4" s="266">
        <f>B21</f>
        <v>14.98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9.3625E-2</v>
      </c>
      <c r="G4" s="277">
        <f t="shared" ref="G4:G7" si="2">1/F4</f>
        <v>10.68090787716956</v>
      </c>
    </row>
    <row r="5" spans="1:19" s="6" customFormat="1">
      <c r="A5" s="274">
        <f>B5+$M$48</f>
        <v>30.54</v>
      </c>
      <c r="B5" s="266">
        <f>B22</f>
        <v>19.190000000000001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9.8587207808887745E-2</v>
      </c>
      <c r="G5" s="277">
        <f t="shared" si="2"/>
        <v>10.143303804064617</v>
      </c>
    </row>
    <row r="6" spans="1:19" s="6" customFormat="1">
      <c r="A6" s="274">
        <f>B6+$M$48</f>
        <v>35.24</v>
      </c>
      <c r="B6" s="275">
        <f>B23</f>
        <v>23.89</v>
      </c>
      <c r="C6" s="266"/>
      <c r="D6" s="263">
        <f>D23</f>
        <v>229</v>
      </c>
      <c r="E6" s="260">
        <f>D6/12</f>
        <v>19.083333333333332</v>
      </c>
      <c r="F6" s="277">
        <f t="shared" si="1"/>
        <v>0.10432314410480349</v>
      </c>
      <c r="G6" s="277">
        <f t="shared" si="2"/>
        <v>9.5856006697362908</v>
      </c>
    </row>
    <row r="7" spans="1:19" s="6" customFormat="1">
      <c r="A7" s="274">
        <f>B7+$M$48</f>
        <v>42.4</v>
      </c>
      <c r="B7" s="266">
        <f>B24</f>
        <v>31.05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0.11790393013100438</v>
      </c>
      <c r="G7" s="277">
        <f t="shared" si="2"/>
        <v>8.481481481481481</v>
      </c>
    </row>
    <row r="8" spans="1:19" s="6" customFormat="1">
      <c r="A8" s="260"/>
      <c r="B8" s="260" t="s">
        <v>4</v>
      </c>
      <c r="C8" s="260"/>
      <c r="D8" s="260"/>
      <c r="E8" s="589" t="s">
        <v>5</v>
      </c>
      <c r="F8" s="589"/>
      <c r="G8" s="589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90" t="s">
        <v>7</v>
      </c>
      <c r="G9" s="590"/>
    </row>
    <row r="10" spans="1:19" s="6" customFormat="1">
      <c r="A10" s="278">
        <f>D20/B20</f>
        <v>11.130899376669635</v>
      </c>
      <c r="B10" s="278">
        <f>B20/D20</f>
        <v>8.9840000000000003E-2</v>
      </c>
      <c r="C10" s="260"/>
      <c r="D10" s="260"/>
      <c r="E10" s="262">
        <v>0.98</v>
      </c>
      <c r="F10" s="590" t="s">
        <v>8</v>
      </c>
      <c r="G10" s="590"/>
    </row>
    <row r="11" spans="1:19" s="6" customFormat="1">
      <c r="A11" s="278">
        <f t="shared" ref="A11:A14" si="3">D21/B21</f>
        <v>10.68090787716956</v>
      </c>
      <c r="B11" s="278">
        <f t="shared" ref="B11:B14" si="4">B21/D21</f>
        <v>9.3625E-2</v>
      </c>
      <c r="C11" s="260"/>
      <c r="D11" s="260" t="s">
        <v>4</v>
      </c>
      <c r="E11" s="262">
        <v>0.98</v>
      </c>
      <c r="F11" s="590" t="s">
        <v>9</v>
      </c>
      <c r="G11" s="590"/>
    </row>
    <row r="12" spans="1:19" s="6" customFormat="1">
      <c r="A12" s="278">
        <f t="shared" si="3"/>
        <v>10.143303804064617</v>
      </c>
      <c r="B12" s="278">
        <f t="shared" si="4"/>
        <v>9.8587207808887745E-2</v>
      </c>
      <c r="C12" s="260"/>
      <c r="D12" s="260"/>
      <c r="E12" s="262">
        <v>1</v>
      </c>
      <c r="F12" s="590" t="s">
        <v>10</v>
      </c>
      <c r="G12" s="590"/>
    </row>
    <row r="13" spans="1:19" s="6" customFormat="1">
      <c r="A13" s="278">
        <f t="shared" si="3"/>
        <v>9.5856006697362908</v>
      </c>
      <c r="B13" s="278">
        <f t="shared" si="4"/>
        <v>0.10432314410480349</v>
      </c>
      <c r="C13" s="260"/>
      <c r="D13" s="260" t="s">
        <v>4</v>
      </c>
      <c r="E13" s="589" t="s">
        <v>11</v>
      </c>
      <c r="F13" s="589"/>
      <c r="G13" s="589"/>
    </row>
    <row r="14" spans="1:19" s="6" customFormat="1">
      <c r="A14" s="278">
        <f t="shared" si="3"/>
        <v>8.481481481481481</v>
      </c>
      <c r="B14" s="278">
        <f t="shared" si="4"/>
        <v>0.11790393013100438</v>
      </c>
      <c r="C14" s="260"/>
      <c r="D14" s="260"/>
      <c r="E14" s="262">
        <v>1</v>
      </c>
      <c r="F14" s="590" t="s">
        <v>7</v>
      </c>
      <c r="G14" s="590"/>
    </row>
    <row r="15" spans="1:19" s="6" customFormat="1" ht="17.25" thickBot="1">
      <c r="A15" s="260"/>
      <c r="B15" s="260"/>
      <c r="C15" s="260"/>
      <c r="D15" s="260"/>
      <c r="E15" s="262">
        <v>1</v>
      </c>
      <c r="F15" s="590" t="s">
        <v>8</v>
      </c>
      <c r="G15" s="590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90" t="s">
        <v>9</v>
      </c>
      <c r="G16" s="590"/>
      <c r="Q16" s="550" t="s">
        <v>337</v>
      </c>
      <c r="R16" s="551"/>
      <c r="S16" s="552"/>
    </row>
    <row r="17" spans="1:21" s="6" customFormat="1" ht="17.25" thickBot="1">
      <c r="A17" s="260"/>
      <c r="B17" s="524">
        <f>M52</f>
        <v>23.89</v>
      </c>
      <c r="C17" s="260"/>
      <c r="D17" s="526">
        <f>M47</f>
        <v>229</v>
      </c>
      <c r="E17" s="525">
        <v>1</v>
      </c>
      <c r="F17" s="590" t="s">
        <v>10</v>
      </c>
      <c r="G17" s="590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11.23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8.9840000000000003E-2</v>
      </c>
      <c r="G20" s="260">
        <f>F20-F19</f>
        <v>8.9840000000000003E-2</v>
      </c>
    </row>
    <row r="21" spans="1:21" s="6" customFormat="1">
      <c r="A21" s="266">
        <f>B21-B20</f>
        <v>3.75</v>
      </c>
      <c r="B21" s="522">
        <f>INT(B$17*C21*100)/100</f>
        <v>14.98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9.3625E-2</v>
      </c>
      <c r="G21" s="260">
        <f>F21-F20</f>
        <v>3.7849999999999967E-3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4.2100000000000009</v>
      </c>
      <c r="B22" s="522">
        <f>INT(B$17*C22*100)/100</f>
        <v>19.190000000000001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9.8587207808887745E-2</v>
      </c>
      <c r="G22" s="404">
        <f>F22-F21</f>
        <v>4.9622078088877447E-3</v>
      </c>
    </row>
    <row r="23" spans="1:21" s="6" customFormat="1">
      <c r="A23" s="266">
        <f>B23-B22</f>
        <v>4.6999999999999993</v>
      </c>
      <c r="B23" s="522">
        <f>INT(B$17*C23*100)/100</f>
        <v>23.89</v>
      </c>
      <c r="C23" s="260">
        <v>1</v>
      </c>
      <c r="D23" s="518">
        <f>D$17*E23</f>
        <v>229</v>
      </c>
      <c r="E23" s="279">
        <v>1</v>
      </c>
      <c r="F23" s="277">
        <f>B23/D23</f>
        <v>0.10432314410480349</v>
      </c>
      <c r="G23" s="260">
        <f>F23-F22</f>
        <v>5.7359362959157473E-3</v>
      </c>
      <c r="O23" s="286"/>
      <c r="Q23" s="286"/>
      <c r="S23" s="286"/>
      <c r="U23" s="286"/>
    </row>
    <row r="24" spans="1:21" s="6" customFormat="1" ht="17.25" thickBot="1">
      <c r="A24" s="266">
        <f>B24-B23</f>
        <v>7.16</v>
      </c>
      <c r="B24" s="523">
        <f>INT(B$17*C24*100)/100</f>
        <v>31.05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0.11790393013100438</v>
      </c>
      <c r="G25" s="266"/>
      <c r="O25" s="286"/>
      <c r="Q25" s="286"/>
      <c r="S25" s="286"/>
      <c r="U25" s="286"/>
    </row>
    <row r="26" spans="1:21" s="6" customFormat="1">
      <c r="A26" s="575" t="s">
        <v>14</v>
      </c>
      <c r="B26" s="575"/>
      <c r="C26" s="280">
        <f>INT(M51*1)</f>
        <v>200</v>
      </c>
      <c r="D26" s="260"/>
      <c r="E26" s="260"/>
      <c r="F26" s="281">
        <f>M50/M51</f>
        <v>0.13425000000000001</v>
      </c>
      <c r="G26" s="260"/>
      <c r="O26" s="286"/>
      <c r="Q26" s="286"/>
      <c r="S26" s="286"/>
      <c r="U26" s="286"/>
    </row>
    <row r="27" spans="1:21" s="6" customFormat="1">
      <c r="A27" s="575" t="s">
        <v>15</v>
      </c>
      <c r="B27" s="575"/>
      <c r="C27" s="282">
        <f>SafeYield!B7</f>
        <v>206.76051663172791</v>
      </c>
      <c r="D27" s="266">
        <f>(C27/D6)*100</f>
        <v>90.288435210361527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6" t="s">
        <v>341</v>
      </c>
      <c r="J44" s="577"/>
      <c r="K44" s="578"/>
      <c r="L44" s="389" t="s">
        <v>30</v>
      </c>
      <c r="M44" s="397">
        <v>250</v>
      </c>
      <c r="N44" s="407" t="s">
        <v>31</v>
      </c>
      <c r="Q44" s="546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80" t="s">
        <v>342</v>
      </c>
      <c r="J45" s="581"/>
      <c r="K45" s="582"/>
      <c r="L45" s="396" t="s">
        <v>34</v>
      </c>
      <c r="M45" s="408">
        <v>158</v>
      </c>
      <c r="N45" s="406">
        <f>M44</f>
        <v>250</v>
      </c>
      <c r="Q45" s="546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79" t="s">
        <v>36</v>
      </c>
      <c r="D46" s="579"/>
      <c r="E46" s="260"/>
      <c r="F46" s="260"/>
      <c r="G46" s="260"/>
      <c r="H46" s="390" t="s">
        <v>37</v>
      </c>
      <c r="I46" s="586" t="s">
        <v>340</v>
      </c>
      <c r="J46" s="587"/>
      <c r="K46" s="588"/>
      <c r="L46" s="396" t="s">
        <v>38</v>
      </c>
      <c r="M46" s="409">
        <f>IF(I52&gt;M48, M45-I52,M45-M48)</f>
        <v>138</v>
      </c>
      <c r="Q46" s="546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79" t="s">
        <v>40</v>
      </c>
      <c r="D47" s="579"/>
      <c r="E47" s="260"/>
      <c r="F47" s="260"/>
      <c r="G47" s="260"/>
      <c r="H47" s="390" t="s">
        <v>41</v>
      </c>
      <c r="I47" s="583" t="s">
        <v>343</v>
      </c>
      <c r="J47" s="584"/>
      <c r="K47" s="585"/>
      <c r="L47" s="416" t="s">
        <v>42</v>
      </c>
      <c r="M47" s="417">
        <f>INT((M51*100)/M53)</f>
        <v>229</v>
      </c>
      <c r="Q47" s="546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4" t="s">
        <v>290</v>
      </c>
      <c r="K48" s="564"/>
      <c r="L48" s="403" t="s">
        <v>44</v>
      </c>
      <c r="M48" s="408">
        <v>11.35</v>
      </c>
      <c r="Q48" s="547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5">
        <f>LongTest!C10</f>
        <v>45726.430555555555</v>
      </c>
      <c r="J49" s="565"/>
      <c r="K49" s="565"/>
      <c r="L49" s="396" t="s">
        <v>48</v>
      </c>
      <c r="M49" s="408">
        <v>38.200000000000003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26.85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23.89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4" t="s">
        <v>240</v>
      </c>
      <c r="J53" s="574"/>
      <c r="K53" s="574"/>
      <c r="L53" s="574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59" t="s">
        <v>62</v>
      </c>
      <c r="E57" s="560"/>
      <c r="F57" s="559" t="s">
        <v>61</v>
      </c>
      <c r="G57" s="560"/>
      <c r="H57" s="310" t="s">
        <v>63</v>
      </c>
      <c r="I57" s="311">
        <f>M50</f>
        <v>26.85</v>
      </c>
      <c r="J57" s="310" t="s">
        <v>64</v>
      </c>
      <c r="K57" s="310" t="s">
        <v>65</v>
      </c>
      <c r="L57" s="559" t="s">
        <v>66</v>
      </c>
      <c r="M57" s="561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2">
        <f>SkinFactor!E10</f>
        <v>5.1830000000000001E-2</v>
      </c>
      <c r="E58" s="563"/>
      <c r="F58" s="553"/>
      <c r="G58" s="554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85.001900007628464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6">
        <f>B59</f>
        <v>2.8959999999999999</v>
      </c>
      <c r="D59" s="568">
        <f>SkinFactor!I16</f>
        <v>1.7809999999999999E-4</v>
      </c>
      <c r="E59" s="569"/>
      <c r="F59" s="570">
        <f>INT((D59+D60)/1*10000000)/10000000</f>
        <v>1.7809999999999999E-4</v>
      </c>
      <c r="G59" s="571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104.10564109288362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7"/>
      <c r="D60" s="568"/>
      <c r="E60" s="569"/>
      <c r="F60" s="572"/>
      <c r="G60" s="573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3"/>
      <c r="E61" s="554"/>
      <c r="F61" s="553"/>
      <c r="G61" s="554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102.37186654766454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55"/>
      <c r="E62" s="556"/>
      <c r="F62" s="557">
        <f>F59</f>
        <v>1.7809999999999999E-4</v>
      </c>
      <c r="G62" s="558"/>
      <c r="H62" s="319" t="s">
        <v>78</v>
      </c>
      <c r="I62" s="320">
        <v>70.33</v>
      </c>
      <c r="J62" s="319" t="s">
        <v>79</v>
      </c>
      <c r="K62" s="321">
        <f>MAX(K58:K60)</f>
        <v>118.00805854248154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38.200000000000003</v>
      </c>
      <c r="J6" s="116">
        <f>MAX(C13,C18,C23)</f>
        <v>118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2">
        <f>LongTest!F101</f>
        <v>13.281029275619737</v>
      </c>
      <c r="D10" s="548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3">
        <f>I6-C10</f>
        <v>24.918970724380266</v>
      </c>
      <c r="D11" s="549">
        <f>I6-D10</f>
        <v>23.241819350234596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85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26.85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104.1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26.85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26.85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102.36666666666667</v>
      </c>
      <c r="D30" s="7"/>
      <c r="E30" s="169">
        <f>(C13+C18)/2</f>
        <v>94.55</v>
      </c>
      <c r="F30" s="170">
        <f>MAX(C13,C18)</f>
        <v>104.1</v>
      </c>
      <c r="G30" s="171">
        <f>ROUND(C4/(G4*F30^2*I16),3)</f>
        <v>32.984999999999999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11.23</v>
      </c>
    </row>
    <row r="4" spans="1:2" ht="20.100000000000001" customHeight="1">
      <c r="A4" s="19" t="s">
        <v>147</v>
      </c>
      <c r="B4" s="99">
        <f>StepTest!G46</f>
        <v>23.89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206.76051663172791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5" t="s">
        <v>160</v>
      </c>
      <c r="B4" s="596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13.588547832183604</v>
      </c>
      <c r="AA4" s="159">
        <f>$Z$4</f>
        <v>13.588547832183604</v>
      </c>
      <c r="AB4" s="159">
        <f>X4</f>
        <v>1</v>
      </c>
      <c r="AC4" s="159">
        <f>Y4-AA4</f>
        <v>1.0076429827289779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7" t="s">
        <v>161</v>
      </c>
      <c r="B5" s="598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13.588547832183604</v>
      </c>
      <c r="AB5" s="159">
        <f t="shared" ref="AB5:AB43" si="6">X5</f>
        <v>2</v>
      </c>
      <c r="AC5" s="159">
        <f t="shared" ref="AC5:AC43" si="7">Y5-AA5</f>
        <v>2.4876659939187782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7" t="s">
        <v>162</v>
      </c>
      <c r="B6" s="598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13.588547832183604</v>
      </c>
      <c r="AB6" s="159">
        <f t="shared" si="6"/>
        <v>3</v>
      </c>
      <c r="AC6" s="159">
        <f t="shared" si="7"/>
        <v>3.3534239556692143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7" t="s">
        <v>163</v>
      </c>
      <c r="B7" s="598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13.588547832183604</v>
      </c>
      <c r="AB7" s="159">
        <f t="shared" si="6"/>
        <v>4</v>
      </c>
      <c r="AC7" s="159">
        <f t="shared" si="7"/>
        <v>3.9676890051085749</v>
      </c>
      <c r="AD7" s="361">
        <f t="shared" si="8"/>
        <v>3.96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9">
        <f>Input!I48</f>
        <v>7.5</v>
      </c>
      <c r="D8" s="600"/>
      <c r="E8" s="601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13.588547832183604</v>
      </c>
      <c r="AB8" s="159">
        <f t="shared" si="6"/>
        <v>5</v>
      </c>
      <c r="AC8" s="159">
        <f t="shared" si="7"/>
        <v>4.4441499934903632</v>
      </c>
      <c r="AD8" s="361">
        <f t="shared" si="8"/>
        <v>4.4400000000000004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602">
        <f>Input!M44</f>
        <v>250</v>
      </c>
      <c r="E9" s="602"/>
      <c r="F9" s="129" t="s">
        <v>168</v>
      </c>
      <c r="G9" s="603">
        <f>Input!M45</f>
        <v>158</v>
      </c>
      <c r="H9" s="603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13.588547832183604</v>
      </c>
      <c r="AB9" s="159">
        <f t="shared" si="6"/>
        <v>10</v>
      </c>
      <c r="AC9" s="159">
        <f t="shared" si="7"/>
        <v>5.9241730046801635</v>
      </c>
      <c r="AD9" s="361">
        <f t="shared" si="8"/>
        <v>5.92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4">
        <f>Input!M48</f>
        <v>11.35</v>
      </c>
      <c r="E10" s="605"/>
      <c r="F10" s="143" t="s">
        <v>4</v>
      </c>
      <c r="G10" s="606" t="s">
        <v>4</v>
      </c>
      <c r="H10" s="606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13.588547832183604</v>
      </c>
      <c r="AB10" s="159">
        <f t="shared" si="6"/>
        <v>15</v>
      </c>
      <c r="AC10" s="159">
        <f t="shared" si="7"/>
        <v>6.7899309664306031</v>
      </c>
      <c r="AD10" s="361">
        <f t="shared" si="8"/>
        <v>6.78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7" t="s">
        <v>173</v>
      </c>
      <c r="E11" s="607"/>
      <c r="F11" s="144" t="s">
        <v>174</v>
      </c>
      <c r="G11" s="608" t="s">
        <v>175</v>
      </c>
      <c r="H11" s="608"/>
      <c r="I11" s="431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13.588547832183604</v>
      </c>
      <c r="AB11" s="159">
        <f t="shared" si="6"/>
        <v>20</v>
      </c>
      <c r="AC11" s="159">
        <f t="shared" si="7"/>
        <v>7.4041960158699602</v>
      </c>
      <c r="AD11" s="361">
        <f t="shared" si="8"/>
        <v>7.4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91">
        <v>1</v>
      </c>
      <c r="E12" s="591"/>
      <c r="F12" s="148">
        <f>G12+$D$10</f>
        <v>12.65</v>
      </c>
      <c r="G12" s="592">
        <f>AD4</f>
        <v>1.3</v>
      </c>
      <c r="H12" s="592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13.588547832183604</v>
      </c>
      <c r="AB12" s="159">
        <f t="shared" si="6"/>
        <v>25</v>
      </c>
      <c r="AC12" s="159">
        <f t="shared" si="7"/>
        <v>7.8806570042517485</v>
      </c>
      <c r="AD12" s="361">
        <f t="shared" si="8"/>
        <v>7.88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91">
        <v>2</v>
      </c>
      <c r="E13" s="591"/>
      <c r="F13" s="148">
        <f t="shared" ref="F13:F51" si="13">G13+$D$10</f>
        <v>13.83</v>
      </c>
      <c r="G13" s="592">
        <f t="shared" ref="G13:G51" si="14">AD5</f>
        <v>2.48</v>
      </c>
      <c r="H13" s="592"/>
      <c r="I13" s="433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13.588547832183604</v>
      </c>
      <c r="AB13" s="159">
        <f t="shared" si="6"/>
        <v>30</v>
      </c>
      <c r="AC13" s="159">
        <f t="shared" si="7"/>
        <v>8.2699539776204034</v>
      </c>
      <c r="AD13" s="361">
        <f t="shared" si="8"/>
        <v>8.26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91">
        <v>3</v>
      </c>
      <c r="E14" s="591"/>
      <c r="F14" s="148">
        <f t="shared" si="13"/>
        <v>14.7</v>
      </c>
      <c r="G14" s="592">
        <f t="shared" si="14"/>
        <v>3.35</v>
      </c>
      <c r="H14" s="592"/>
      <c r="I14" s="433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13.588547832183604</v>
      </c>
      <c r="AB14" s="159">
        <f t="shared" si="6"/>
        <v>35</v>
      </c>
      <c r="AC14" s="159">
        <f t="shared" si="7"/>
        <v>8.5990998787125612</v>
      </c>
      <c r="AD14" s="361">
        <f t="shared" si="8"/>
        <v>8.59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91">
        <v>4</v>
      </c>
      <c r="E15" s="591"/>
      <c r="F15" s="148">
        <f t="shared" si="13"/>
        <v>15.309999999999999</v>
      </c>
      <c r="G15" s="592">
        <f t="shared" si="14"/>
        <v>3.96</v>
      </c>
      <c r="H15" s="592"/>
      <c r="I15" s="433"/>
      <c r="J15" s="376">
        <f t="shared" si="15"/>
        <v>0.60999999999999988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13.588547832183604</v>
      </c>
      <c r="AB15" s="159">
        <f t="shared" si="6"/>
        <v>40</v>
      </c>
      <c r="AC15" s="159">
        <f t="shared" si="7"/>
        <v>8.8842190270597605</v>
      </c>
      <c r="AD15" s="361">
        <f t="shared" si="8"/>
        <v>8.8800000000000008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91">
        <v>5</v>
      </c>
      <c r="E16" s="591"/>
      <c r="F16" s="148">
        <f t="shared" si="13"/>
        <v>15.79</v>
      </c>
      <c r="G16" s="592">
        <f t="shared" si="14"/>
        <v>4.4400000000000004</v>
      </c>
      <c r="H16" s="592"/>
      <c r="I16" s="433"/>
      <c r="J16" s="376">
        <f t="shared" si="15"/>
        <v>0.48000000000000043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13.588547832183604</v>
      </c>
      <c r="AB16" s="159">
        <f t="shared" si="6"/>
        <v>45</v>
      </c>
      <c r="AC16" s="159">
        <f t="shared" si="7"/>
        <v>9.135711939370843</v>
      </c>
      <c r="AD16" s="361">
        <f t="shared" si="8"/>
        <v>9.1300000000000008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91">
        <v>10</v>
      </c>
      <c r="E17" s="591"/>
      <c r="F17" s="148">
        <f t="shared" si="13"/>
        <v>17.27</v>
      </c>
      <c r="G17" s="592">
        <f t="shared" si="14"/>
        <v>5.92</v>
      </c>
      <c r="H17" s="592"/>
      <c r="I17" s="433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13.588547832183604</v>
      </c>
      <c r="AB17" s="159">
        <f t="shared" si="6"/>
        <v>50</v>
      </c>
      <c r="AC17" s="159">
        <f t="shared" si="7"/>
        <v>9.3606800154415488</v>
      </c>
      <c r="AD17" s="361">
        <f t="shared" ref="AD17:AD22" si="16">INT(AC17*100)/100</f>
        <v>9.36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91">
        <v>15</v>
      </c>
      <c r="E18" s="591"/>
      <c r="F18" s="148">
        <f t="shared" si="13"/>
        <v>18.13</v>
      </c>
      <c r="G18" s="592">
        <f t="shared" si="14"/>
        <v>6.78</v>
      </c>
      <c r="H18" s="592"/>
      <c r="I18" s="433"/>
      <c r="J18" s="376">
        <f t="shared" si="15"/>
        <v>0.86000000000000032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13.588547832183604</v>
      </c>
      <c r="AB18" s="159">
        <f t="shared" si="6"/>
        <v>55</v>
      </c>
      <c r="AC18" s="159">
        <f t="shared" si="7"/>
        <v>9.5641883947111346</v>
      </c>
      <c r="AD18" s="361">
        <f t="shared" si="16"/>
        <v>9.56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91">
        <v>20</v>
      </c>
      <c r="E19" s="591"/>
      <c r="F19" s="148">
        <f t="shared" si="13"/>
        <v>18.75</v>
      </c>
      <c r="G19" s="592">
        <f t="shared" si="14"/>
        <v>7.4</v>
      </c>
      <c r="H19" s="592"/>
      <c r="I19" s="433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13.588547832183604</v>
      </c>
      <c r="AB19" s="159">
        <f t="shared" si="6"/>
        <v>60</v>
      </c>
      <c r="AC19" s="159">
        <f t="shared" si="7"/>
        <v>9.7499769888102001</v>
      </c>
      <c r="AD19" s="361">
        <f t="shared" si="16"/>
        <v>9.74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91">
        <v>25</v>
      </c>
      <c r="E20" s="591"/>
      <c r="F20" s="148">
        <f t="shared" si="13"/>
        <v>19.23</v>
      </c>
      <c r="G20" s="592">
        <f t="shared" si="14"/>
        <v>7.88</v>
      </c>
      <c r="H20" s="592"/>
      <c r="I20" s="433"/>
      <c r="J20" s="376">
        <f t="shared" si="15"/>
        <v>0.47999999999999954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-2.84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13.588547832183604</v>
      </c>
      <c r="AB20" s="159">
        <f t="shared" si="6"/>
        <v>75</v>
      </c>
      <c r="AC20" s="159">
        <f t="shared" si="7"/>
        <v>10.226437977191988</v>
      </c>
      <c r="AD20" s="361">
        <f t="shared" si="16"/>
        <v>10.220000000000001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91">
        <v>30</v>
      </c>
      <c r="E21" s="591"/>
      <c r="F21" s="148">
        <f t="shared" si="13"/>
        <v>19.61</v>
      </c>
      <c r="G21" s="592">
        <f t="shared" si="14"/>
        <v>8.26</v>
      </c>
      <c r="H21" s="592"/>
      <c r="I21" s="433"/>
      <c r="J21" s="376">
        <f t="shared" si="15"/>
        <v>0.37999999999999989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-3.79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13.588547832183604</v>
      </c>
      <c r="AB21" s="159">
        <f t="shared" si="6"/>
        <v>90</v>
      </c>
      <c r="AC21" s="159">
        <f t="shared" si="7"/>
        <v>10.61573495056064</v>
      </c>
      <c r="AD21" s="361">
        <f t="shared" si="16"/>
        <v>10.61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91">
        <v>35</v>
      </c>
      <c r="E22" s="591"/>
      <c r="F22" s="148">
        <f t="shared" si="13"/>
        <v>19.939999999999998</v>
      </c>
      <c r="G22" s="592">
        <f t="shared" si="14"/>
        <v>8.59</v>
      </c>
      <c r="H22" s="592"/>
      <c r="I22" s="431"/>
      <c r="J22" s="376">
        <f t="shared" si="15"/>
        <v>0.33000000000000007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-9.41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13.588547832183604</v>
      </c>
      <c r="AA22" s="159">
        <f t="shared" si="5"/>
        <v>13.588547832183604</v>
      </c>
      <c r="AB22" s="159">
        <f t="shared" si="6"/>
        <v>105</v>
      </c>
      <c r="AC22" s="159">
        <f t="shared" si="7"/>
        <v>10.944880851652801</v>
      </c>
      <c r="AD22" s="361">
        <f t="shared" si="16"/>
        <v>10.94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91">
        <v>40</v>
      </c>
      <c r="E23" s="591"/>
      <c r="F23" s="148">
        <f t="shared" si="13"/>
        <v>20.23</v>
      </c>
      <c r="G23" s="592">
        <f t="shared" si="14"/>
        <v>8.8800000000000008</v>
      </c>
      <c r="H23" s="592"/>
      <c r="I23" s="431"/>
      <c r="J23" s="376">
        <f t="shared" si="15"/>
        <v>0.29000000000000092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-19.739999999999998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11.23</v>
      </c>
      <c r="AA23" s="159">
        <f t="shared" si="5"/>
        <v>13.588547832183604</v>
      </c>
      <c r="AB23" s="159">
        <f t="shared" si="6"/>
        <v>120</v>
      </c>
      <c r="AC23" s="159">
        <f t="shared" si="7"/>
        <v>11.23</v>
      </c>
      <c r="AD23" s="361">
        <f>INT((AC$3+AE23)*100)/100</f>
        <v>11.23</v>
      </c>
      <c r="AE23" s="159">
        <f>AG$23*AF23</f>
        <v>11.23</v>
      </c>
      <c r="AF23" s="159">
        <v>1</v>
      </c>
      <c r="AG23" s="159">
        <f>AC23-AC3</f>
        <v>11.23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91">
        <v>45</v>
      </c>
      <c r="E24" s="591"/>
      <c r="F24" s="148">
        <f t="shared" si="13"/>
        <v>20.48</v>
      </c>
      <c r="G24" s="592">
        <f t="shared" si="14"/>
        <v>9.1300000000000008</v>
      </c>
      <c r="H24" s="592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-27.97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18.682170679517956</v>
      </c>
      <c r="AA24" s="159">
        <f>$Z$24</f>
        <v>18.682170679517956</v>
      </c>
      <c r="AB24" s="159">
        <f t="shared" si="6"/>
        <v>130</v>
      </c>
      <c r="AC24" s="159">
        <f t="shared" si="7"/>
        <v>13.304333987660637</v>
      </c>
      <c r="AD24" s="361">
        <f>INT((AC$23+AE24)*100)/100</f>
        <v>13.48</v>
      </c>
      <c r="AE24" s="159">
        <f>AF24*AG$28</f>
        <v>2.25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91">
        <v>50</v>
      </c>
      <c r="E25" s="591"/>
      <c r="F25" s="148">
        <f t="shared" si="13"/>
        <v>20.71</v>
      </c>
      <c r="G25" s="592">
        <f t="shared" si="14"/>
        <v>9.36</v>
      </c>
      <c r="H25" s="592"/>
      <c r="I25" s="431"/>
      <c r="J25" s="376">
        <f t="shared" si="15"/>
        <v>0.22999999999999865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-36.33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18.682170679517956</v>
      </c>
      <c r="AB25" s="159">
        <f t="shared" si="6"/>
        <v>140</v>
      </c>
      <c r="AC25" s="159">
        <f t="shared" si="7"/>
        <v>13.506877299075018</v>
      </c>
      <c r="AD25" s="361">
        <f>INT((AC$23+AE25)*100)/100</f>
        <v>13.85</v>
      </c>
      <c r="AE25" s="159">
        <f>AF25*AG$28</f>
        <v>2.625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91">
        <v>55</v>
      </c>
      <c r="E26" s="591"/>
      <c r="F26" s="148">
        <f t="shared" si="13"/>
        <v>20.91</v>
      </c>
      <c r="G26" s="592">
        <f t="shared" si="14"/>
        <v>9.56</v>
      </c>
      <c r="H26" s="592"/>
      <c r="I26" s="431"/>
      <c r="J26" s="376">
        <f t="shared" si="15"/>
        <v>0.20000000000000107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-44.79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18.682170679517956</v>
      </c>
      <c r="AB26" s="159">
        <f t="shared" si="6"/>
        <v>150</v>
      </c>
      <c r="AC26" s="159">
        <f t="shared" si="7"/>
        <v>13.695440610805743</v>
      </c>
      <c r="AD26" s="361">
        <f>INT((AC$23+AE26)*100)/100</f>
        <v>14.23</v>
      </c>
      <c r="AE26" s="159">
        <f>AF26*AG$28</f>
        <v>3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91">
        <v>60</v>
      </c>
      <c r="E27" s="591"/>
      <c r="F27" s="148">
        <f t="shared" si="13"/>
        <v>21.09</v>
      </c>
      <c r="G27" s="592">
        <f t="shared" si="14"/>
        <v>9.74</v>
      </c>
      <c r="H27" s="592"/>
      <c r="I27" s="431"/>
      <c r="J27" s="376">
        <f t="shared" si="15"/>
        <v>0.17999999999999972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-53.3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18.682170679517956</v>
      </c>
      <c r="AA27" s="159">
        <f>$Z$24</f>
        <v>18.682170679517956</v>
      </c>
      <c r="AB27" s="159">
        <f t="shared" si="6"/>
        <v>180</v>
      </c>
      <c r="AC27" s="159">
        <f t="shared" si="7"/>
        <v>14.193740736717618</v>
      </c>
      <c r="AD27" s="361">
        <f>INT((AC$23+AE27)*100)/100</f>
        <v>14.6</v>
      </c>
      <c r="AE27" s="159">
        <f>AF27*AG$28</f>
        <v>3.375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91">
        <v>75</v>
      </c>
      <c r="E28" s="591"/>
      <c r="F28" s="148">
        <f t="shared" si="13"/>
        <v>21.57</v>
      </c>
      <c r="G28" s="592">
        <f t="shared" si="14"/>
        <v>10.220000000000001</v>
      </c>
      <c r="H28" s="592"/>
      <c r="I28" s="431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-61.86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14.98</v>
      </c>
      <c r="AA28" s="159">
        <f>$Z$24</f>
        <v>18.682170679517956</v>
      </c>
      <c r="AB28" s="159">
        <f t="shared" si="6"/>
        <v>240</v>
      </c>
      <c r="AC28" s="159">
        <f t="shared" si="7"/>
        <v>14.98</v>
      </c>
      <c r="AD28" s="361">
        <f>INT((AC$23+AE28)*100)/100</f>
        <v>14.98</v>
      </c>
      <c r="AE28" s="159">
        <f>AF28*AG$28</f>
        <v>3.75</v>
      </c>
      <c r="AF28" s="159">
        <v>1</v>
      </c>
      <c r="AG28" s="159">
        <f>AC28-AC23</f>
        <v>3.75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91">
        <v>90</v>
      </c>
      <c r="E29" s="591"/>
      <c r="F29" s="148">
        <f t="shared" si="13"/>
        <v>21.96</v>
      </c>
      <c r="G29" s="592">
        <f t="shared" si="14"/>
        <v>10.61</v>
      </c>
      <c r="H29" s="592"/>
      <c r="I29" s="431"/>
      <c r="J29" s="376">
        <f t="shared" si="15"/>
        <v>0.38999999999999879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-70.45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23.110292815338834</v>
      </c>
      <c r="AA29" s="159">
        <f>$Z$29</f>
        <v>23.110292815338834</v>
      </c>
      <c r="AB29" s="159">
        <f t="shared" si="6"/>
        <v>250</v>
      </c>
      <c r="AC29" s="159">
        <f t="shared" si="7"/>
        <v>17.977573506140683</v>
      </c>
      <c r="AD29" s="361">
        <f>INT((AC$28+AE29)*100)/100</f>
        <v>17.5</v>
      </c>
      <c r="AE29" s="159">
        <f>AF29*AG$33</f>
        <v>2.5260000000000002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91">
        <v>105</v>
      </c>
      <c r="E30" s="591"/>
      <c r="F30" s="148">
        <f t="shared" si="13"/>
        <v>22.29</v>
      </c>
      <c r="G30" s="592">
        <f t="shared" si="14"/>
        <v>10.94</v>
      </c>
      <c r="H30" s="592"/>
      <c r="I30" s="431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-79.06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23.110292815338834</v>
      </c>
      <c r="AB30" s="159">
        <f t="shared" si="6"/>
        <v>260</v>
      </c>
      <c r="AC30" s="159">
        <f t="shared" si="7"/>
        <v>18.107981101850374</v>
      </c>
      <c r="AD30" s="361">
        <f>INT((AC$28+AE30)*100)/100</f>
        <v>17.920000000000002</v>
      </c>
      <c r="AE30" s="159">
        <f>AF30*AG$33</f>
        <v>2.9470000000000005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91">
        <v>120</v>
      </c>
      <c r="E31" s="591"/>
      <c r="F31" s="148">
        <f t="shared" si="13"/>
        <v>22.58</v>
      </c>
      <c r="G31" s="592">
        <f t="shared" si="14"/>
        <v>11.23</v>
      </c>
      <c r="H31" s="592"/>
      <c r="I31" s="431"/>
      <c r="J31" s="376">
        <f t="shared" si="15"/>
        <v>0.29000000000000092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-87.7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23.110292815338834</v>
      </c>
      <c r="AB31" s="159">
        <f t="shared" si="6"/>
        <v>270</v>
      </c>
      <c r="AC31" s="159">
        <f t="shared" si="7"/>
        <v>18.233466465013034</v>
      </c>
      <c r="AD31" s="361">
        <f>INT((AC$28+AE31)*100)/100</f>
        <v>18.34</v>
      </c>
      <c r="AE31" s="159">
        <f>AF31*AG$33</f>
        <v>3.3680000000000008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91">
        <v>130</v>
      </c>
      <c r="E32" s="591"/>
      <c r="F32" s="148">
        <f t="shared" si="13"/>
        <v>24.83</v>
      </c>
      <c r="G32" s="592">
        <f t="shared" si="14"/>
        <v>13.48</v>
      </c>
      <c r="H32" s="592"/>
      <c r="I32" s="431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-96.37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23.110292815338834</v>
      </c>
      <c r="AA32" s="159">
        <f>$Z$29</f>
        <v>23.110292815338834</v>
      </c>
      <c r="AB32" s="159">
        <f t="shared" si="6"/>
        <v>300</v>
      </c>
      <c r="AC32" s="159">
        <f t="shared" si="7"/>
        <v>18.583786753070346</v>
      </c>
      <c r="AD32" s="361">
        <f>INT((AC$28+AE32)*100)/100</f>
        <v>18.760000000000002</v>
      </c>
      <c r="AE32" s="159">
        <f>AF32*AG$33</f>
        <v>3.789000000000001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91">
        <v>140</v>
      </c>
      <c r="E33" s="591"/>
      <c r="F33" s="148">
        <f t="shared" si="13"/>
        <v>25.2</v>
      </c>
      <c r="G33" s="592">
        <f t="shared" si="14"/>
        <v>13.85</v>
      </c>
      <c r="H33" s="592"/>
      <c r="I33" s="431"/>
      <c r="J33" s="376">
        <f t="shared" si="15"/>
        <v>0.36999999999999922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19.190000000000001</v>
      </c>
      <c r="AA33" s="159">
        <f>$Z$29</f>
        <v>23.110292815338834</v>
      </c>
      <c r="AB33" s="159">
        <f t="shared" si="6"/>
        <v>360</v>
      </c>
      <c r="AC33" s="159">
        <f t="shared" si="7"/>
        <v>19.190000000000001</v>
      </c>
      <c r="AD33" s="361">
        <f>INT((AC$28+AE33)*100)/100</f>
        <v>19.190000000000001</v>
      </c>
      <c r="AE33" s="159">
        <f>AF33*AG$33</f>
        <v>4.2100000000000009</v>
      </c>
      <c r="AF33" s="159">
        <v>1</v>
      </c>
      <c r="AG33" s="159">
        <f>AC33-AC28</f>
        <v>4.2100000000000009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91">
        <v>150</v>
      </c>
      <c r="E34" s="591"/>
      <c r="F34" s="148">
        <f t="shared" si="13"/>
        <v>25.58</v>
      </c>
      <c r="G34" s="592">
        <f t="shared" si="14"/>
        <v>14.23</v>
      </c>
      <c r="H34" s="592"/>
      <c r="I34" s="431"/>
      <c r="J34" s="376">
        <f t="shared" si="15"/>
        <v>0.38000000000000078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27.000383941559768</v>
      </c>
      <c r="AA34" s="159">
        <f>$Z$34</f>
        <v>27.000383941559768</v>
      </c>
      <c r="AB34" s="159">
        <f t="shared" si="6"/>
        <v>370</v>
      </c>
      <c r="AC34" s="159">
        <f t="shared" si="7"/>
        <v>22.871843721325654</v>
      </c>
      <c r="AD34" s="361">
        <f>INT((AC$33+AE34)*100)/100</f>
        <v>22.01</v>
      </c>
      <c r="AE34" s="159">
        <f>AG$38*AF34</f>
        <v>2.8199999999999994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91">
        <v>180</v>
      </c>
      <c r="E35" s="591"/>
      <c r="F35" s="148">
        <f t="shared" si="13"/>
        <v>25.95</v>
      </c>
      <c r="G35" s="592">
        <f t="shared" si="14"/>
        <v>14.6</v>
      </c>
      <c r="H35" s="592"/>
      <c r="I35" s="431"/>
      <c r="J35" s="376">
        <f t="shared" si="15"/>
        <v>0.36999999999999922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27.000383941559768</v>
      </c>
      <c r="AB35" s="159">
        <f t="shared" si="6"/>
        <v>380</v>
      </c>
      <c r="AC35" s="159">
        <f t="shared" si="7"/>
        <v>22.976162608679743</v>
      </c>
      <c r="AD35" s="361">
        <f>INT((AC$33+AE35)*100)/100</f>
        <v>22.48</v>
      </c>
      <c r="AE35" s="159">
        <f>AG$38*AF35</f>
        <v>3.2899999999999991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91">
        <v>240</v>
      </c>
      <c r="E36" s="591"/>
      <c r="F36" s="148">
        <f t="shared" si="13"/>
        <v>26.33</v>
      </c>
      <c r="G36" s="592">
        <f t="shared" si="14"/>
        <v>14.98</v>
      </c>
      <c r="H36" s="592"/>
      <c r="I36" s="431"/>
      <c r="J36" s="376">
        <f t="shared" si="15"/>
        <v>0.38000000000000078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27.000383941559768</v>
      </c>
      <c r="AB36" s="159">
        <f t="shared" si="6"/>
        <v>390</v>
      </c>
      <c r="AC36" s="159">
        <f t="shared" si="7"/>
        <v>23.077771605766102</v>
      </c>
      <c r="AD36" s="361">
        <f>INT((AC$33+AE36)*100)/100</f>
        <v>22.95</v>
      </c>
      <c r="AE36" s="159">
        <f>AG$38*AF36</f>
        <v>3.76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91">
        <v>250</v>
      </c>
      <c r="E37" s="591"/>
      <c r="F37" s="148">
        <f t="shared" si="13"/>
        <v>28.85</v>
      </c>
      <c r="G37" s="592">
        <f t="shared" si="14"/>
        <v>17.5</v>
      </c>
      <c r="H37" s="592"/>
      <c r="I37" s="431"/>
      <c r="J37" s="376">
        <f t="shared" si="15"/>
        <v>2.5199999999999996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27.000383941559768</v>
      </c>
      <c r="AA37" s="159">
        <f>$Z$34</f>
        <v>27.000383941559768</v>
      </c>
      <c r="AB37" s="159">
        <f t="shared" si="6"/>
        <v>420</v>
      </c>
      <c r="AC37" s="159">
        <f t="shared" si="7"/>
        <v>23.367661720227943</v>
      </c>
      <c r="AD37" s="361">
        <f>INT((AC$33+AE37)*100)/100</f>
        <v>23.42</v>
      </c>
      <c r="AE37" s="159">
        <f>AG$38*AF37</f>
        <v>4.2299999999999995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91">
        <v>260</v>
      </c>
      <c r="E38" s="591"/>
      <c r="F38" s="148">
        <f t="shared" si="13"/>
        <v>29.270000000000003</v>
      </c>
      <c r="G38" s="592">
        <f t="shared" si="14"/>
        <v>17.920000000000002</v>
      </c>
      <c r="H38" s="592"/>
      <c r="I38" s="431"/>
      <c r="J38" s="376">
        <f t="shared" si="15"/>
        <v>0.42000000000000171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23.89</v>
      </c>
      <c r="AA38" s="159">
        <f>$Z$34</f>
        <v>27.000383941559768</v>
      </c>
      <c r="AB38" s="159">
        <f t="shared" si="6"/>
        <v>480</v>
      </c>
      <c r="AC38" s="159">
        <f t="shared" si="7"/>
        <v>23.89</v>
      </c>
      <c r="AD38" s="361">
        <f>INT((AC$33+AE38)*100)/100</f>
        <v>23.89</v>
      </c>
      <c r="AE38" s="159">
        <f>AG$38*AF38</f>
        <v>4.6999999999999993</v>
      </c>
      <c r="AF38" s="159">
        <v>1</v>
      </c>
      <c r="AG38" s="159">
        <f>AC38-AC33</f>
        <v>4.6999999999999993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91">
        <v>270</v>
      </c>
      <c r="E39" s="591"/>
      <c r="F39" s="148">
        <f t="shared" si="13"/>
        <v>29.689999999999998</v>
      </c>
      <c r="G39" s="592">
        <f t="shared" si="14"/>
        <v>18.34</v>
      </c>
      <c r="H39" s="592"/>
      <c r="I39" s="431"/>
      <c r="J39" s="376">
        <f t="shared" si="15"/>
        <v>0.41999999999999815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28.477749543116492</v>
      </c>
      <c r="AA39" s="159">
        <f>$Z$39</f>
        <v>28.477749543116492</v>
      </c>
      <c r="AB39" s="159">
        <f t="shared" si="6"/>
        <v>490</v>
      </c>
      <c r="AC39" s="159">
        <f t="shared" si="7"/>
        <v>30.138947552360332</v>
      </c>
      <c r="AD39" s="361">
        <f>INT((AC$38+AE39)*100)/100</f>
        <v>26.75</v>
      </c>
      <c r="AE39" s="159">
        <f>AG$43*AF39</f>
        <v>2.8640000000000003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91">
        <v>300</v>
      </c>
      <c r="E40" s="591"/>
      <c r="F40" s="148">
        <f t="shared" si="13"/>
        <v>30.11</v>
      </c>
      <c r="G40" s="592">
        <f t="shared" si="14"/>
        <v>18.760000000000002</v>
      </c>
      <c r="H40" s="592"/>
      <c r="I40" s="431"/>
      <c r="J40" s="376">
        <f t="shared" si="15"/>
        <v>0.42000000000000171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28.477749543116492</v>
      </c>
      <c r="AB40" s="159">
        <f t="shared" si="6"/>
        <v>500</v>
      </c>
      <c r="AC40" s="159">
        <f t="shared" si="7"/>
        <v>30.229829136506925</v>
      </c>
      <c r="AD40" s="361">
        <f>INT((AC$38+AE40)*100)/100</f>
        <v>27.82</v>
      </c>
      <c r="AE40" s="159">
        <f>AG$43*AF40</f>
        <v>3.9380000000000006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91">
        <v>360</v>
      </c>
      <c r="E41" s="591"/>
      <c r="F41" s="148">
        <f t="shared" si="13"/>
        <v>30.54</v>
      </c>
      <c r="G41" s="592">
        <f t="shared" si="14"/>
        <v>19.190000000000001</v>
      </c>
      <c r="H41" s="592"/>
      <c r="I41" s="431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28.477749543116492</v>
      </c>
      <c r="AB41" s="159">
        <f t="shared" si="6"/>
        <v>510</v>
      </c>
      <c r="AC41" s="159">
        <f t="shared" si="7"/>
        <v>30.318910966513972</v>
      </c>
      <c r="AD41" s="361">
        <f>INT((AC$38+AE41)*100)/100</f>
        <v>28.9</v>
      </c>
      <c r="AE41" s="159">
        <f>AG$43*AF41</f>
        <v>5.0119999999999996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91">
        <v>370</v>
      </c>
      <c r="E42" s="591"/>
      <c r="F42" s="148">
        <f t="shared" si="13"/>
        <v>33.36</v>
      </c>
      <c r="G42" s="592">
        <f t="shared" si="14"/>
        <v>22.01</v>
      </c>
      <c r="H42" s="592"/>
      <c r="I42" s="431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28.477749543116492</v>
      </c>
      <c r="AA42" s="159">
        <f>$Z$39</f>
        <v>28.477749543116492</v>
      </c>
      <c r="AB42" s="159">
        <f t="shared" si="6"/>
        <v>540</v>
      </c>
      <c r="AC42" s="159">
        <f t="shared" si="7"/>
        <v>30.576037257334225</v>
      </c>
      <c r="AD42" s="361">
        <f>INT((AC$38+AE42)*100)/100</f>
        <v>29.97</v>
      </c>
      <c r="AE42" s="159">
        <f>AG$43*AF42</f>
        <v>6.0860000000000003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91">
        <v>380</v>
      </c>
      <c r="E43" s="591"/>
      <c r="F43" s="148">
        <f t="shared" si="13"/>
        <v>33.83</v>
      </c>
      <c r="G43" s="592">
        <f t="shared" si="14"/>
        <v>22.48</v>
      </c>
      <c r="H43" s="592"/>
      <c r="I43" s="431"/>
      <c r="J43" s="376">
        <f t="shared" si="15"/>
        <v>0.46999999999999886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31.05</v>
      </c>
      <c r="AA43" s="159">
        <f>$Z$39</f>
        <v>28.477749543116492</v>
      </c>
      <c r="AB43" s="159">
        <f t="shared" si="6"/>
        <v>600</v>
      </c>
      <c r="AC43" s="159">
        <f t="shared" si="7"/>
        <v>31.05</v>
      </c>
      <c r="AD43" s="361">
        <f>INT((AC$38+AE43)*100)/100</f>
        <v>31.05</v>
      </c>
      <c r="AE43" s="159">
        <f>AG$43*AF43</f>
        <v>7.16</v>
      </c>
      <c r="AF43" s="159">
        <v>1</v>
      </c>
      <c r="AG43" s="159">
        <f>AC43-AC38</f>
        <v>7.16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91">
        <v>390</v>
      </c>
      <c r="E44" s="591"/>
      <c r="F44" s="148">
        <f t="shared" si="13"/>
        <v>34.299999999999997</v>
      </c>
      <c r="G44" s="592">
        <f t="shared" si="14"/>
        <v>22.95</v>
      </c>
      <c r="H44" s="592"/>
      <c r="I44" s="431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91">
        <v>420</v>
      </c>
      <c r="E45" s="591"/>
      <c r="F45" s="148">
        <f t="shared" si="13"/>
        <v>34.770000000000003</v>
      </c>
      <c r="G45" s="592">
        <f t="shared" si="14"/>
        <v>23.42</v>
      </c>
      <c r="H45" s="592"/>
      <c r="I45" s="431"/>
      <c r="J45" s="376">
        <f t="shared" si="15"/>
        <v>0.47000000000000242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91">
        <v>480</v>
      </c>
      <c r="E46" s="591"/>
      <c r="F46" s="148">
        <f t="shared" si="13"/>
        <v>35.24</v>
      </c>
      <c r="G46" s="592">
        <f t="shared" si="14"/>
        <v>23.89</v>
      </c>
      <c r="H46" s="592"/>
      <c r="I46" s="431"/>
      <c r="J46" s="376">
        <f t="shared" si="15"/>
        <v>0.46999999999999886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91">
        <v>490</v>
      </c>
      <c r="E47" s="591"/>
      <c r="F47" s="148">
        <f t="shared" si="13"/>
        <v>38.1</v>
      </c>
      <c r="G47" s="592">
        <f t="shared" si="14"/>
        <v>26.75</v>
      </c>
      <c r="H47" s="592"/>
      <c r="I47" s="431"/>
      <c r="J47" s="376">
        <f t="shared" si="15"/>
        <v>2.8599999999999994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91">
        <v>500</v>
      </c>
      <c r="E48" s="591"/>
      <c r="F48" s="148">
        <f t="shared" si="13"/>
        <v>39.17</v>
      </c>
      <c r="G48" s="592">
        <f t="shared" si="14"/>
        <v>27.82</v>
      </c>
      <c r="H48" s="592"/>
      <c r="I48" s="431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91">
        <v>510</v>
      </c>
      <c r="E49" s="591"/>
      <c r="F49" s="148">
        <f t="shared" si="13"/>
        <v>40.25</v>
      </c>
      <c r="G49" s="592">
        <f t="shared" si="14"/>
        <v>28.9</v>
      </c>
      <c r="H49" s="592"/>
      <c r="I49" s="431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91">
        <v>540</v>
      </c>
      <c r="E50" s="591"/>
      <c r="F50" s="148">
        <f t="shared" si="13"/>
        <v>41.32</v>
      </c>
      <c r="G50" s="592">
        <f t="shared" si="14"/>
        <v>29.97</v>
      </c>
      <c r="H50" s="592"/>
      <c r="I50" s="431"/>
      <c r="J50" s="376">
        <f t="shared" si="15"/>
        <v>1.0700000000000003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593">
        <v>600</v>
      </c>
      <c r="E51" s="593"/>
      <c r="F51" s="437">
        <f t="shared" si="13"/>
        <v>42.4</v>
      </c>
      <c r="G51" s="594">
        <f t="shared" si="14"/>
        <v>31.05</v>
      </c>
      <c r="H51" s="594"/>
      <c r="I51" s="438" t="s">
        <v>180</v>
      </c>
      <c r="J51" s="376">
        <f t="shared" si="15"/>
        <v>1.0800000000000018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-6.1116131820964235</v>
      </c>
      <c r="N1" s="613" t="s">
        <v>183</v>
      </c>
      <c r="O1" s="613"/>
      <c r="P1" s="344">
        <f>StepTest!G41</f>
        <v>19.190000000000001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4">
        <f>StepTest!C8</f>
        <v>7.5</v>
      </c>
      <c r="D6" s="614"/>
      <c r="E6" s="615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26.85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6" t="s">
        <v>173</v>
      </c>
      <c r="E9" s="616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0</v>
      </c>
      <c r="L10" s="39">
        <f>K10+Q17</f>
        <v>0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9" t="s">
        <v>191</v>
      </c>
      <c r="I78" s="609"/>
      <c r="J78" s="610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9"/>
      <c r="I79" s="609"/>
      <c r="J79" s="610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9"/>
      <c r="I80" s="609"/>
      <c r="J80" s="610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9"/>
      <c r="I81" s="609"/>
      <c r="J81" s="610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9"/>
      <c r="I82" s="609"/>
      <c r="J82" s="610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9"/>
      <c r="I83" s="609"/>
      <c r="J83" s="610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9"/>
      <c r="I84" s="609"/>
      <c r="J84" s="610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9"/>
      <c r="I85" s="609"/>
      <c r="J85" s="610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9"/>
      <c r="I86" s="609"/>
      <c r="J86" s="610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9"/>
      <c r="I87" s="609"/>
      <c r="J87" s="610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9"/>
      <c r="I88" s="609"/>
      <c r="J88" s="610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9"/>
      <c r="I89" s="609"/>
      <c r="J89" s="610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9"/>
      <c r="I90" s="609"/>
      <c r="J90" s="610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9"/>
      <c r="I91" s="609"/>
      <c r="J91" s="610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9"/>
      <c r="I92" s="609"/>
      <c r="J92" s="610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9"/>
      <c r="I93" s="609"/>
      <c r="J93" s="610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9"/>
      <c r="I94" s="609"/>
      <c r="J94" s="610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9"/>
      <c r="I95" s="609"/>
      <c r="J95" s="610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9"/>
      <c r="I96" s="609"/>
      <c r="J96" s="610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9"/>
      <c r="I97" s="609"/>
      <c r="J97" s="610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9"/>
      <c r="I98" s="609"/>
      <c r="J98" s="610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9"/>
      <c r="I99" s="609"/>
      <c r="J99" s="610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9"/>
      <c r="I100" s="609"/>
      <c r="J100" s="610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11"/>
      <c r="I101" s="611"/>
      <c r="J101" s="612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3.96</v>
      </c>
      <c r="C38" s="60">
        <v>1</v>
      </c>
    </row>
    <row r="39" spans="1:3">
      <c r="A39" s="58">
        <f>Sheet1!A5</f>
        <v>5</v>
      </c>
      <c r="B39" s="59">
        <f>Sheet1!B5</f>
        <v>4.4400000000000004</v>
      </c>
      <c r="C39" s="60">
        <v>1</v>
      </c>
    </row>
    <row r="40" spans="1:3">
      <c r="A40" s="58">
        <f>Sheet1!A6</f>
        <v>10</v>
      </c>
      <c r="B40" s="59">
        <f>Sheet1!B6</f>
        <v>5.92</v>
      </c>
      <c r="C40" s="60">
        <v>1</v>
      </c>
    </row>
    <row r="41" spans="1:3">
      <c r="A41" s="58">
        <f>Sheet1!A7</f>
        <v>15</v>
      </c>
      <c r="B41" s="59">
        <f>Sheet1!B7</f>
        <v>6.78</v>
      </c>
      <c r="C41" s="60">
        <v>1</v>
      </c>
    </row>
    <row r="42" spans="1:3">
      <c r="A42" s="58">
        <f>Sheet1!A8</f>
        <v>20</v>
      </c>
      <c r="B42" s="59">
        <f>Sheet1!B8</f>
        <v>7.4</v>
      </c>
      <c r="C42" s="60">
        <v>1</v>
      </c>
    </row>
    <row r="43" spans="1:3">
      <c r="A43" s="58">
        <f>Sheet1!A9</f>
        <v>25</v>
      </c>
      <c r="B43" s="59">
        <f>Sheet1!B9</f>
        <v>7.88</v>
      </c>
      <c r="C43" s="60">
        <v>1</v>
      </c>
    </row>
    <row r="44" spans="1:3">
      <c r="A44" s="58">
        <f>Sheet1!A10</f>
        <v>30</v>
      </c>
      <c r="B44" s="59">
        <f>Sheet1!B10</f>
        <v>8.26</v>
      </c>
      <c r="C44" s="60">
        <v>1</v>
      </c>
    </row>
    <row r="45" spans="1:3">
      <c r="A45" s="58">
        <f>Sheet1!A11</f>
        <v>35</v>
      </c>
      <c r="B45" s="59">
        <f>Sheet1!B11</f>
        <v>8.59</v>
      </c>
      <c r="C45" s="60">
        <v>1</v>
      </c>
    </row>
    <row r="46" spans="1:3">
      <c r="A46" s="58">
        <f>Sheet1!A12</f>
        <v>40</v>
      </c>
      <c r="B46" s="59">
        <f>Sheet1!B12</f>
        <v>8.8800000000000008</v>
      </c>
      <c r="C46" s="60">
        <v>1</v>
      </c>
    </row>
    <row r="47" spans="1:3">
      <c r="A47" s="58">
        <f>Sheet1!A13</f>
        <v>45</v>
      </c>
      <c r="B47" s="59">
        <f>Sheet1!B13</f>
        <v>9.1300000000000008</v>
      </c>
      <c r="C47" s="60">
        <v>1</v>
      </c>
    </row>
    <row r="48" spans="1:3">
      <c r="A48" s="58">
        <f>Sheet1!A14</f>
        <v>50</v>
      </c>
      <c r="B48" s="59">
        <f>Sheet1!B14</f>
        <v>9.36</v>
      </c>
      <c r="C48" s="60">
        <v>1</v>
      </c>
    </row>
    <row r="49" spans="1:3">
      <c r="A49" s="58">
        <f>Sheet1!A15</f>
        <v>55</v>
      </c>
      <c r="B49" s="59">
        <f>Sheet1!B15</f>
        <v>9.56</v>
      </c>
      <c r="C49" s="60">
        <v>1</v>
      </c>
    </row>
    <row r="50" spans="1:3">
      <c r="A50" s="58">
        <f>Sheet1!A16</f>
        <v>60</v>
      </c>
      <c r="B50" s="59">
        <f>Sheet1!B16</f>
        <v>9.74</v>
      </c>
      <c r="C50" s="60">
        <v>1</v>
      </c>
    </row>
    <row r="51" spans="1:3">
      <c r="A51" s="58">
        <f>Sheet1!A17</f>
        <v>75</v>
      </c>
      <c r="B51" s="59">
        <f>Sheet1!B17</f>
        <v>10.220000000000001</v>
      </c>
      <c r="C51" s="60">
        <v>1</v>
      </c>
    </row>
    <row r="52" spans="1:3">
      <c r="A52" s="58">
        <f>Sheet1!A18</f>
        <v>90</v>
      </c>
      <c r="B52" s="59">
        <f>Sheet1!B18</f>
        <v>10.61</v>
      </c>
      <c r="C52" s="60">
        <v>1</v>
      </c>
    </row>
    <row r="53" spans="1:3">
      <c r="A53" s="58">
        <f>Sheet1!A19</f>
        <v>105</v>
      </c>
      <c r="B53" s="59">
        <f>Sheet1!B19</f>
        <v>10.94</v>
      </c>
      <c r="C53" s="60">
        <v>1</v>
      </c>
    </row>
    <row r="54" spans="1:3">
      <c r="A54" s="58">
        <f>Sheet1!A20</f>
        <v>120</v>
      </c>
      <c r="B54" s="59">
        <f>Sheet1!B20</f>
        <v>11.23</v>
      </c>
      <c r="C54" s="60">
        <v>1</v>
      </c>
    </row>
    <row r="55" spans="1:3">
      <c r="A55" s="58">
        <f>Sheet1!A21</f>
        <v>121</v>
      </c>
      <c r="B55" s="59">
        <f>Sheet1!B21</f>
        <v>11.39</v>
      </c>
      <c r="C55" s="60">
        <v>1</v>
      </c>
    </row>
    <row r="56" spans="1:3">
      <c r="A56" s="58">
        <f>Sheet1!A22</f>
        <v>122</v>
      </c>
      <c r="B56" s="59">
        <f>Sheet1!B22</f>
        <v>11.540000000000001</v>
      </c>
      <c r="C56" s="60">
        <v>1</v>
      </c>
    </row>
    <row r="57" spans="1:3">
      <c r="A57" s="58">
        <f>Sheet1!A23</f>
        <v>123</v>
      </c>
      <c r="B57" s="59">
        <f>Sheet1!B23</f>
        <v>11.680000000000001</v>
      </c>
      <c r="C57" s="60">
        <v>1</v>
      </c>
    </row>
    <row r="58" spans="1:3">
      <c r="A58" s="58">
        <f>Sheet1!A24</f>
        <v>124</v>
      </c>
      <c r="B58" s="59">
        <f>Sheet1!B24</f>
        <v>11.810000000000002</v>
      </c>
      <c r="C58" s="60">
        <v>1</v>
      </c>
    </row>
    <row r="59" spans="1:3">
      <c r="A59" s="58">
        <f>Sheet1!A25</f>
        <v>125</v>
      </c>
      <c r="B59" s="59">
        <f>Sheet1!B25</f>
        <v>11.940000000000003</v>
      </c>
      <c r="C59" s="60">
        <v>1</v>
      </c>
    </row>
    <row r="60" spans="1:3">
      <c r="A60" s="58">
        <f>Sheet1!A26</f>
        <v>130</v>
      </c>
      <c r="B60" s="59">
        <f>Sheet1!B26</f>
        <v>13.48</v>
      </c>
      <c r="C60" s="60">
        <v>1</v>
      </c>
    </row>
    <row r="61" spans="1:3">
      <c r="A61" s="58">
        <f>Sheet1!A27</f>
        <v>135</v>
      </c>
      <c r="B61" s="59">
        <f>Sheet1!B27</f>
        <v>13.59</v>
      </c>
      <c r="C61" s="60">
        <v>1</v>
      </c>
    </row>
    <row r="62" spans="1:3">
      <c r="A62" s="58">
        <f>Sheet1!A28</f>
        <v>140</v>
      </c>
      <c r="B62" s="59">
        <f>Sheet1!B28</f>
        <v>13.85</v>
      </c>
      <c r="C62" s="60">
        <v>1</v>
      </c>
    </row>
    <row r="63" spans="1:3">
      <c r="A63" s="58">
        <f>Sheet1!A29</f>
        <v>145</v>
      </c>
      <c r="B63" s="59">
        <f>Sheet1!B29</f>
        <v>13.95</v>
      </c>
      <c r="C63" s="60">
        <v>1</v>
      </c>
    </row>
    <row r="64" spans="1:3">
      <c r="A64" s="58">
        <f>Sheet1!A30</f>
        <v>150</v>
      </c>
      <c r="B64" s="59">
        <f>Sheet1!B30</f>
        <v>14.23</v>
      </c>
      <c r="C64" s="60">
        <v>1</v>
      </c>
    </row>
    <row r="65" spans="1:3">
      <c r="A65" s="58">
        <f>Sheet1!A31</f>
        <v>155</v>
      </c>
      <c r="B65" s="59">
        <f>Sheet1!B31</f>
        <v>14.290000000000001</v>
      </c>
      <c r="C65" s="60">
        <v>1</v>
      </c>
    </row>
    <row r="66" spans="1:3">
      <c r="A66" s="58">
        <f>Sheet1!A32</f>
        <v>160</v>
      </c>
      <c r="B66" s="59">
        <f>Sheet1!B32</f>
        <v>14.340000000000002</v>
      </c>
      <c r="C66" s="60">
        <v>1</v>
      </c>
    </row>
    <row r="67" spans="1:3">
      <c r="A67" s="58">
        <f>Sheet1!A33</f>
        <v>165</v>
      </c>
      <c r="B67" s="59">
        <f>Sheet1!B33</f>
        <v>14.38</v>
      </c>
      <c r="C67" s="60">
        <v>1</v>
      </c>
    </row>
    <row r="68" spans="1:3">
      <c r="A68" s="58">
        <f>Sheet1!A34</f>
        <v>170</v>
      </c>
      <c r="B68" s="59">
        <f>Sheet1!B34</f>
        <v>14.41</v>
      </c>
      <c r="C68" s="60">
        <v>1</v>
      </c>
    </row>
    <row r="69" spans="1:3">
      <c r="A69" s="58">
        <f>Sheet1!A35</f>
        <v>175</v>
      </c>
      <c r="B69" s="59">
        <f>Sheet1!B35</f>
        <v>14.43</v>
      </c>
      <c r="C69" s="60">
        <v>1</v>
      </c>
    </row>
    <row r="70" spans="1:3">
      <c r="A70" s="58">
        <f>Sheet1!A36</f>
        <v>180</v>
      </c>
      <c r="B70" s="59">
        <f>Sheet1!B36</f>
        <v>14.6</v>
      </c>
      <c r="C70" s="60">
        <v>1</v>
      </c>
    </row>
    <row r="71" spans="1:3">
      <c r="A71" s="58">
        <f>Sheet1!A37</f>
        <v>195</v>
      </c>
      <c r="B71" s="59">
        <f>Sheet1!B37</f>
        <v>14.67</v>
      </c>
      <c r="C71" s="60">
        <v>1</v>
      </c>
    </row>
    <row r="72" spans="1:3">
      <c r="A72" s="58">
        <f>Sheet1!A38</f>
        <v>210</v>
      </c>
      <c r="B72" s="59">
        <f>Sheet1!B38</f>
        <v>14.73</v>
      </c>
      <c r="C72" s="60">
        <v>1</v>
      </c>
    </row>
    <row r="73" spans="1:3">
      <c r="A73" s="58">
        <f>Sheet1!A39</f>
        <v>225</v>
      </c>
      <c r="B73" s="59">
        <f>Sheet1!B39</f>
        <v>14.780000000000001</v>
      </c>
      <c r="C73" s="60">
        <v>1</v>
      </c>
    </row>
    <row r="74" spans="1:3">
      <c r="A74" s="58">
        <f>Sheet1!A40</f>
        <v>240</v>
      </c>
      <c r="B74" s="59">
        <f>Sheet1!B40</f>
        <v>14.98</v>
      </c>
      <c r="C74" s="60">
        <v>1</v>
      </c>
    </row>
    <row r="75" spans="1:3">
      <c r="A75" s="58">
        <f>Sheet1!A41</f>
        <v>241</v>
      </c>
      <c r="B75" s="59">
        <f>Sheet1!B41</f>
        <v>15.16</v>
      </c>
      <c r="C75" s="60">
        <v>1</v>
      </c>
    </row>
    <row r="76" spans="1:3">
      <c r="A76" s="58">
        <f>Sheet1!A42</f>
        <v>242</v>
      </c>
      <c r="B76" s="59">
        <f>Sheet1!B42</f>
        <v>15.32</v>
      </c>
      <c r="C76" s="60">
        <v>1</v>
      </c>
    </row>
    <row r="77" spans="1:3">
      <c r="A77" s="58">
        <f>Sheet1!A43</f>
        <v>243</v>
      </c>
      <c r="B77" s="59">
        <f>Sheet1!B43</f>
        <v>15.47</v>
      </c>
      <c r="C77" s="60">
        <v>1</v>
      </c>
    </row>
    <row r="78" spans="1:3">
      <c r="A78" s="58">
        <f>Sheet1!A44</f>
        <v>244</v>
      </c>
      <c r="B78" s="59">
        <f>Sheet1!B44</f>
        <v>15.610000000000001</v>
      </c>
      <c r="C78" s="60">
        <v>1</v>
      </c>
    </row>
    <row r="79" spans="1:3">
      <c r="A79" s="58">
        <f>Sheet1!A45</f>
        <v>245</v>
      </c>
      <c r="B79" s="59">
        <f>Sheet1!B45</f>
        <v>15.740000000000002</v>
      </c>
      <c r="C79" s="60">
        <v>1</v>
      </c>
    </row>
    <row r="80" spans="1:3">
      <c r="A80" s="58">
        <f>Sheet1!A46</f>
        <v>250</v>
      </c>
      <c r="B80" s="59">
        <f>Sheet1!B46</f>
        <v>17.5</v>
      </c>
      <c r="C80" s="60">
        <v>1</v>
      </c>
    </row>
    <row r="81" spans="1:3">
      <c r="A81" s="58">
        <f>Sheet1!A47</f>
        <v>255</v>
      </c>
      <c r="B81" s="59">
        <f>Sheet1!B47</f>
        <v>17.61</v>
      </c>
      <c r="C81" s="60">
        <v>1</v>
      </c>
    </row>
    <row r="82" spans="1:3">
      <c r="A82" s="58">
        <f>Sheet1!A48</f>
        <v>260</v>
      </c>
      <c r="B82" s="59">
        <f>Sheet1!B48</f>
        <v>17.920000000000002</v>
      </c>
      <c r="C82" s="60">
        <v>1</v>
      </c>
    </row>
    <row r="83" spans="1:3">
      <c r="A83" s="58">
        <f>Sheet1!A49</f>
        <v>265</v>
      </c>
      <c r="B83" s="59">
        <f>Sheet1!B49</f>
        <v>18.03</v>
      </c>
      <c r="C83" s="60">
        <v>1</v>
      </c>
    </row>
    <row r="84" spans="1:3">
      <c r="A84" s="58">
        <f>Sheet1!A50</f>
        <v>270</v>
      </c>
      <c r="B84" s="59">
        <f>Sheet1!B50</f>
        <v>18.34</v>
      </c>
      <c r="C84" s="60">
        <v>1</v>
      </c>
    </row>
    <row r="85" spans="1:3">
      <c r="A85" s="58">
        <f>Sheet1!A51</f>
        <v>275</v>
      </c>
      <c r="B85" s="59">
        <f>Sheet1!B51</f>
        <v>18.41</v>
      </c>
      <c r="C85" s="60">
        <v>1</v>
      </c>
    </row>
    <row r="86" spans="1:3">
      <c r="A86" s="58">
        <f>Sheet1!A52</f>
        <v>280</v>
      </c>
      <c r="B86" s="59">
        <f>Sheet1!B52</f>
        <v>18.46</v>
      </c>
      <c r="C86" s="60">
        <v>1</v>
      </c>
    </row>
    <row r="87" spans="1:3">
      <c r="A87" s="58">
        <f>Sheet1!A53</f>
        <v>285</v>
      </c>
      <c r="B87" s="59">
        <f>Sheet1!B53</f>
        <v>18.5</v>
      </c>
      <c r="C87" s="60">
        <v>1</v>
      </c>
    </row>
    <row r="88" spans="1:3">
      <c r="A88" s="58">
        <f>Sheet1!A54</f>
        <v>290</v>
      </c>
      <c r="B88" s="59">
        <f>Sheet1!B54</f>
        <v>18.53</v>
      </c>
      <c r="C88" s="60">
        <v>1</v>
      </c>
    </row>
    <row r="89" spans="1:3">
      <c r="A89" s="58">
        <f>Sheet1!A55</f>
        <v>295</v>
      </c>
      <c r="B89" s="59">
        <f>Sheet1!B55</f>
        <v>18.55</v>
      </c>
      <c r="C89" s="60">
        <v>1</v>
      </c>
    </row>
    <row r="90" spans="1:3">
      <c r="A90" s="58">
        <f>Sheet1!A56</f>
        <v>300</v>
      </c>
      <c r="B90" s="59">
        <f>Sheet1!B56</f>
        <v>18.760000000000002</v>
      </c>
      <c r="C90" s="60">
        <v>1</v>
      </c>
    </row>
    <row r="91" spans="1:3">
      <c r="A91" s="58">
        <f>Sheet1!A57</f>
        <v>315</v>
      </c>
      <c r="B91" s="59">
        <f>Sheet1!B57</f>
        <v>18.84</v>
      </c>
      <c r="C91" s="60">
        <v>1</v>
      </c>
    </row>
    <row r="92" spans="1:3">
      <c r="A92" s="58">
        <f>Sheet1!A58</f>
        <v>330</v>
      </c>
      <c r="B92" s="59">
        <f>Sheet1!B58</f>
        <v>18.899999999999999</v>
      </c>
      <c r="C92" s="60">
        <v>1</v>
      </c>
    </row>
    <row r="93" spans="1:3">
      <c r="A93" s="58">
        <f>Sheet1!A59</f>
        <v>345</v>
      </c>
      <c r="B93" s="59">
        <f>Sheet1!B59</f>
        <v>18.95</v>
      </c>
      <c r="C93" s="60">
        <v>1</v>
      </c>
    </row>
    <row r="94" spans="1:3">
      <c r="A94" s="58">
        <f>Sheet1!A60</f>
        <v>360</v>
      </c>
      <c r="B94" s="59">
        <f>Sheet1!B60</f>
        <v>19.190000000000001</v>
      </c>
      <c r="C94" s="60">
        <v>1</v>
      </c>
    </row>
    <row r="95" spans="1:3">
      <c r="A95" s="58">
        <f>Sheet1!A61</f>
        <v>361</v>
      </c>
      <c r="B95" s="59">
        <f>Sheet1!B61</f>
        <v>19.380000000000003</v>
      </c>
      <c r="C95" s="60">
        <v>1</v>
      </c>
    </row>
    <row r="96" spans="1:3">
      <c r="A96" s="58">
        <f>Sheet1!A62</f>
        <v>362</v>
      </c>
      <c r="B96" s="59">
        <f>Sheet1!B62</f>
        <v>19.550000000000004</v>
      </c>
      <c r="C96" s="60">
        <v>1</v>
      </c>
    </row>
    <row r="97" spans="1:3">
      <c r="A97" s="58">
        <f>Sheet1!A63</f>
        <v>363</v>
      </c>
      <c r="B97" s="59">
        <f>Sheet1!B63</f>
        <v>19.710000000000004</v>
      </c>
      <c r="C97" s="60">
        <v>1</v>
      </c>
    </row>
    <row r="98" spans="1:3">
      <c r="A98" s="58">
        <f>Sheet1!A64</f>
        <v>364</v>
      </c>
      <c r="B98" s="59">
        <f>Sheet1!B64</f>
        <v>19.860000000000003</v>
      </c>
      <c r="C98" s="60">
        <v>1</v>
      </c>
    </row>
    <row r="99" spans="1:3">
      <c r="A99" s="58">
        <f>Sheet1!A65</f>
        <v>365</v>
      </c>
      <c r="B99" s="59">
        <f>Sheet1!B65</f>
        <v>20.000000000000004</v>
      </c>
      <c r="C99" s="60">
        <v>1</v>
      </c>
    </row>
    <row r="100" spans="1:3">
      <c r="A100" s="58">
        <f>Sheet1!A66</f>
        <v>370</v>
      </c>
      <c r="B100" s="59">
        <f>Sheet1!B66</f>
        <v>22.01</v>
      </c>
      <c r="C100" s="60">
        <v>1</v>
      </c>
    </row>
    <row r="101" spans="1:3">
      <c r="A101" s="58">
        <f>Sheet1!A67</f>
        <v>375</v>
      </c>
      <c r="B101" s="59">
        <f>Sheet1!B67</f>
        <v>22.130000000000003</v>
      </c>
      <c r="C101" s="60">
        <v>1</v>
      </c>
    </row>
    <row r="102" spans="1:3">
      <c r="A102" s="58">
        <f>Sheet1!A68</f>
        <v>380</v>
      </c>
      <c r="B102" s="59">
        <f>Sheet1!B68</f>
        <v>22.48</v>
      </c>
      <c r="C102" s="60">
        <v>1</v>
      </c>
    </row>
    <row r="103" spans="1:3">
      <c r="A103" s="58">
        <f>Sheet1!A69</f>
        <v>385</v>
      </c>
      <c r="B103" s="59">
        <f>Sheet1!B69</f>
        <v>22.6</v>
      </c>
      <c r="C103" s="60">
        <v>1</v>
      </c>
    </row>
    <row r="104" spans="1:3">
      <c r="A104" s="58">
        <f>Sheet1!A70</f>
        <v>390</v>
      </c>
      <c r="B104" s="59">
        <f>Sheet1!B70</f>
        <v>22.95</v>
      </c>
      <c r="C104" s="60">
        <v>1</v>
      </c>
    </row>
    <row r="105" spans="1:3">
      <c r="A105" s="58">
        <f>Sheet1!A71</f>
        <v>395</v>
      </c>
      <c r="B105" s="59">
        <f>Sheet1!B71</f>
        <v>23.02</v>
      </c>
      <c r="C105" s="60">
        <v>1</v>
      </c>
    </row>
    <row r="106" spans="1:3">
      <c r="A106" s="58">
        <f>Sheet1!A72</f>
        <v>400</v>
      </c>
      <c r="B106" s="59">
        <f>Sheet1!B72</f>
        <v>23.07</v>
      </c>
      <c r="C106" s="60">
        <v>1</v>
      </c>
    </row>
    <row r="107" spans="1:3">
      <c r="A107" s="58">
        <f>Sheet1!A73</f>
        <v>405</v>
      </c>
      <c r="B107" s="59">
        <f>Sheet1!B73</f>
        <v>23.11</v>
      </c>
      <c r="C107" s="60">
        <v>1</v>
      </c>
    </row>
    <row r="108" spans="1:3">
      <c r="A108" s="58">
        <f>Sheet1!A74</f>
        <v>410</v>
      </c>
      <c r="B108" s="59">
        <f>Sheet1!B74</f>
        <v>23.14</v>
      </c>
      <c r="C108" s="60">
        <v>1</v>
      </c>
    </row>
    <row r="109" spans="1:3">
      <c r="A109" s="58">
        <f>Sheet1!A75</f>
        <v>415</v>
      </c>
      <c r="B109" s="59">
        <f>Sheet1!B75</f>
        <v>23.17</v>
      </c>
      <c r="C109" s="60">
        <v>1</v>
      </c>
    </row>
    <row r="110" spans="1:3">
      <c r="A110" s="58">
        <f>Sheet1!A76</f>
        <v>420</v>
      </c>
      <c r="B110" s="59">
        <f>Sheet1!B76</f>
        <v>23.42</v>
      </c>
      <c r="C110" s="60">
        <v>1</v>
      </c>
    </row>
    <row r="111" spans="1:3">
      <c r="A111" s="58">
        <f>Sheet1!A77</f>
        <v>435</v>
      </c>
      <c r="B111" s="59">
        <f>Sheet1!B77</f>
        <v>23.51</v>
      </c>
      <c r="C111" s="60">
        <v>1</v>
      </c>
    </row>
    <row r="112" spans="1:3">
      <c r="A112" s="58">
        <f>Sheet1!A78</f>
        <v>450</v>
      </c>
      <c r="B112" s="59">
        <f>Sheet1!B78</f>
        <v>23.580000000000002</v>
      </c>
      <c r="C112" s="60">
        <v>1</v>
      </c>
    </row>
    <row r="113" spans="1:3">
      <c r="A113" s="58">
        <f>Sheet1!A79</f>
        <v>465</v>
      </c>
      <c r="B113" s="59">
        <f>Sheet1!B79</f>
        <v>23.630000000000003</v>
      </c>
      <c r="C113" s="60">
        <v>1</v>
      </c>
    </row>
    <row r="114" spans="1:3">
      <c r="A114" s="58">
        <f>Sheet1!A80</f>
        <v>480</v>
      </c>
      <c r="B114" s="59">
        <f>Sheet1!B80</f>
        <v>23.89</v>
      </c>
      <c r="C114" s="60">
        <v>1</v>
      </c>
    </row>
    <row r="115" spans="1:3">
      <c r="A115" s="58">
        <f>Sheet1!A81</f>
        <v>481</v>
      </c>
      <c r="B115" s="59">
        <f>Sheet1!B81</f>
        <v>24.1</v>
      </c>
      <c r="C115" s="60">
        <v>1</v>
      </c>
    </row>
    <row r="116" spans="1:3">
      <c r="A116" s="58">
        <f>Sheet1!A82</f>
        <v>482</v>
      </c>
      <c r="B116" s="59">
        <f>Sheet1!B82</f>
        <v>24.290000000000003</v>
      </c>
      <c r="C116" s="60">
        <v>1</v>
      </c>
    </row>
    <row r="117" spans="1:3">
      <c r="A117" s="58">
        <f>Sheet1!A83</f>
        <v>483</v>
      </c>
      <c r="B117" s="59">
        <f>Sheet1!B83</f>
        <v>24.460000000000004</v>
      </c>
      <c r="C117" s="60">
        <v>1</v>
      </c>
    </row>
    <row r="118" spans="1:3">
      <c r="A118" s="58">
        <f>Sheet1!A84</f>
        <v>484</v>
      </c>
      <c r="B118" s="59">
        <f>Sheet1!B84</f>
        <v>24.620000000000005</v>
      </c>
      <c r="C118" s="60">
        <v>1</v>
      </c>
    </row>
    <row r="119" spans="1:3">
      <c r="A119" s="58">
        <f>Sheet1!A85</f>
        <v>485</v>
      </c>
      <c r="B119" s="59">
        <f>Sheet1!B85</f>
        <v>24.760000000000005</v>
      </c>
      <c r="C119" s="60">
        <v>1</v>
      </c>
    </row>
    <row r="120" spans="1:3">
      <c r="A120" s="58">
        <f>Sheet1!A86</f>
        <v>490</v>
      </c>
      <c r="B120" s="59">
        <f>Sheet1!B86</f>
        <v>26.75</v>
      </c>
      <c r="C120" s="60">
        <v>1</v>
      </c>
    </row>
    <row r="121" spans="1:3">
      <c r="A121" s="58">
        <f>Sheet1!A87</f>
        <v>495</v>
      </c>
      <c r="B121" s="59">
        <f>Sheet1!B87</f>
        <v>27.06</v>
      </c>
      <c r="C121" s="60">
        <v>1</v>
      </c>
    </row>
    <row r="122" spans="1:3">
      <c r="A122" s="58">
        <f>Sheet1!A88</f>
        <v>500</v>
      </c>
      <c r="B122" s="59">
        <f>Sheet1!B88</f>
        <v>27.82</v>
      </c>
      <c r="C122" s="60">
        <v>1</v>
      </c>
    </row>
    <row r="123" spans="1:3">
      <c r="A123" s="58">
        <f>Sheet1!A89</f>
        <v>505</v>
      </c>
      <c r="B123" s="59">
        <f>Sheet1!B89</f>
        <v>28.12</v>
      </c>
      <c r="C123" s="60">
        <v>1</v>
      </c>
    </row>
    <row r="124" spans="1:3">
      <c r="A124" s="58">
        <f>Sheet1!A90</f>
        <v>510</v>
      </c>
      <c r="B124" s="59">
        <f>Sheet1!B90</f>
        <v>28.9</v>
      </c>
      <c r="C124" s="60">
        <v>1</v>
      </c>
    </row>
    <row r="125" spans="1:3">
      <c r="A125" s="58">
        <f>Sheet1!A91</f>
        <v>515</v>
      </c>
      <c r="B125" s="59">
        <f>Sheet1!B91</f>
        <v>29.049999999999997</v>
      </c>
      <c r="C125" s="60">
        <v>1</v>
      </c>
    </row>
    <row r="126" spans="1:3">
      <c r="A126" s="58">
        <f>Sheet1!A92</f>
        <v>520</v>
      </c>
      <c r="B126" s="59">
        <f>Sheet1!B92</f>
        <v>29.179999999999996</v>
      </c>
      <c r="C126" s="60">
        <v>1</v>
      </c>
    </row>
    <row r="127" spans="1:3">
      <c r="A127" s="58">
        <f>Sheet1!A93</f>
        <v>525</v>
      </c>
      <c r="B127" s="59">
        <f>Sheet1!B93</f>
        <v>29.289999999999996</v>
      </c>
      <c r="C127" s="60">
        <v>1</v>
      </c>
    </row>
    <row r="128" spans="1:3">
      <c r="A128" s="58">
        <f>Sheet1!A94</f>
        <v>530</v>
      </c>
      <c r="B128" s="59">
        <f>Sheet1!B94</f>
        <v>29.369999999999994</v>
      </c>
      <c r="C128" s="60">
        <v>1</v>
      </c>
    </row>
    <row r="129" spans="1:3">
      <c r="A129" s="58">
        <f>Sheet1!A95</f>
        <v>535</v>
      </c>
      <c r="B129" s="59">
        <f>Sheet1!B95</f>
        <v>29.439999999999994</v>
      </c>
      <c r="C129" s="60">
        <v>1</v>
      </c>
    </row>
    <row r="130" spans="1:3">
      <c r="A130" s="58">
        <f>Sheet1!A96</f>
        <v>540</v>
      </c>
      <c r="B130" s="59">
        <f>Sheet1!B96</f>
        <v>29.97</v>
      </c>
      <c r="C130" s="60">
        <v>1</v>
      </c>
    </row>
    <row r="131" spans="1:3">
      <c r="A131" s="58">
        <f>Sheet1!A97</f>
        <v>555</v>
      </c>
      <c r="B131" s="59">
        <f>Sheet1!B97</f>
        <v>30.16</v>
      </c>
      <c r="C131" s="60">
        <v>1</v>
      </c>
    </row>
    <row r="132" spans="1:3">
      <c r="A132" s="58">
        <f>Sheet1!A98</f>
        <v>570</v>
      </c>
      <c r="B132" s="59">
        <f>Sheet1!B98</f>
        <v>30.32</v>
      </c>
      <c r="C132" s="60">
        <v>1</v>
      </c>
    </row>
    <row r="133" spans="1:3">
      <c r="A133" s="58">
        <f>Sheet1!A99</f>
        <v>585</v>
      </c>
      <c r="B133" s="59">
        <f>Sheet1!B99</f>
        <v>30.46</v>
      </c>
      <c r="C133" s="60">
        <v>1</v>
      </c>
    </row>
    <row r="134" spans="1:3">
      <c r="A134" s="58">
        <f>Sheet1!A100</f>
        <v>600</v>
      </c>
      <c r="B134" s="59">
        <f>Sheet1!B100</f>
        <v>31.05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topLeftCell="A16" zoomScaleNormal="100" workbookViewId="0">
      <selection activeCell="J42" sqref="J4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4" t="s">
        <v>313</v>
      </c>
      <c r="B1" s="624"/>
      <c r="C1" s="624"/>
      <c r="D1" s="624"/>
      <c r="E1" s="624"/>
      <c r="F1" s="624"/>
      <c r="G1" s="624"/>
      <c r="H1" s="624"/>
      <c r="I1" s="624"/>
      <c r="J1" s="624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C79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8">
        <v>2880</v>
      </c>
      <c r="E79" s="645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8">
        <v>1</v>
      </c>
      <c r="E80" s="645"/>
      <c r="F80" s="216">
        <f>LongTest!F78</f>
        <v>28.289168550951231</v>
      </c>
      <c r="G80" s="216">
        <f>LongTest!G78</f>
        <v>16.939168550951234</v>
      </c>
      <c r="H80" s="638" t="s">
        <v>191</v>
      </c>
      <c r="I80" s="647"/>
      <c r="J80" s="648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8">
        <v>2</v>
      </c>
      <c r="E81" s="645"/>
      <c r="F81" s="216">
        <f>LongTest!F79</f>
        <v>26.69700945681798</v>
      </c>
      <c r="G81" s="216">
        <f>LongTest!G79</f>
        <v>15.347009456817981</v>
      </c>
      <c r="H81" s="618"/>
      <c r="I81" s="619"/>
      <c r="J81" s="620"/>
    </row>
    <row r="82" spans="1:10" ht="24.95" customHeight="1">
      <c r="A82" s="238"/>
      <c r="B82" s="215"/>
      <c r="C82" s="215">
        <f t="shared" si="6"/>
        <v>45728.432638888888</v>
      </c>
      <c r="D82" s="618">
        <v>3</v>
      </c>
      <c r="E82" s="645"/>
      <c r="F82" s="216">
        <f>LongTest!F80</f>
        <v>25.254501779955085</v>
      </c>
      <c r="G82" s="216">
        <f>LongTest!G80</f>
        <v>13.904501779955083</v>
      </c>
      <c r="H82" s="618"/>
      <c r="I82" s="619"/>
      <c r="J82" s="620"/>
    </row>
    <row r="83" spans="1:10" ht="24.95" customHeight="1">
      <c r="A83" s="238"/>
      <c r="B83" s="215"/>
      <c r="C83" s="215">
        <f t="shared" si="6"/>
        <v>45728.433333333334</v>
      </c>
      <c r="D83" s="618">
        <v>4</v>
      </c>
      <c r="E83" s="645"/>
      <c r="F83" s="216">
        <f>LongTest!F81</f>
        <v>23.94757937158786</v>
      </c>
      <c r="G83" s="216">
        <f>LongTest!G81</f>
        <v>12.597579371587861</v>
      </c>
      <c r="H83" s="618"/>
      <c r="I83" s="619"/>
      <c r="J83" s="620"/>
    </row>
    <row r="84" spans="1:10" ht="24.95" customHeight="1">
      <c r="A84" s="238"/>
      <c r="B84" s="215"/>
      <c r="C84" s="215">
        <f t="shared" si="6"/>
        <v>45728.434027777774</v>
      </c>
      <c r="D84" s="618">
        <v>5</v>
      </c>
      <c r="E84" s="645"/>
      <c r="F84" s="216">
        <f>LongTest!F82</f>
        <v>22.763498198996139</v>
      </c>
      <c r="G84" s="216">
        <f>LongTest!G82</f>
        <v>11.413498198996141</v>
      </c>
      <c r="H84" s="618"/>
      <c r="I84" s="619"/>
      <c r="J84" s="620"/>
    </row>
    <row r="85" spans="1:10" ht="24.95" customHeight="1">
      <c r="A85" s="238"/>
      <c r="B85" s="215"/>
      <c r="C85" s="215">
        <f t="shared" si="6"/>
        <v>45728.4375</v>
      </c>
      <c r="D85" s="618">
        <v>10</v>
      </c>
      <c r="E85" s="645"/>
      <c r="F85" s="216">
        <f>LongTest!F83</f>
        <v>19.838164518633043</v>
      </c>
      <c r="G85" s="216">
        <f>LongTest!G83</f>
        <v>8.4881645186330434</v>
      </c>
      <c r="H85" s="618"/>
      <c r="I85" s="619"/>
      <c r="J85" s="620"/>
    </row>
    <row r="86" spans="1:10" ht="24.95" customHeight="1">
      <c r="A86" s="238"/>
      <c r="B86" s="215"/>
      <c r="C86" s="215">
        <f t="shared" si="6"/>
        <v>45728.440972222219</v>
      </c>
      <c r="D86" s="618">
        <v>15</v>
      </c>
      <c r="E86" s="645"/>
      <c r="F86" s="216">
        <f>LongTest!F84</f>
        <v>19.297579899788193</v>
      </c>
      <c r="G86" s="216">
        <f>LongTest!G84</f>
        <v>7.9475798997881943</v>
      </c>
      <c r="H86" s="618"/>
      <c r="I86" s="619"/>
      <c r="J86" s="620"/>
    </row>
    <row r="87" spans="1:10" ht="24.95" customHeight="1">
      <c r="A87" s="238"/>
      <c r="B87" s="215"/>
      <c r="C87" s="215">
        <f t="shared" si="6"/>
        <v>45728.444444444445</v>
      </c>
      <c r="D87" s="618">
        <v>20</v>
      </c>
      <c r="E87" s="645"/>
      <c r="F87" s="216">
        <f>LongTest!F85</f>
        <v>17.87376405196904</v>
      </c>
      <c r="G87" s="216">
        <f>LongTest!G85</f>
        <v>6.5237640519690405</v>
      </c>
      <c r="H87" s="618"/>
      <c r="I87" s="619"/>
      <c r="J87" s="620"/>
    </row>
    <row r="88" spans="1:10" ht="24.95" customHeight="1">
      <c r="A88" s="238"/>
      <c r="B88" s="215"/>
      <c r="C88" s="215">
        <f t="shared" si="6"/>
        <v>45728.447916666664</v>
      </c>
      <c r="D88" s="618">
        <v>25</v>
      </c>
      <c r="E88" s="645"/>
      <c r="F88" s="216">
        <f>LongTest!F86</f>
        <v>17.260577505529085</v>
      </c>
      <c r="G88" s="216">
        <f>LongTest!G86</f>
        <v>5.9105775055290843</v>
      </c>
      <c r="H88" s="618"/>
      <c r="I88" s="619"/>
      <c r="J88" s="620"/>
    </row>
    <row r="89" spans="1:10" ht="24.95" customHeight="1">
      <c r="A89" s="238"/>
      <c r="B89" s="215"/>
      <c r="C89" s="215">
        <f t="shared" si="6"/>
        <v>45728.451388888891</v>
      </c>
      <c r="D89" s="618">
        <v>30</v>
      </c>
      <c r="E89" s="645"/>
      <c r="F89" s="216">
        <f>LongTest!F87</f>
        <v>16.705026050999216</v>
      </c>
      <c r="G89" s="216">
        <f>LongTest!G87</f>
        <v>5.355026050999216</v>
      </c>
      <c r="H89" s="618"/>
      <c r="I89" s="619"/>
      <c r="J89" s="620"/>
    </row>
    <row r="90" spans="1:10" ht="24.95" customHeight="1">
      <c r="A90" s="238"/>
      <c r="B90" s="215"/>
      <c r="C90" s="215">
        <f t="shared" si="6"/>
        <v>45728.454861111109</v>
      </c>
      <c r="D90" s="618">
        <v>35</v>
      </c>
      <c r="E90" s="645"/>
      <c r="F90" s="216">
        <f>LongTest!F88</f>
        <v>16.531698563212647</v>
      </c>
      <c r="G90" s="216">
        <f>LongTest!G88</f>
        <v>5.1816985632126462</v>
      </c>
      <c r="H90" s="618"/>
      <c r="I90" s="619"/>
      <c r="J90" s="620"/>
    </row>
    <row r="91" spans="1:10" ht="24.95" customHeight="1">
      <c r="A91" s="238"/>
      <c r="B91" s="215"/>
      <c r="C91" s="215">
        <f t="shared" si="6"/>
        <v>45728.458333333336</v>
      </c>
      <c r="D91" s="618">
        <v>40</v>
      </c>
      <c r="E91" s="645"/>
      <c r="F91" s="216">
        <f>LongTest!F89</f>
        <v>16.363981210229582</v>
      </c>
      <c r="G91" s="216">
        <f>LongTest!G89</f>
        <v>5.0139812102295833</v>
      </c>
      <c r="H91" s="618"/>
      <c r="I91" s="619"/>
      <c r="J91" s="620"/>
    </row>
    <row r="92" spans="1:10" ht="24.95" customHeight="1">
      <c r="A92" s="238"/>
      <c r="B92" s="215"/>
      <c r="C92" s="215">
        <f t="shared" si="6"/>
        <v>45728.461805555555</v>
      </c>
      <c r="D92" s="618">
        <v>45</v>
      </c>
      <c r="E92" s="645"/>
      <c r="F92" s="216">
        <f>LongTest!F90</f>
        <v>16.201692407392482</v>
      </c>
      <c r="G92" s="216">
        <f>LongTest!G90</f>
        <v>4.8516924073924814</v>
      </c>
      <c r="H92" s="618"/>
      <c r="I92" s="619"/>
      <c r="J92" s="620"/>
    </row>
    <row r="93" spans="1:10" ht="24.95" customHeight="1">
      <c r="A93" s="238"/>
      <c r="B93" s="215"/>
      <c r="C93" s="215">
        <f t="shared" si="6"/>
        <v>45728.465277777774</v>
      </c>
      <c r="D93" s="618">
        <v>50</v>
      </c>
      <c r="E93" s="645"/>
      <c r="F93" s="216">
        <f>LongTest!F91</f>
        <v>16.044656447440502</v>
      </c>
      <c r="G93" s="216">
        <f>LongTest!G91</f>
        <v>4.6946564474405026</v>
      </c>
      <c r="H93" s="618"/>
      <c r="I93" s="619"/>
      <c r="J93" s="620"/>
    </row>
    <row r="94" spans="1:10" ht="24.95" customHeight="1">
      <c r="A94" s="238"/>
      <c r="B94" s="215"/>
      <c r="C94" s="215">
        <f t="shared" si="6"/>
        <v>45728.46875</v>
      </c>
      <c r="D94" s="618">
        <v>55</v>
      </c>
      <c r="E94" s="645"/>
      <c r="F94" s="216">
        <f>LongTest!F92</f>
        <v>15.892703310274335</v>
      </c>
      <c r="G94" s="216">
        <f>LongTest!G92</f>
        <v>4.5427033102743355</v>
      </c>
      <c r="H94" s="618"/>
      <c r="I94" s="619"/>
      <c r="J94" s="620"/>
    </row>
    <row r="95" spans="1:10" ht="24.95" customHeight="1">
      <c r="A95" s="238"/>
      <c r="B95" s="215"/>
      <c r="C95" s="215">
        <f t="shared" si="6"/>
        <v>45728.472222222219</v>
      </c>
      <c r="D95" s="618">
        <v>60</v>
      </c>
      <c r="E95" s="645"/>
      <c r="F95" s="216">
        <f>LongTest!F93</f>
        <v>15.745668478878386</v>
      </c>
      <c r="G95" s="216">
        <f>LongTest!G93</f>
        <v>4.3956684788783873</v>
      </c>
      <c r="H95" s="618"/>
      <c r="I95" s="619"/>
      <c r="J95" s="620"/>
    </row>
    <row r="96" spans="1:10" ht="24.95" customHeight="1">
      <c r="A96" s="238"/>
      <c r="B96" s="215"/>
      <c r="C96" s="215">
        <f t="shared" si="6"/>
        <v>45728.482638888891</v>
      </c>
      <c r="D96" s="618">
        <v>75</v>
      </c>
      <c r="E96" s="645"/>
      <c r="F96" s="216">
        <f>LongTest!F94</f>
        <v>15.603392761201077</v>
      </c>
      <c r="G96" s="216">
        <f>LongTest!G94</f>
        <v>4.2533927612010771</v>
      </c>
      <c r="H96" s="618"/>
      <c r="I96" s="619"/>
      <c r="J96" s="620"/>
    </row>
    <row r="97" spans="1:10" ht="24.95" customHeight="1">
      <c r="A97" s="238"/>
      <c r="B97" s="215"/>
      <c r="C97" s="215">
        <f t="shared" si="6"/>
        <v>45728.493055555555</v>
      </c>
      <c r="D97" s="618">
        <v>90</v>
      </c>
      <c r="E97" s="645"/>
      <c r="F97" s="216">
        <f>LongTest!F95</f>
        <v>15.465722117800379</v>
      </c>
      <c r="G97" s="216">
        <f>LongTest!G95</f>
        <v>4.1157221178003791</v>
      </c>
      <c r="H97" s="618"/>
      <c r="I97" s="619"/>
      <c r="J97" s="620"/>
    </row>
    <row r="98" spans="1:10" ht="24.95" customHeight="1">
      <c r="A98" s="238"/>
      <c r="B98" s="215"/>
      <c r="C98" s="215">
        <f t="shared" si="6"/>
        <v>45728.503472222219</v>
      </c>
      <c r="D98" s="618">
        <v>105</v>
      </c>
      <c r="E98" s="645"/>
      <c r="F98" s="216">
        <f>LongTest!F96</f>
        <v>15.332507495067992</v>
      </c>
      <c r="G98" s="216">
        <f>LongTest!G96</f>
        <v>3.982507495067992</v>
      </c>
      <c r="H98" s="618"/>
      <c r="I98" s="619"/>
      <c r="J98" s="620"/>
    </row>
    <row r="99" spans="1:10" ht="24.95" customHeight="1">
      <c r="A99" s="238"/>
      <c r="B99" s="215"/>
      <c r="C99" s="215">
        <f t="shared" si="6"/>
        <v>45728.513888888891</v>
      </c>
      <c r="D99" s="618">
        <v>120</v>
      </c>
      <c r="E99" s="645"/>
      <c r="F99" s="216">
        <f>LongTest!F97</f>
        <v>14.958180649765406</v>
      </c>
      <c r="G99" s="216">
        <f>LongTest!G97</f>
        <v>3.6081806497654068</v>
      </c>
      <c r="H99" s="618"/>
      <c r="I99" s="619"/>
      <c r="J99" s="620"/>
    </row>
    <row r="100" spans="1:10" ht="24.95" customHeight="1">
      <c r="A100" s="238"/>
      <c r="B100" s="215"/>
      <c r="C100" s="215">
        <f t="shared" si="6"/>
        <v>45728.555555555555</v>
      </c>
      <c r="D100" s="618">
        <v>180</v>
      </c>
      <c r="E100" s="645"/>
      <c r="F100" s="216">
        <f>LongTest!F98</f>
        <v>14.841393750589209</v>
      </c>
      <c r="G100" s="216">
        <f>LongTest!G98</f>
        <v>3.4913937505892099</v>
      </c>
      <c r="H100" s="618"/>
      <c r="I100" s="619"/>
      <c r="J100" s="620"/>
    </row>
    <row r="101" spans="1:10" ht="24.95" customHeight="1">
      <c r="A101" s="238"/>
      <c r="B101" s="215"/>
      <c r="C101" s="215">
        <f t="shared" si="6"/>
        <v>45728.597222222219</v>
      </c>
      <c r="D101" s="618">
        <v>240</v>
      </c>
      <c r="E101" s="645"/>
      <c r="F101" s="216">
        <f>LongTest!F99</f>
        <v>14.215907525128532</v>
      </c>
      <c r="G101" s="216">
        <f>LongTest!G99</f>
        <v>2.8659075251285322</v>
      </c>
      <c r="H101" s="618"/>
      <c r="I101" s="619"/>
      <c r="J101" s="620"/>
    </row>
    <row r="102" spans="1:10" ht="24.95" customHeight="1">
      <c r="A102" s="238"/>
      <c r="B102" s="215"/>
      <c r="C102" s="215">
        <f t="shared" si="6"/>
        <v>45728.638888888891</v>
      </c>
      <c r="D102" s="618">
        <v>300</v>
      </c>
      <c r="E102" s="645"/>
      <c r="F102" s="216">
        <f>LongTest!F100</f>
        <v>13.702477700689659</v>
      </c>
      <c r="G102" s="216">
        <f>LongTest!G100</f>
        <v>2.3524777006896587</v>
      </c>
      <c r="H102" s="618"/>
      <c r="I102" s="619"/>
      <c r="J102" s="620"/>
    </row>
    <row r="103" spans="1:10" ht="24.95" customHeight="1" thickBot="1">
      <c r="A103" s="242"/>
      <c r="B103" s="243"/>
      <c r="C103" s="243">
        <f t="shared" si="6"/>
        <v>45728.680555555555</v>
      </c>
      <c r="D103" s="621">
        <v>360</v>
      </c>
      <c r="E103" s="646"/>
      <c r="F103" s="244">
        <f>LongTest!F101</f>
        <v>13.281029275619737</v>
      </c>
      <c r="G103" s="244">
        <f>LongTest!G101</f>
        <v>1.9310292756197371</v>
      </c>
      <c r="H103" s="621" t="s">
        <v>320</v>
      </c>
      <c r="I103" s="622"/>
      <c r="J103" s="62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313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C55</f>
        <v>45727.430555555555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8"/>
      <c r="E56" s="645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8"/>
      <c r="E57" s="645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8">
        <v>1</v>
      </c>
      <c r="E58" s="645"/>
      <c r="F58" s="216">
        <f>LongTest!F78</f>
        <v>28.289168550951231</v>
      </c>
      <c r="G58" s="216">
        <f>LongTest!G78</f>
        <v>16.939168550951234</v>
      </c>
      <c r="H58" s="638" t="s">
        <v>191</v>
      </c>
      <c r="I58" s="647"/>
      <c r="J58" s="648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8">
        <v>2</v>
      </c>
      <c r="E59" s="645"/>
      <c r="F59" s="216">
        <f>LongTest!F79</f>
        <v>26.69700945681798</v>
      </c>
      <c r="G59" s="216">
        <f>LongTest!G79</f>
        <v>15.347009456817981</v>
      </c>
      <c r="H59" s="618"/>
      <c r="I59" s="619"/>
      <c r="J59" s="620"/>
    </row>
    <row r="60" spans="1:10" ht="24.95" customHeight="1">
      <c r="A60" s="238"/>
      <c r="B60" s="215"/>
      <c r="C60" s="215">
        <f t="shared" si="1"/>
        <v>45727.432638888888</v>
      </c>
      <c r="D60" s="618">
        <v>3</v>
      </c>
      <c r="E60" s="645"/>
      <c r="F60" s="216">
        <f>LongTest!F80</f>
        <v>25.254501779955085</v>
      </c>
      <c r="G60" s="216">
        <f>LongTest!G80</f>
        <v>13.904501779955083</v>
      </c>
      <c r="H60" s="618"/>
      <c r="I60" s="619"/>
      <c r="J60" s="620"/>
    </row>
    <row r="61" spans="1:10" ht="24.95" customHeight="1">
      <c r="A61" s="238"/>
      <c r="B61" s="215"/>
      <c r="C61" s="215">
        <f t="shared" si="1"/>
        <v>45727.433333333334</v>
      </c>
      <c r="D61" s="618">
        <v>4</v>
      </c>
      <c r="E61" s="645"/>
      <c r="F61" s="216">
        <f>LongTest!F81</f>
        <v>23.94757937158786</v>
      </c>
      <c r="G61" s="216">
        <f>LongTest!G81</f>
        <v>12.597579371587861</v>
      </c>
      <c r="H61" s="618"/>
      <c r="I61" s="619"/>
      <c r="J61" s="620"/>
    </row>
    <row r="62" spans="1:10" ht="24.95" customHeight="1">
      <c r="A62" s="238"/>
      <c r="B62" s="215"/>
      <c r="C62" s="215">
        <f t="shared" si="1"/>
        <v>45727.434027777774</v>
      </c>
      <c r="D62" s="618">
        <v>5</v>
      </c>
      <c r="E62" s="645"/>
      <c r="F62" s="216">
        <f>LongTest!F82</f>
        <v>22.763498198996139</v>
      </c>
      <c r="G62" s="216">
        <f>LongTest!G82</f>
        <v>11.413498198996141</v>
      </c>
      <c r="H62" s="618"/>
      <c r="I62" s="619"/>
      <c r="J62" s="620"/>
    </row>
    <row r="63" spans="1:10" ht="24.95" customHeight="1">
      <c r="A63" s="238"/>
      <c r="B63" s="215"/>
      <c r="C63" s="215">
        <f t="shared" si="1"/>
        <v>45727.4375</v>
      </c>
      <c r="D63" s="618">
        <v>10</v>
      </c>
      <c r="E63" s="645"/>
      <c r="F63" s="216">
        <f>LongTest!F83</f>
        <v>19.838164518633043</v>
      </c>
      <c r="G63" s="216">
        <f>LongTest!G83</f>
        <v>8.4881645186330434</v>
      </c>
      <c r="H63" s="618"/>
      <c r="I63" s="619"/>
      <c r="J63" s="620"/>
    </row>
    <row r="64" spans="1:10" ht="24.95" customHeight="1">
      <c r="A64" s="238"/>
      <c r="B64" s="215"/>
      <c r="C64" s="215">
        <f t="shared" si="1"/>
        <v>45727.440972222219</v>
      </c>
      <c r="D64" s="618">
        <v>15</v>
      </c>
      <c r="E64" s="645"/>
      <c r="F64" s="216">
        <f>LongTest!F84</f>
        <v>19.297579899788193</v>
      </c>
      <c r="G64" s="216">
        <f>LongTest!G84</f>
        <v>7.9475798997881943</v>
      </c>
      <c r="H64" s="618"/>
      <c r="I64" s="619"/>
      <c r="J64" s="620"/>
    </row>
    <row r="65" spans="1:10" ht="24.95" customHeight="1">
      <c r="A65" s="238"/>
      <c r="B65" s="215"/>
      <c r="C65" s="215">
        <f t="shared" si="1"/>
        <v>45727.444444444445</v>
      </c>
      <c r="D65" s="618">
        <v>20</v>
      </c>
      <c r="E65" s="645"/>
      <c r="F65" s="216">
        <f>LongTest!F85</f>
        <v>17.87376405196904</v>
      </c>
      <c r="G65" s="216">
        <f>LongTest!G85</f>
        <v>6.5237640519690405</v>
      </c>
      <c r="H65" s="618"/>
      <c r="I65" s="619"/>
      <c r="J65" s="620"/>
    </row>
    <row r="66" spans="1:10" ht="24.95" customHeight="1">
      <c r="A66" s="238"/>
      <c r="B66" s="215"/>
      <c r="C66" s="215">
        <f t="shared" si="1"/>
        <v>45727.447916666664</v>
      </c>
      <c r="D66" s="618">
        <v>25</v>
      </c>
      <c r="E66" s="645"/>
      <c r="F66" s="216">
        <f>LongTest!F86</f>
        <v>17.260577505529085</v>
      </c>
      <c r="G66" s="216">
        <f>LongTest!G86</f>
        <v>5.9105775055290843</v>
      </c>
      <c r="H66" s="618"/>
      <c r="I66" s="619"/>
      <c r="J66" s="620"/>
    </row>
    <row r="67" spans="1:10" ht="24.95" customHeight="1">
      <c r="A67" s="238"/>
      <c r="B67" s="215"/>
      <c r="C67" s="215">
        <f t="shared" si="1"/>
        <v>45727.451388888891</v>
      </c>
      <c r="D67" s="618">
        <v>30</v>
      </c>
      <c r="E67" s="645"/>
      <c r="F67" s="216">
        <f>LongTest!F87</f>
        <v>16.705026050999216</v>
      </c>
      <c r="G67" s="216">
        <f>LongTest!G87</f>
        <v>5.355026050999216</v>
      </c>
      <c r="H67" s="618"/>
      <c r="I67" s="619"/>
      <c r="J67" s="620"/>
    </row>
    <row r="68" spans="1:10" ht="24.95" customHeight="1">
      <c r="A68" s="238"/>
      <c r="B68" s="215"/>
      <c r="C68" s="215">
        <f t="shared" si="1"/>
        <v>45727.454861111109</v>
      </c>
      <c r="D68" s="618">
        <v>35</v>
      </c>
      <c r="E68" s="645"/>
      <c r="F68" s="216">
        <f>LongTest!F88</f>
        <v>16.531698563212647</v>
      </c>
      <c r="G68" s="216">
        <f>LongTest!G88</f>
        <v>5.1816985632126462</v>
      </c>
      <c r="H68" s="618"/>
      <c r="I68" s="619"/>
      <c r="J68" s="620"/>
    </row>
    <row r="69" spans="1:10" ht="24.95" customHeight="1">
      <c r="A69" s="238"/>
      <c r="B69" s="215"/>
      <c r="C69" s="215">
        <f t="shared" si="1"/>
        <v>45727.458333333336</v>
      </c>
      <c r="D69" s="618">
        <v>40</v>
      </c>
      <c r="E69" s="645"/>
      <c r="F69" s="216">
        <f>LongTest!F89</f>
        <v>16.363981210229582</v>
      </c>
      <c r="G69" s="216">
        <f>LongTest!G89</f>
        <v>5.0139812102295833</v>
      </c>
      <c r="H69" s="618"/>
      <c r="I69" s="619"/>
      <c r="J69" s="620"/>
    </row>
    <row r="70" spans="1:10" ht="24.95" customHeight="1">
      <c r="A70" s="238"/>
      <c r="B70" s="215"/>
      <c r="C70" s="215">
        <f t="shared" si="1"/>
        <v>45727.461805555555</v>
      </c>
      <c r="D70" s="618">
        <v>45</v>
      </c>
      <c r="E70" s="645"/>
      <c r="F70" s="216">
        <f>LongTest!F90</f>
        <v>16.201692407392482</v>
      </c>
      <c r="G70" s="216">
        <f>LongTest!G90</f>
        <v>4.8516924073924814</v>
      </c>
      <c r="H70" s="618"/>
      <c r="I70" s="619"/>
      <c r="J70" s="620"/>
    </row>
    <row r="71" spans="1:10" ht="24.95" customHeight="1">
      <c r="A71" s="238"/>
      <c r="B71" s="215"/>
      <c r="C71" s="215">
        <f t="shared" si="1"/>
        <v>45727.465277777774</v>
      </c>
      <c r="D71" s="618">
        <v>50</v>
      </c>
      <c r="E71" s="645"/>
      <c r="F71" s="216">
        <f>LongTest!F91</f>
        <v>16.044656447440502</v>
      </c>
      <c r="G71" s="216">
        <f>LongTest!G91</f>
        <v>4.6946564474405026</v>
      </c>
      <c r="H71" s="618"/>
      <c r="I71" s="619"/>
      <c r="J71" s="620"/>
    </row>
    <row r="72" spans="1:10" ht="24.95" customHeight="1">
      <c r="A72" s="238"/>
      <c r="B72" s="215"/>
      <c r="C72" s="215">
        <f t="shared" si="1"/>
        <v>45727.46875</v>
      </c>
      <c r="D72" s="618">
        <v>55</v>
      </c>
      <c r="E72" s="645"/>
      <c r="F72" s="216">
        <f>LongTest!F92</f>
        <v>15.892703310274335</v>
      </c>
      <c r="G72" s="216">
        <f>LongTest!G92</f>
        <v>4.5427033102743355</v>
      </c>
      <c r="H72" s="618"/>
      <c r="I72" s="619"/>
      <c r="J72" s="620"/>
    </row>
    <row r="73" spans="1:10" ht="24.95" customHeight="1">
      <c r="A73" s="238"/>
      <c r="B73" s="215"/>
      <c r="C73" s="215">
        <f t="shared" si="1"/>
        <v>45727.472222222219</v>
      </c>
      <c r="D73" s="618">
        <v>60</v>
      </c>
      <c r="E73" s="645"/>
      <c r="F73" s="216">
        <f>LongTest!F93</f>
        <v>15.745668478878386</v>
      </c>
      <c r="G73" s="216">
        <f>LongTest!G93</f>
        <v>4.3956684788783873</v>
      </c>
      <c r="H73" s="618"/>
      <c r="I73" s="619"/>
      <c r="J73" s="620"/>
    </row>
    <row r="74" spans="1:10" ht="24.95" customHeight="1">
      <c r="A74" s="238"/>
      <c r="B74" s="215"/>
      <c r="C74" s="215">
        <f t="shared" si="1"/>
        <v>45727.482638888891</v>
      </c>
      <c r="D74" s="618">
        <v>75</v>
      </c>
      <c r="E74" s="645"/>
      <c r="F74" s="216">
        <f>LongTest!F94</f>
        <v>15.603392761201077</v>
      </c>
      <c r="G74" s="216">
        <f>LongTest!G94</f>
        <v>4.2533927612010771</v>
      </c>
      <c r="H74" s="618"/>
      <c r="I74" s="619"/>
      <c r="J74" s="620"/>
    </row>
    <row r="75" spans="1:10" ht="24.95" customHeight="1">
      <c r="A75" s="238"/>
      <c r="B75" s="215"/>
      <c r="C75" s="215">
        <f t="shared" si="1"/>
        <v>45727.493055555555</v>
      </c>
      <c r="D75" s="618">
        <v>90</v>
      </c>
      <c r="E75" s="645"/>
      <c r="F75" s="216">
        <f>LongTest!F95</f>
        <v>15.465722117800379</v>
      </c>
      <c r="G75" s="216">
        <f>LongTest!G95</f>
        <v>4.1157221178003791</v>
      </c>
      <c r="H75" s="618"/>
      <c r="I75" s="619"/>
      <c r="J75" s="620"/>
    </row>
    <row r="76" spans="1:10" ht="24.95" customHeight="1">
      <c r="A76" s="238"/>
      <c r="B76" s="215"/>
      <c r="C76" s="215">
        <f t="shared" si="1"/>
        <v>45727.503472222219</v>
      </c>
      <c r="D76" s="618">
        <v>105</v>
      </c>
      <c r="E76" s="645"/>
      <c r="F76" s="216">
        <f>LongTest!F96</f>
        <v>15.332507495067992</v>
      </c>
      <c r="G76" s="216">
        <f>LongTest!G96</f>
        <v>3.982507495067992</v>
      </c>
      <c r="H76" s="618"/>
      <c r="I76" s="619"/>
      <c r="J76" s="620"/>
    </row>
    <row r="77" spans="1:10" ht="24.95" customHeight="1">
      <c r="A77" s="238"/>
      <c r="B77" s="215"/>
      <c r="C77" s="215">
        <f t="shared" si="1"/>
        <v>45727.513888888891</v>
      </c>
      <c r="D77" s="618">
        <v>120</v>
      </c>
      <c r="E77" s="645"/>
      <c r="F77" s="216">
        <f>LongTest!F97</f>
        <v>14.958180649765406</v>
      </c>
      <c r="G77" s="216">
        <f>LongTest!G97</f>
        <v>3.6081806497654068</v>
      </c>
      <c r="H77" s="618" t="s">
        <v>326</v>
      </c>
      <c r="I77" s="619"/>
      <c r="J77" s="620"/>
    </row>
    <row r="78" spans="1:10" ht="24.95" customHeight="1">
      <c r="A78" s="238"/>
      <c r="B78" s="215"/>
      <c r="C78" s="215"/>
      <c r="D78" s="618"/>
      <c r="E78" s="645"/>
      <c r="F78" s="216"/>
      <c r="G78" s="216"/>
      <c r="H78" s="618"/>
      <c r="I78" s="619"/>
      <c r="J78" s="620"/>
    </row>
    <row r="79" spans="1:10" ht="24.95" customHeight="1">
      <c r="A79" s="238"/>
      <c r="B79" s="215"/>
      <c r="C79" s="215"/>
      <c r="D79" s="618"/>
      <c r="E79" s="645"/>
      <c r="F79" s="216"/>
      <c r="G79" s="216"/>
      <c r="H79" s="618"/>
      <c r="I79" s="619"/>
      <c r="J79" s="620"/>
    </row>
    <row r="80" spans="1:10" ht="24.95" customHeight="1">
      <c r="A80" s="238"/>
      <c r="B80" s="215"/>
      <c r="C80" s="215"/>
      <c r="D80" s="618"/>
      <c r="E80" s="645"/>
      <c r="F80" s="216"/>
      <c r="G80" s="216"/>
      <c r="H80" s="618"/>
      <c r="I80" s="619"/>
      <c r="J80" s="620"/>
    </row>
    <row r="81" spans="1:10" ht="24.95" customHeight="1" thickBot="1">
      <c r="A81" s="242"/>
      <c r="B81" s="243"/>
      <c r="C81" s="243"/>
      <c r="D81" s="621"/>
      <c r="E81" s="646"/>
      <c r="F81" s="244"/>
      <c r="G81" s="244"/>
      <c r="H81" s="621"/>
      <c r="I81" s="622"/>
      <c r="J81" s="62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9" t="s">
        <v>317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1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1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1" ht="24.95" customHeight="1">
      <c r="A4" s="630" t="s">
        <v>294</v>
      </c>
      <c r="B4" s="631"/>
      <c r="C4" s="632">
        <f>StepTest!C12</f>
        <v>45725.430555555555</v>
      </c>
      <c r="D4" s="633"/>
      <c r="E4" s="633"/>
      <c r="F4" s="633"/>
      <c r="G4" s="633"/>
      <c r="H4" s="633"/>
      <c r="I4" s="633"/>
      <c r="J4" s="634"/>
    </row>
    <row r="5" spans="1:11" ht="24.95" customHeight="1">
      <c r="A5" s="630" t="s">
        <v>295</v>
      </c>
      <c r="B5" s="631"/>
      <c r="C5" s="632">
        <f>StepTest!C51</f>
        <v>45725.847222222219</v>
      </c>
      <c r="D5" s="633"/>
      <c r="E5" s="633"/>
      <c r="F5" s="633"/>
      <c r="G5" s="633"/>
      <c r="H5" s="633"/>
      <c r="I5" s="633"/>
      <c r="J5" s="634"/>
    </row>
    <row r="6" spans="1:11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1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618"/>
      <c r="H7" s="619"/>
      <c r="I7" s="619"/>
      <c r="J7" s="620"/>
    </row>
    <row r="8" spans="1:11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325</v>
      </c>
      <c r="H8" s="638">
        <f>LongTest!G7</f>
        <v>158</v>
      </c>
      <c r="I8" s="631"/>
      <c r="J8" s="212" t="s">
        <v>298</v>
      </c>
    </row>
    <row r="9" spans="1:11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318</v>
      </c>
      <c r="H9" s="638">
        <f>Input!M51</f>
        <v>200</v>
      </c>
      <c r="I9" s="631"/>
      <c r="J9" s="212" t="s">
        <v>306</v>
      </c>
    </row>
    <row r="10" spans="1:11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2">
        <v>1</v>
      </c>
      <c r="E12" s="642"/>
      <c r="F12" s="216">
        <f>StepTest!F12</f>
        <v>12.65</v>
      </c>
      <c r="G12" s="216">
        <f>StepTest!G12</f>
        <v>1.3</v>
      </c>
      <c r="H12" s="663"/>
      <c r="I12" s="664"/>
      <c r="J12" s="665"/>
    </row>
    <row r="13" spans="1:11" ht="24.95" customHeight="1">
      <c r="A13" s="213"/>
      <c r="B13" s="211"/>
      <c r="C13" s="215">
        <f t="shared" si="0"/>
        <v>45725.431944444441</v>
      </c>
      <c r="D13" s="642">
        <v>2</v>
      </c>
      <c r="E13" s="642"/>
      <c r="F13" s="216">
        <f>StepTest!F13</f>
        <v>13.83</v>
      </c>
      <c r="G13" s="216">
        <f>StepTest!G13</f>
        <v>2.48</v>
      </c>
      <c r="H13" s="663"/>
      <c r="I13" s="664"/>
      <c r="J13" s="665"/>
    </row>
    <row r="14" spans="1:11" ht="24.95" customHeight="1">
      <c r="A14" s="213"/>
      <c r="B14" s="211"/>
      <c r="C14" s="215">
        <f t="shared" si="0"/>
        <v>45725.432638888888</v>
      </c>
      <c r="D14" s="642">
        <v>3</v>
      </c>
      <c r="E14" s="642"/>
      <c r="F14" s="216">
        <f>StepTest!F14</f>
        <v>14.7</v>
      </c>
      <c r="G14" s="216">
        <f>StepTest!G14</f>
        <v>3.35</v>
      </c>
      <c r="H14" s="663"/>
      <c r="I14" s="664"/>
      <c r="J14" s="665"/>
    </row>
    <row r="15" spans="1:11" ht="24.95" customHeight="1">
      <c r="A15" s="213"/>
      <c r="B15" s="211"/>
      <c r="C15" s="215">
        <f t="shared" si="0"/>
        <v>45725.433333333334</v>
      </c>
      <c r="D15" s="642">
        <v>4</v>
      </c>
      <c r="E15" s="642"/>
      <c r="F15" s="216">
        <f>StepTest!F15</f>
        <v>15.309999999999999</v>
      </c>
      <c r="G15" s="216">
        <f>StepTest!G15</f>
        <v>3.96</v>
      </c>
      <c r="H15" s="663"/>
      <c r="I15" s="664"/>
      <c r="J15" s="665"/>
    </row>
    <row r="16" spans="1:11" ht="24.95" customHeight="1">
      <c r="A16" s="213"/>
      <c r="B16" s="211"/>
      <c r="C16" s="215">
        <f t="shared" si="0"/>
        <v>45725.434027777774</v>
      </c>
      <c r="D16" s="642">
        <v>5</v>
      </c>
      <c r="E16" s="642"/>
      <c r="F16" s="216">
        <f>StepTest!F16</f>
        <v>15.79</v>
      </c>
      <c r="G16" s="216">
        <f>StepTest!G16</f>
        <v>4.4400000000000004</v>
      </c>
      <c r="H16" s="618"/>
      <c r="I16" s="619"/>
      <c r="J16" s="620"/>
    </row>
    <row r="17" spans="1:10" ht="24.95" customHeight="1">
      <c r="A17" s="213"/>
      <c r="B17" s="211"/>
      <c r="C17" s="215">
        <f t="shared" si="0"/>
        <v>45725.4375</v>
      </c>
      <c r="D17" s="642">
        <v>10</v>
      </c>
      <c r="E17" s="642"/>
      <c r="F17" s="216">
        <f>StepTest!F17</f>
        <v>17.27</v>
      </c>
      <c r="G17" s="216">
        <f>StepTest!G17</f>
        <v>5.92</v>
      </c>
      <c r="H17" s="618"/>
      <c r="I17" s="619"/>
      <c r="J17" s="620"/>
    </row>
    <row r="18" spans="1:10" ht="24.95" customHeight="1">
      <c r="A18" s="213"/>
      <c r="B18" s="211"/>
      <c r="C18" s="215">
        <f t="shared" si="0"/>
        <v>45725.440972222219</v>
      </c>
      <c r="D18" s="642">
        <v>15</v>
      </c>
      <c r="E18" s="642"/>
      <c r="F18" s="216">
        <f>StepTest!F18</f>
        <v>18.13</v>
      </c>
      <c r="G18" s="216">
        <f>StepTest!G18</f>
        <v>6.78</v>
      </c>
      <c r="H18" s="618"/>
      <c r="I18" s="619"/>
      <c r="J18" s="620"/>
    </row>
    <row r="19" spans="1:10" ht="24.95" customHeight="1">
      <c r="A19" s="213"/>
      <c r="B19" s="211"/>
      <c r="C19" s="215">
        <f t="shared" si="0"/>
        <v>45725.444444444445</v>
      </c>
      <c r="D19" s="642">
        <v>20</v>
      </c>
      <c r="E19" s="642"/>
      <c r="F19" s="216">
        <f>StepTest!F19</f>
        <v>18.75</v>
      </c>
      <c r="G19" s="216">
        <f>StepTest!G19</f>
        <v>7.4</v>
      </c>
      <c r="H19" s="618"/>
      <c r="I19" s="619"/>
      <c r="J19" s="620"/>
    </row>
    <row r="20" spans="1:10" ht="24.95" customHeight="1">
      <c r="A20" s="213"/>
      <c r="B20" s="211"/>
      <c r="C20" s="215">
        <f t="shared" si="0"/>
        <v>45725.447916666664</v>
      </c>
      <c r="D20" s="642">
        <v>25</v>
      </c>
      <c r="E20" s="642"/>
      <c r="F20" s="216">
        <f>StepTest!F20</f>
        <v>19.23</v>
      </c>
      <c r="G20" s="216">
        <f>StepTest!G20</f>
        <v>7.88</v>
      </c>
      <c r="H20" s="618"/>
      <c r="I20" s="619"/>
      <c r="J20" s="620"/>
    </row>
    <row r="21" spans="1:10" ht="24.95" customHeight="1">
      <c r="A21" s="213"/>
      <c r="B21" s="211"/>
      <c r="C21" s="215">
        <f t="shared" si="0"/>
        <v>45725.451388888891</v>
      </c>
      <c r="D21" s="642">
        <v>30</v>
      </c>
      <c r="E21" s="642"/>
      <c r="F21" s="216">
        <f>StepTest!F21</f>
        <v>19.61</v>
      </c>
      <c r="G21" s="216">
        <f>StepTest!G21</f>
        <v>8.26</v>
      </c>
      <c r="H21" s="618"/>
      <c r="I21" s="619"/>
      <c r="J21" s="620"/>
    </row>
    <row r="22" spans="1:10" ht="24.95" customHeight="1">
      <c r="A22" s="213"/>
      <c r="B22" s="211"/>
      <c r="C22" s="215">
        <f t="shared" si="0"/>
        <v>45725.454861111109</v>
      </c>
      <c r="D22" s="642">
        <v>35</v>
      </c>
      <c r="E22" s="642"/>
      <c r="F22" s="216">
        <f>StepTest!F22</f>
        <v>19.939999999999998</v>
      </c>
      <c r="G22" s="216">
        <f>StepTest!G22</f>
        <v>8.59</v>
      </c>
      <c r="H22" s="618"/>
      <c r="I22" s="619"/>
      <c r="J22" s="620"/>
    </row>
    <row r="23" spans="1:10" ht="24.95" customHeight="1">
      <c r="A23" s="213"/>
      <c r="B23" s="211"/>
      <c r="C23" s="215">
        <f t="shared" si="0"/>
        <v>45725.458333333336</v>
      </c>
      <c r="D23" s="642">
        <v>40</v>
      </c>
      <c r="E23" s="642"/>
      <c r="F23" s="216">
        <f>StepTest!F23</f>
        <v>20.23</v>
      </c>
      <c r="G23" s="216">
        <f>StepTest!G23</f>
        <v>8.8800000000000008</v>
      </c>
      <c r="H23" s="618"/>
      <c r="I23" s="619"/>
      <c r="J23" s="620"/>
    </row>
    <row r="24" spans="1:10" ht="24.95" customHeight="1">
      <c r="A24" s="213"/>
      <c r="B24" s="211"/>
      <c r="C24" s="215">
        <f t="shared" si="0"/>
        <v>45725.461805555555</v>
      </c>
      <c r="D24" s="642">
        <v>45</v>
      </c>
      <c r="E24" s="642"/>
      <c r="F24" s="216">
        <f>StepTest!F24</f>
        <v>20.48</v>
      </c>
      <c r="G24" s="216">
        <f>StepTest!G24</f>
        <v>9.1300000000000008</v>
      </c>
      <c r="H24" s="618"/>
      <c r="I24" s="619"/>
      <c r="J24" s="620"/>
    </row>
    <row r="25" spans="1:10" ht="24.95" customHeight="1">
      <c r="A25" s="213"/>
      <c r="B25" s="211"/>
      <c r="C25" s="215">
        <f t="shared" si="0"/>
        <v>45725.465277777774</v>
      </c>
      <c r="D25" s="642">
        <v>50</v>
      </c>
      <c r="E25" s="642"/>
      <c r="F25" s="216">
        <f>StepTest!F25</f>
        <v>20.71</v>
      </c>
      <c r="G25" s="216">
        <f>StepTest!G25</f>
        <v>9.36</v>
      </c>
      <c r="H25" s="618"/>
      <c r="I25" s="619"/>
      <c r="J25" s="620"/>
    </row>
    <row r="26" spans="1:10" ht="24.95" customHeight="1">
      <c r="A26" s="213"/>
      <c r="B26" s="211"/>
      <c r="C26" s="215">
        <f t="shared" si="0"/>
        <v>45725.46875</v>
      </c>
      <c r="D26" s="642">
        <v>55</v>
      </c>
      <c r="E26" s="642"/>
      <c r="F26" s="216">
        <f>StepTest!F26</f>
        <v>20.91</v>
      </c>
      <c r="G26" s="216">
        <f>StepTest!G26</f>
        <v>9.56</v>
      </c>
      <c r="H26" s="618"/>
      <c r="I26" s="619"/>
      <c r="J26" s="620"/>
    </row>
    <row r="27" spans="1:10" ht="24.95" customHeight="1">
      <c r="A27" s="213"/>
      <c r="B27" s="211"/>
      <c r="C27" s="215">
        <f t="shared" si="0"/>
        <v>45725.472222222219</v>
      </c>
      <c r="D27" s="642">
        <v>60</v>
      </c>
      <c r="E27" s="642"/>
      <c r="F27" s="216">
        <f>StepTest!F27</f>
        <v>21.09</v>
      </c>
      <c r="G27" s="216">
        <f>StepTest!G27</f>
        <v>9.74</v>
      </c>
      <c r="H27" s="618"/>
      <c r="I27" s="619"/>
      <c r="J27" s="620"/>
    </row>
    <row r="28" spans="1:10" ht="24.95" customHeight="1">
      <c r="A28" s="213"/>
      <c r="B28" s="211"/>
      <c r="C28" s="215">
        <f t="shared" si="0"/>
        <v>45725.482638888891</v>
      </c>
      <c r="D28" s="642">
        <v>75</v>
      </c>
      <c r="E28" s="642"/>
      <c r="F28" s="216">
        <f>StepTest!F28</f>
        <v>21.57</v>
      </c>
      <c r="G28" s="216">
        <f>StepTest!G28</f>
        <v>10.220000000000001</v>
      </c>
      <c r="H28" s="618"/>
      <c r="I28" s="619"/>
      <c r="J28" s="620"/>
    </row>
    <row r="29" spans="1:10" ht="24.95" customHeight="1">
      <c r="A29" s="213"/>
      <c r="B29" s="211"/>
      <c r="C29" s="215">
        <f t="shared" si="0"/>
        <v>45725.493055555555</v>
      </c>
      <c r="D29" s="642">
        <v>90</v>
      </c>
      <c r="E29" s="642"/>
      <c r="F29" s="216">
        <f>StepTest!F29</f>
        <v>21.96</v>
      </c>
      <c r="G29" s="216">
        <f>StepTest!G29</f>
        <v>10.61</v>
      </c>
      <c r="H29" s="618"/>
      <c r="I29" s="619"/>
      <c r="J29" s="620"/>
    </row>
    <row r="30" spans="1:10" ht="24.95" customHeight="1">
      <c r="A30" s="213"/>
      <c r="B30" s="211"/>
      <c r="C30" s="215">
        <f t="shared" si="0"/>
        <v>45725.503472222219</v>
      </c>
      <c r="D30" s="642">
        <v>105</v>
      </c>
      <c r="E30" s="642"/>
      <c r="F30" s="216">
        <f>StepTest!F30</f>
        <v>22.29</v>
      </c>
      <c r="G30" s="216">
        <f>StepTest!G30</f>
        <v>10.94</v>
      </c>
      <c r="H30" s="618"/>
      <c r="I30" s="619"/>
      <c r="J30" s="620"/>
    </row>
    <row r="31" spans="1:10" ht="24.95" customHeight="1">
      <c r="A31" s="213"/>
      <c r="B31" s="211"/>
      <c r="C31" s="215">
        <f t="shared" si="0"/>
        <v>45725.513888888891</v>
      </c>
      <c r="D31" s="642">
        <v>120</v>
      </c>
      <c r="E31" s="642"/>
      <c r="F31" s="216">
        <f>StepTest!F31</f>
        <v>22.58</v>
      </c>
      <c r="G31" s="216">
        <f>StepTest!G31</f>
        <v>11.23</v>
      </c>
      <c r="H31" s="618"/>
      <c r="I31" s="619"/>
      <c r="J31" s="620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2">
        <v>130</v>
      </c>
      <c r="E32" s="642"/>
      <c r="F32" s="216">
        <f>StepTest!F32</f>
        <v>24.83</v>
      </c>
      <c r="G32" s="216">
        <f>StepTest!G32</f>
        <v>13.48</v>
      </c>
      <c r="H32" s="618"/>
      <c r="I32" s="619"/>
      <c r="J32" s="620"/>
    </row>
    <row r="33" spans="1:10" ht="24.95" customHeight="1">
      <c r="A33" s="217"/>
      <c r="B33" s="214"/>
      <c r="C33" s="215">
        <f t="shared" si="0"/>
        <v>45725.527777777774</v>
      </c>
      <c r="D33" s="642">
        <v>140</v>
      </c>
      <c r="E33" s="642"/>
      <c r="F33" s="216">
        <f>StepTest!F33</f>
        <v>25.2</v>
      </c>
      <c r="G33" s="216">
        <f>StepTest!G33</f>
        <v>13.85</v>
      </c>
      <c r="H33" s="618"/>
      <c r="I33" s="619"/>
      <c r="J33" s="620"/>
    </row>
    <row r="34" spans="1:10" ht="24.95" customHeight="1">
      <c r="A34" s="217"/>
      <c r="B34" s="214"/>
      <c r="C34" s="215">
        <f t="shared" si="0"/>
        <v>45725.534722222219</v>
      </c>
      <c r="D34" s="642">
        <v>150</v>
      </c>
      <c r="E34" s="642"/>
      <c r="F34" s="216">
        <f>StepTest!F34</f>
        <v>25.58</v>
      </c>
      <c r="G34" s="216">
        <f>StepTest!G34</f>
        <v>14.23</v>
      </c>
      <c r="H34" s="618"/>
      <c r="I34" s="619"/>
      <c r="J34" s="620"/>
    </row>
    <row r="35" spans="1:10" ht="24.95" customHeight="1">
      <c r="A35" s="217"/>
      <c r="B35" s="214"/>
      <c r="C35" s="215">
        <f t="shared" si="0"/>
        <v>45725.555555555555</v>
      </c>
      <c r="D35" s="642">
        <v>180</v>
      </c>
      <c r="E35" s="642"/>
      <c r="F35" s="216">
        <f>StepTest!F35</f>
        <v>25.95</v>
      </c>
      <c r="G35" s="216">
        <f>StepTest!G35</f>
        <v>14.6</v>
      </c>
      <c r="H35" s="618"/>
      <c r="I35" s="619"/>
      <c r="J35" s="620"/>
    </row>
    <row r="36" spans="1:10" ht="24.95" customHeight="1">
      <c r="A36" s="217"/>
      <c r="B36" s="214"/>
      <c r="C36" s="215">
        <f t="shared" si="0"/>
        <v>45725.597222222219</v>
      </c>
      <c r="D36" s="642">
        <v>240</v>
      </c>
      <c r="E36" s="642"/>
      <c r="F36" s="216">
        <f>StepTest!F36</f>
        <v>26.33</v>
      </c>
      <c r="G36" s="216">
        <f>StepTest!G36</f>
        <v>14.98</v>
      </c>
      <c r="H36" s="618"/>
      <c r="I36" s="619"/>
      <c r="J36" s="620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2">
        <v>250</v>
      </c>
      <c r="E37" s="642"/>
      <c r="F37" s="216">
        <f>StepTest!F37</f>
        <v>28.85</v>
      </c>
      <c r="G37" s="216">
        <f>StepTest!G37</f>
        <v>17.5</v>
      </c>
      <c r="H37" s="618"/>
      <c r="I37" s="619"/>
      <c r="J37" s="620"/>
    </row>
    <row r="38" spans="1:10" ht="24.95" customHeight="1">
      <c r="A38" s="217"/>
      <c r="B38" s="214"/>
      <c r="C38" s="215">
        <f t="shared" si="0"/>
        <v>45725.611111111109</v>
      </c>
      <c r="D38" s="642">
        <v>260</v>
      </c>
      <c r="E38" s="642"/>
      <c r="F38" s="216">
        <f>StepTest!F38</f>
        <v>29.270000000000003</v>
      </c>
      <c r="G38" s="216">
        <f>StepTest!G38</f>
        <v>17.920000000000002</v>
      </c>
      <c r="H38" s="618"/>
      <c r="I38" s="619"/>
      <c r="J38" s="620"/>
    </row>
    <row r="39" spans="1:10" ht="24.95" customHeight="1">
      <c r="A39" s="217"/>
      <c r="B39" s="214"/>
      <c r="C39" s="215">
        <f t="shared" si="0"/>
        <v>45725.618055555555</v>
      </c>
      <c r="D39" s="642">
        <v>270</v>
      </c>
      <c r="E39" s="642"/>
      <c r="F39" s="216">
        <f>StepTest!F39</f>
        <v>29.689999999999998</v>
      </c>
      <c r="G39" s="216">
        <f>StepTest!G39</f>
        <v>18.34</v>
      </c>
      <c r="H39" s="618"/>
      <c r="I39" s="619"/>
      <c r="J39" s="620"/>
    </row>
    <row r="40" spans="1:10" ht="24.95" customHeight="1">
      <c r="A40" s="217"/>
      <c r="B40" s="214"/>
      <c r="C40" s="215">
        <f t="shared" si="0"/>
        <v>45725.638888888891</v>
      </c>
      <c r="D40" s="642">
        <v>300</v>
      </c>
      <c r="E40" s="642"/>
      <c r="F40" s="216">
        <f>StepTest!F40</f>
        <v>30.11</v>
      </c>
      <c r="G40" s="216">
        <f>StepTest!G40</f>
        <v>18.760000000000002</v>
      </c>
      <c r="H40" s="618"/>
      <c r="I40" s="619"/>
      <c r="J40" s="620"/>
    </row>
    <row r="41" spans="1:10" ht="24.95" customHeight="1">
      <c r="A41" s="217"/>
      <c r="B41" s="214"/>
      <c r="C41" s="215">
        <f t="shared" si="0"/>
        <v>45725.680555555555</v>
      </c>
      <c r="D41" s="642">
        <v>360</v>
      </c>
      <c r="E41" s="642"/>
      <c r="F41" s="216">
        <f>StepTest!F41</f>
        <v>30.54</v>
      </c>
      <c r="G41" s="216">
        <f>StepTest!G41</f>
        <v>19.190000000000001</v>
      </c>
      <c r="H41" s="618"/>
      <c r="I41" s="619"/>
      <c r="J41" s="620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38">
        <v>370</v>
      </c>
      <c r="E42" s="631"/>
      <c r="F42" s="216">
        <f>StepTest!F42</f>
        <v>33.36</v>
      </c>
      <c r="G42" s="216">
        <f>StepTest!G42</f>
        <v>22.01</v>
      </c>
      <c r="H42" s="618"/>
      <c r="I42" s="619"/>
      <c r="J42" s="620"/>
    </row>
    <row r="43" spans="1:10" ht="24.95" customHeight="1">
      <c r="A43" s="217"/>
      <c r="B43" s="214"/>
      <c r="C43" s="215">
        <f t="shared" si="0"/>
        <v>45725.694444444445</v>
      </c>
      <c r="D43" s="638">
        <v>380</v>
      </c>
      <c r="E43" s="631"/>
      <c r="F43" s="216">
        <f>StepTest!F43</f>
        <v>33.83</v>
      </c>
      <c r="G43" s="216">
        <f>StepTest!G43</f>
        <v>22.48</v>
      </c>
      <c r="H43" s="618"/>
      <c r="I43" s="619"/>
      <c r="J43" s="620"/>
    </row>
    <row r="44" spans="1:10" ht="24.95" customHeight="1">
      <c r="A44" s="217"/>
      <c r="B44" s="214"/>
      <c r="C44" s="215">
        <f t="shared" si="0"/>
        <v>45725.701388888891</v>
      </c>
      <c r="D44" s="638">
        <v>390</v>
      </c>
      <c r="E44" s="631"/>
      <c r="F44" s="216">
        <f>StepTest!F44</f>
        <v>34.299999999999997</v>
      </c>
      <c r="G44" s="216">
        <f>StepTest!G44</f>
        <v>22.95</v>
      </c>
      <c r="H44" s="618"/>
      <c r="I44" s="619"/>
      <c r="J44" s="620"/>
    </row>
    <row r="45" spans="1:10" ht="24.95" customHeight="1">
      <c r="A45" s="217"/>
      <c r="B45" s="214"/>
      <c r="C45" s="215">
        <f t="shared" si="0"/>
        <v>45725.722222222219</v>
      </c>
      <c r="D45" s="638">
        <v>420</v>
      </c>
      <c r="E45" s="631"/>
      <c r="F45" s="216">
        <f>StepTest!F45</f>
        <v>34.770000000000003</v>
      </c>
      <c r="G45" s="216">
        <f>StepTest!G45</f>
        <v>23.42</v>
      </c>
      <c r="H45" s="618"/>
      <c r="I45" s="619"/>
      <c r="J45" s="620"/>
    </row>
    <row r="46" spans="1:10" ht="24.95" customHeight="1">
      <c r="A46" s="217"/>
      <c r="B46" s="214"/>
      <c r="C46" s="215">
        <f t="shared" si="0"/>
        <v>45725.763888888891</v>
      </c>
      <c r="D46" s="638">
        <v>480</v>
      </c>
      <c r="E46" s="631"/>
      <c r="F46" s="216">
        <f>StepTest!F46</f>
        <v>35.24</v>
      </c>
      <c r="G46" s="216">
        <f>StepTest!G46</f>
        <v>23.89</v>
      </c>
      <c r="H46" s="618"/>
      <c r="I46" s="619"/>
      <c r="J46" s="620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38">
        <v>490</v>
      </c>
      <c r="E47" s="631"/>
      <c r="F47" s="216">
        <f>StepTest!F47</f>
        <v>38.1</v>
      </c>
      <c r="G47" s="216">
        <f>StepTest!G47</f>
        <v>26.75</v>
      </c>
      <c r="H47" s="618"/>
      <c r="I47" s="619"/>
      <c r="J47" s="620"/>
    </row>
    <row r="48" spans="1:10" ht="24.95" customHeight="1">
      <c r="A48" s="217"/>
      <c r="B48" s="214"/>
      <c r="C48" s="215">
        <f t="shared" si="0"/>
        <v>45725.777777777774</v>
      </c>
      <c r="D48" s="638">
        <v>500</v>
      </c>
      <c r="E48" s="631"/>
      <c r="F48" s="216">
        <f>StepTest!F48</f>
        <v>39.17</v>
      </c>
      <c r="G48" s="216">
        <f>StepTest!G48</f>
        <v>27.82</v>
      </c>
      <c r="H48" s="618"/>
      <c r="I48" s="619"/>
      <c r="J48" s="620"/>
    </row>
    <row r="49" spans="1:10" ht="24.95" customHeight="1">
      <c r="A49" s="217"/>
      <c r="B49" s="214"/>
      <c r="C49" s="215">
        <f t="shared" si="0"/>
        <v>45725.784722222219</v>
      </c>
      <c r="D49" s="638">
        <v>510</v>
      </c>
      <c r="E49" s="631"/>
      <c r="F49" s="216">
        <f>StepTest!F49</f>
        <v>40.25</v>
      </c>
      <c r="G49" s="216">
        <f>StepTest!G49</f>
        <v>28.9</v>
      </c>
      <c r="H49" s="618"/>
      <c r="I49" s="619"/>
      <c r="J49" s="620"/>
    </row>
    <row r="50" spans="1:10" ht="24.95" customHeight="1">
      <c r="A50" s="217"/>
      <c r="B50" s="214"/>
      <c r="C50" s="215">
        <f t="shared" si="0"/>
        <v>45725.805555555555</v>
      </c>
      <c r="D50" s="638">
        <v>540</v>
      </c>
      <c r="E50" s="631"/>
      <c r="F50" s="216">
        <f>StepTest!F50</f>
        <v>41.32</v>
      </c>
      <c r="G50" s="216">
        <f>StepTest!G50</f>
        <v>29.97</v>
      </c>
      <c r="H50" s="618"/>
      <c r="I50" s="619"/>
      <c r="J50" s="620"/>
    </row>
    <row r="51" spans="1:10" ht="24.95" customHeight="1">
      <c r="A51" s="218"/>
      <c r="B51" s="219"/>
      <c r="C51" s="220">
        <f t="shared" si="0"/>
        <v>45725.847222222219</v>
      </c>
      <c r="D51" s="666">
        <v>600</v>
      </c>
      <c r="E51" s="667"/>
      <c r="F51" s="221">
        <f>StepTest!F51</f>
        <v>42.4</v>
      </c>
      <c r="G51" s="221">
        <f>StepTest!G51</f>
        <v>31.05</v>
      </c>
      <c r="H51" s="660"/>
      <c r="I51" s="661"/>
      <c r="J51" s="662"/>
    </row>
    <row r="52" spans="1:10" ht="24.95" customHeight="1">
      <c r="A52" s="238"/>
      <c r="B52" s="246"/>
      <c r="C52" s="246"/>
      <c r="D52" s="652"/>
      <c r="E52" s="658"/>
      <c r="F52" s="246"/>
      <c r="G52" s="246"/>
      <c r="H52" s="652"/>
      <c r="I52" s="653"/>
      <c r="J52" s="654"/>
    </row>
    <row r="53" spans="1:10" ht="24.95" customHeight="1">
      <c r="A53" s="238"/>
      <c r="B53" s="246"/>
      <c r="C53" s="246"/>
      <c r="D53" s="652"/>
      <c r="E53" s="658"/>
      <c r="F53" s="246"/>
      <c r="G53" s="246"/>
      <c r="H53" s="652"/>
      <c r="I53" s="653"/>
      <c r="J53" s="654"/>
    </row>
    <row r="54" spans="1:10" ht="24.95" customHeight="1">
      <c r="A54" s="238"/>
      <c r="B54" s="246"/>
      <c r="C54" s="246"/>
      <c r="D54" s="652"/>
      <c r="E54" s="658"/>
      <c r="F54" s="246"/>
      <c r="G54" s="246"/>
      <c r="H54" s="652"/>
      <c r="I54" s="653"/>
      <c r="J54" s="654"/>
    </row>
    <row r="55" spans="1:10" ht="24.95" customHeight="1">
      <c r="A55" s="238"/>
      <c r="B55" s="246"/>
      <c r="C55" s="246"/>
      <c r="D55" s="652"/>
      <c r="E55" s="658"/>
      <c r="F55" s="246"/>
      <c r="G55" s="246"/>
      <c r="H55" s="652"/>
      <c r="I55" s="653"/>
      <c r="J55" s="654"/>
    </row>
    <row r="56" spans="1:10" ht="24.95" customHeight="1">
      <c r="A56" s="238"/>
      <c r="B56" s="246"/>
      <c r="C56" s="246"/>
      <c r="D56" s="652"/>
      <c r="E56" s="658"/>
      <c r="F56" s="246"/>
      <c r="G56" s="246"/>
      <c r="H56" s="652"/>
      <c r="I56" s="653"/>
      <c r="J56" s="654"/>
    </row>
    <row r="57" spans="1:10" ht="24.95" customHeight="1" thickBot="1">
      <c r="A57" s="242"/>
      <c r="B57" s="247"/>
      <c r="C57" s="247"/>
      <c r="D57" s="655"/>
      <c r="E57" s="659"/>
      <c r="F57" s="247"/>
      <c r="G57" s="247"/>
      <c r="H57" s="655"/>
      <c r="I57" s="656"/>
      <c r="J57" s="657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9" t="s">
        <v>316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LongTest!C77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60">
        <v>2880</v>
      </c>
      <c r="E79" s="671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8" t="s">
        <v>321</v>
      </c>
      <c r="B80" s="669"/>
      <c r="C80" s="669"/>
      <c r="D80" s="669"/>
      <c r="E80" s="669"/>
      <c r="F80" s="669"/>
      <c r="G80" s="669"/>
      <c r="H80" s="669"/>
      <c r="I80" s="669"/>
      <c r="J80" s="67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350</v>
      </c>
      <c r="B4" s="631"/>
      <c r="C4" s="632">
        <f>장기28!C5</f>
        <v>45728.430555555555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349</v>
      </c>
      <c r="B5" s="631"/>
      <c r="C5" s="632">
        <f>LongTest!C101</f>
        <v>45728.680555555555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8">
        <v>1</v>
      </c>
      <c r="E12" s="645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8">
        <v>2</v>
      </c>
      <c r="E13" s="645"/>
      <c r="F13" s="216">
        <f>LongTest!F79</f>
        <v>26.69700945681798</v>
      </c>
      <c r="G13" s="216">
        <f>LongTest!G79</f>
        <v>15.347009456817981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45728.432638888888</v>
      </c>
      <c r="D14" s="618">
        <v>3</v>
      </c>
      <c r="E14" s="645"/>
      <c r="F14" s="216">
        <f>LongTest!F80</f>
        <v>25.254501779955085</v>
      </c>
      <c r="G14" s="216">
        <f>LongTest!G80</f>
        <v>13.904501779955083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45728.433333333334</v>
      </c>
      <c r="D15" s="618">
        <v>4</v>
      </c>
      <c r="E15" s="645"/>
      <c r="F15" s="216">
        <f>LongTest!F81</f>
        <v>23.94757937158786</v>
      </c>
      <c r="G15" s="216">
        <f>LongTest!G81</f>
        <v>12.597579371587861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45728.434027777774</v>
      </c>
      <c r="D16" s="618">
        <v>5</v>
      </c>
      <c r="E16" s="645"/>
      <c r="F16" s="216">
        <f>LongTest!F82</f>
        <v>22.763498198996139</v>
      </c>
      <c r="G16" s="216">
        <f>LongTest!G82</f>
        <v>11.413498198996141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45728.4375</v>
      </c>
      <c r="D17" s="618">
        <v>10</v>
      </c>
      <c r="E17" s="645"/>
      <c r="F17" s="216">
        <f>LongTest!F83</f>
        <v>19.838164518633043</v>
      </c>
      <c r="G17" s="216">
        <f>LongTest!G83</f>
        <v>8.4881645186330434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45728.440972222219</v>
      </c>
      <c r="D18" s="618">
        <v>15</v>
      </c>
      <c r="E18" s="645"/>
      <c r="F18" s="216">
        <f>LongTest!F84</f>
        <v>19.297579899788193</v>
      </c>
      <c r="G18" s="216">
        <f>LongTest!G84</f>
        <v>7.9475798997881943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45728.444444444445</v>
      </c>
      <c r="D19" s="618">
        <v>20</v>
      </c>
      <c r="E19" s="645"/>
      <c r="F19" s="216">
        <f>LongTest!F85</f>
        <v>17.87376405196904</v>
      </c>
      <c r="G19" s="216">
        <f>LongTest!G85</f>
        <v>6.5237640519690405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45728.447916666664</v>
      </c>
      <c r="D20" s="618">
        <v>25</v>
      </c>
      <c r="E20" s="645"/>
      <c r="F20" s="216">
        <f>LongTest!F86</f>
        <v>17.260577505529085</v>
      </c>
      <c r="G20" s="216">
        <f>LongTest!G86</f>
        <v>5.9105775055290843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45728.451388888891</v>
      </c>
      <c r="D21" s="618">
        <v>30</v>
      </c>
      <c r="E21" s="645"/>
      <c r="F21" s="216">
        <f>LongTest!F87</f>
        <v>16.705026050999216</v>
      </c>
      <c r="G21" s="216">
        <f>LongTest!G87</f>
        <v>5.355026050999216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45728.454861111109</v>
      </c>
      <c r="D22" s="618">
        <v>35</v>
      </c>
      <c r="E22" s="645"/>
      <c r="F22" s="216">
        <f>LongTest!F88</f>
        <v>16.531698563212647</v>
      </c>
      <c r="G22" s="216">
        <f>LongTest!G88</f>
        <v>5.1816985632126462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45728.458333333336</v>
      </c>
      <c r="D23" s="618">
        <v>40</v>
      </c>
      <c r="E23" s="645"/>
      <c r="F23" s="216">
        <f>LongTest!F89</f>
        <v>16.363981210229582</v>
      </c>
      <c r="G23" s="216">
        <f>LongTest!G89</f>
        <v>5.0139812102295833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45728.461805555555</v>
      </c>
      <c r="D24" s="618">
        <v>45</v>
      </c>
      <c r="E24" s="645"/>
      <c r="F24" s="216">
        <f>LongTest!F90</f>
        <v>16.201692407392482</v>
      </c>
      <c r="G24" s="216">
        <f>LongTest!G90</f>
        <v>4.8516924073924814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45728.465277777774</v>
      </c>
      <c r="D25" s="618">
        <v>50</v>
      </c>
      <c r="E25" s="645"/>
      <c r="F25" s="216">
        <f>LongTest!F91</f>
        <v>16.044656447440502</v>
      </c>
      <c r="G25" s="216">
        <f>LongTest!G91</f>
        <v>4.6946564474405026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45728.46875</v>
      </c>
      <c r="D26" s="618">
        <v>55</v>
      </c>
      <c r="E26" s="645"/>
      <c r="F26" s="216">
        <f>LongTest!F92</f>
        <v>15.892703310274335</v>
      </c>
      <c r="G26" s="216">
        <f>LongTest!G92</f>
        <v>4.5427033102743355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45728.472222222219</v>
      </c>
      <c r="D27" s="618">
        <v>60</v>
      </c>
      <c r="E27" s="645"/>
      <c r="F27" s="216">
        <f>LongTest!F93</f>
        <v>15.745668478878386</v>
      </c>
      <c r="G27" s="216">
        <f>LongTest!G93</f>
        <v>4.3956684788783873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45728.482638888891</v>
      </c>
      <c r="D28" s="618">
        <v>75</v>
      </c>
      <c r="E28" s="645"/>
      <c r="F28" s="216">
        <f>LongTest!F94</f>
        <v>15.603392761201077</v>
      </c>
      <c r="G28" s="216">
        <f>LongTest!G94</f>
        <v>4.2533927612010771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45728.493055555555</v>
      </c>
      <c r="D29" s="618">
        <v>90</v>
      </c>
      <c r="E29" s="645"/>
      <c r="F29" s="216">
        <f>LongTest!F95</f>
        <v>15.465722117800379</v>
      </c>
      <c r="G29" s="216">
        <f>LongTest!G95</f>
        <v>4.1157221178003791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45728.503472222219</v>
      </c>
      <c r="D30" s="618">
        <v>105</v>
      </c>
      <c r="E30" s="645"/>
      <c r="F30" s="216">
        <f>LongTest!F96</f>
        <v>15.332507495067992</v>
      </c>
      <c r="G30" s="216">
        <f>LongTest!G96</f>
        <v>3.982507495067992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45728.513888888891</v>
      </c>
      <c r="D31" s="618">
        <v>120</v>
      </c>
      <c r="E31" s="645"/>
      <c r="F31" s="216">
        <f>LongTest!F97</f>
        <v>14.958180649765406</v>
      </c>
      <c r="G31" s="216">
        <f>LongTest!G97</f>
        <v>3.6081806497654068</v>
      </c>
      <c r="H31" s="618"/>
      <c r="I31" s="619"/>
      <c r="J31" s="620"/>
    </row>
    <row r="32" spans="1:10" ht="24.95" customHeight="1">
      <c r="A32" s="238"/>
      <c r="B32" s="215"/>
      <c r="C32" s="215">
        <f t="shared" si="0"/>
        <v>45728.555555555555</v>
      </c>
      <c r="D32" s="618">
        <v>180</v>
      </c>
      <c r="E32" s="645"/>
      <c r="F32" s="216">
        <f>LongTest!F98</f>
        <v>14.841393750589209</v>
      </c>
      <c r="G32" s="216">
        <f>LongTest!G98</f>
        <v>3.4913937505892099</v>
      </c>
      <c r="H32" s="618"/>
      <c r="I32" s="619"/>
      <c r="J32" s="620"/>
    </row>
    <row r="33" spans="1:10" ht="24.95" customHeight="1">
      <c r="A33" s="238"/>
      <c r="B33" s="215"/>
      <c r="C33" s="215">
        <f t="shared" si="0"/>
        <v>45728.597222222219</v>
      </c>
      <c r="D33" s="618">
        <v>240</v>
      </c>
      <c r="E33" s="645"/>
      <c r="F33" s="216">
        <f>LongTest!F99</f>
        <v>14.215907525128532</v>
      </c>
      <c r="G33" s="216">
        <f>LongTest!G99</f>
        <v>2.8659075251285322</v>
      </c>
      <c r="H33" s="618"/>
      <c r="I33" s="619"/>
      <c r="J33" s="620"/>
    </row>
    <row r="34" spans="1:10" ht="24.95" customHeight="1">
      <c r="A34" s="238"/>
      <c r="B34" s="215"/>
      <c r="C34" s="215">
        <f t="shared" si="0"/>
        <v>45728.638888888891</v>
      </c>
      <c r="D34" s="618">
        <v>300</v>
      </c>
      <c r="E34" s="645"/>
      <c r="F34" s="216">
        <f>LongTest!F100</f>
        <v>13.702477700689659</v>
      </c>
      <c r="G34" s="216">
        <f>LongTest!G100</f>
        <v>2.3524777006896587</v>
      </c>
      <c r="H34" s="618"/>
      <c r="I34" s="619"/>
      <c r="J34" s="620"/>
    </row>
    <row r="35" spans="1:10" ht="24.95" customHeight="1" thickBot="1">
      <c r="A35" s="242"/>
      <c r="B35" s="243"/>
      <c r="C35" s="243">
        <f t="shared" si="0"/>
        <v>45728.680555555555</v>
      </c>
      <c r="D35" s="621">
        <v>360</v>
      </c>
      <c r="E35" s="646"/>
      <c r="F35" s="244">
        <f>LongTest!F101</f>
        <v>13.281029275619737</v>
      </c>
      <c r="G35" s="244">
        <f>LongTest!G101</f>
        <v>1.9310292756197371</v>
      </c>
      <c r="H35" s="621" t="s">
        <v>320</v>
      </c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6" t="s">
        <v>316</v>
      </c>
      <c r="B1" s="687"/>
      <c r="C1" s="687"/>
      <c r="D1" s="687"/>
      <c r="E1" s="687"/>
      <c r="F1" s="687"/>
      <c r="G1" s="687"/>
      <c r="H1" s="687"/>
      <c r="I1" s="687"/>
      <c r="J1" s="688"/>
    </row>
    <row r="2" spans="1:10" ht="24.95" customHeight="1">
      <c r="A2" s="689" t="s">
        <v>292</v>
      </c>
      <c r="B2" s="690"/>
      <c r="C2" s="691" t="str">
        <f>LongTest!C2</f>
        <v>예산군 마전 등 5지구 농업용관정 지하수영향조사 용역</v>
      </c>
      <c r="D2" s="692"/>
      <c r="E2" s="692"/>
      <c r="F2" s="692"/>
      <c r="G2" s="692"/>
      <c r="H2" s="692"/>
      <c r="I2" s="692"/>
      <c r="J2" s="693"/>
    </row>
    <row r="3" spans="1:10" ht="24.95" customHeight="1">
      <c r="A3" s="677" t="s">
        <v>293</v>
      </c>
      <c r="B3" s="678"/>
      <c r="C3" s="694" t="str">
        <f>LongTest!C4</f>
        <v>충청남도 예산군 대술면 마전리 820번지</v>
      </c>
      <c r="D3" s="695"/>
      <c r="E3" s="695"/>
      <c r="F3" s="695"/>
      <c r="G3" s="695"/>
      <c r="H3" s="696"/>
      <c r="I3" s="223" t="str">
        <f>Input!I54</f>
        <v>W-1</v>
      </c>
      <c r="J3" s="224" t="s">
        <v>319</v>
      </c>
    </row>
    <row r="4" spans="1:10" ht="24.95" customHeight="1">
      <c r="A4" s="677" t="s">
        <v>294</v>
      </c>
      <c r="B4" s="678"/>
      <c r="C4" s="680">
        <f>LongTest!C10</f>
        <v>45726.430555555555</v>
      </c>
      <c r="D4" s="681"/>
      <c r="E4" s="681"/>
      <c r="F4" s="681"/>
      <c r="G4" s="681"/>
      <c r="H4" s="681"/>
      <c r="I4" s="681"/>
      <c r="J4" s="682"/>
    </row>
    <row r="5" spans="1:10" ht="24.95" customHeight="1">
      <c r="A5" s="677" t="s">
        <v>295</v>
      </c>
      <c r="B5" s="678"/>
      <c r="C5" s="680">
        <f>C55</f>
        <v>45727.430555555555</v>
      </c>
      <c r="D5" s="681"/>
      <c r="E5" s="681"/>
      <c r="F5" s="681"/>
      <c r="G5" s="681"/>
      <c r="H5" s="681"/>
      <c r="I5" s="681"/>
      <c r="J5" s="682"/>
    </row>
    <row r="6" spans="1:10" ht="24.95" customHeight="1">
      <c r="A6" s="677" t="s">
        <v>291</v>
      </c>
      <c r="B6" s="678"/>
      <c r="C6" s="683" t="str">
        <f>LongTest!C5</f>
        <v>다다건설(주)</v>
      </c>
      <c r="D6" s="684"/>
      <c r="E6" s="684"/>
      <c r="F6" s="684"/>
      <c r="G6" s="684"/>
      <c r="H6" s="684"/>
      <c r="I6" s="684"/>
      <c r="J6" s="685"/>
    </row>
    <row r="7" spans="1:10" ht="24.95" customHeight="1">
      <c r="A7" s="677" t="s">
        <v>296</v>
      </c>
      <c r="B7" s="678"/>
      <c r="C7" s="679" t="s">
        <v>323</v>
      </c>
      <c r="D7" s="678"/>
      <c r="E7" s="225">
        <f>LongTest!C6</f>
        <v>7.5</v>
      </c>
      <c r="F7" s="225" t="s">
        <v>297</v>
      </c>
      <c r="G7" s="225" t="s">
        <v>325</v>
      </c>
      <c r="H7" s="679">
        <f>Input!I50</f>
        <v>48</v>
      </c>
      <c r="I7" s="678"/>
      <c r="J7" s="226" t="s">
        <v>298</v>
      </c>
    </row>
    <row r="8" spans="1:10" ht="24.95" customHeight="1">
      <c r="A8" s="677" t="s">
        <v>299</v>
      </c>
      <c r="B8" s="678"/>
      <c r="C8" s="679" t="s">
        <v>324</v>
      </c>
      <c r="D8" s="678"/>
      <c r="E8" s="225">
        <f>LongTest!D7</f>
        <v>250</v>
      </c>
      <c r="F8" s="225" t="s">
        <v>300</v>
      </c>
      <c r="G8" s="225" t="s">
        <v>301</v>
      </c>
      <c r="H8" s="679">
        <f>LongTest!G7</f>
        <v>158</v>
      </c>
      <c r="I8" s="678"/>
      <c r="J8" s="226" t="s">
        <v>298</v>
      </c>
    </row>
    <row r="9" spans="1:10" ht="24.95" customHeight="1">
      <c r="A9" s="677" t="s">
        <v>302</v>
      </c>
      <c r="B9" s="678"/>
      <c r="C9" s="679" t="s">
        <v>322</v>
      </c>
      <c r="D9" s="678"/>
      <c r="E9" s="225">
        <f>LongTest!D8</f>
        <v>11.35</v>
      </c>
      <c r="F9" s="225" t="s">
        <v>298</v>
      </c>
      <c r="G9" s="225" t="s">
        <v>303</v>
      </c>
      <c r="H9" s="679">
        <f>LongTest!G8</f>
        <v>38.200000000000003</v>
      </c>
      <c r="I9" s="678"/>
      <c r="J9" s="226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4">
        <v>1</v>
      </c>
      <c r="E12" s="644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4">
        <v>2</v>
      </c>
      <c r="E13" s="644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4">
        <v>3</v>
      </c>
      <c r="E14" s="644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4">
        <v>4</v>
      </c>
      <c r="E15" s="644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4">
        <v>5</v>
      </c>
      <c r="E16" s="644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4">
        <v>10</v>
      </c>
      <c r="E17" s="644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4">
        <v>15</v>
      </c>
      <c r="E18" s="644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4">
        <v>20</v>
      </c>
      <c r="E19" s="644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4">
        <v>25</v>
      </c>
      <c r="E20" s="644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4">
        <v>30</v>
      </c>
      <c r="E21" s="644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4">
        <v>35</v>
      </c>
      <c r="E22" s="644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4">
        <v>40</v>
      </c>
      <c r="E23" s="644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4">
        <v>45</v>
      </c>
      <c r="E24" s="644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4">
        <v>50</v>
      </c>
      <c r="E25" s="644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4">
        <v>55</v>
      </c>
      <c r="E26" s="644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4">
        <v>60</v>
      </c>
      <c r="E27" s="644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4">
        <v>75</v>
      </c>
      <c r="E28" s="644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4">
        <v>90</v>
      </c>
      <c r="E29" s="644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4">
        <v>105</v>
      </c>
      <c r="E30" s="644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4">
        <v>120</v>
      </c>
      <c r="E31" s="644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4">
        <v>140</v>
      </c>
      <c r="E32" s="644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4">
        <v>160</v>
      </c>
      <c r="E33" s="644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4">
        <v>180</v>
      </c>
      <c r="E34" s="644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4">
        <v>240</v>
      </c>
      <c r="E35" s="644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4">
        <v>300</v>
      </c>
      <c r="E36" s="644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4">
        <v>360</v>
      </c>
      <c r="E37" s="644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4">
        <v>420</v>
      </c>
      <c r="E38" s="644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4">
        <v>480</v>
      </c>
      <c r="E39" s="644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4">
        <v>540</v>
      </c>
      <c r="E40" s="644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4">
        <v>600</v>
      </c>
      <c r="E41" s="644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4">
        <v>660</v>
      </c>
      <c r="E42" s="644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4">
        <v>720</v>
      </c>
      <c r="E43" s="644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4">
        <v>780</v>
      </c>
      <c r="E44" s="644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4">
        <v>840</v>
      </c>
      <c r="E45" s="644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4">
        <v>900</v>
      </c>
      <c r="E46" s="644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4">
        <v>960</v>
      </c>
      <c r="E47" s="644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4">
        <v>1020</v>
      </c>
      <c r="E48" s="644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4">
        <v>1080</v>
      </c>
      <c r="E49" s="644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4">
        <v>1140</v>
      </c>
      <c r="E50" s="644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4">
        <v>1200</v>
      </c>
      <c r="E51" s="644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4">
        <v>1260</v>
      </c>
      <c r="E52" s="644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4">
        <v>1320</v>
      </c>
      <c r="E53" s="644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4">
        <v>1380</v>
      </c>
      <c r="E54" s="644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4">
        <v>1440</v>
      </c>
      <c r="E55" s="644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5"/>
      <c r="E56" s="676"/>
      <c r="F56" s="225"/>
      <c r="G56" s="225"/>
      <c r="H56" s="225"/>
      <c r="I56" s="225"/>
      <c r="J56" s="226"/>
    </row>
    <row r="57" spans="1:10" ht="24.95" customHeight="1" thickBot="1">
      <c r="A57" s="672" t="s">
        <v>321</v>
      </c>
      <c r="B57" s="673"/>
      <c r="C57" s="673"/>
      <c r="D57" s="673"/>
      <c r="E57" s="673"/>
      <c r="F57" s="673"/>
      <c r="G57" s="673"/>
      <c r="H57" s="673"/>
      <c r="I57" s="673"/>
      <c r="J57" s="67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350</v>
      </c>
      <c r="B4" s="631"/>
      <c r="C4" s="632">
        <f>장기14!C55</f>
        <v>45727.430555555555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349</v>
      </c>
      <c r="B5" s="631"/>
      <c r="C5" s="632">
        <f>C31</f>
        <v>45727.513888888891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8">
        <v>1</v>
      </c>
      <c r="E12" s="645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8">
        <v>2</v>
      </c>
      <c r="E13" s="645"/>
      <c r="F13" s="216">
        <f>LongTest!F79</f>
        <v>26.69700945681798</v>
      </c>
      <c r="G13" s="216">
        <f>LongTest!G79</f>
        <v>15.347009456817981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45727.432638888888</v>
      </c>
      <c r="D14" s="618">
        <v>3</v>
      </c>
      <c r="E14" s="645"/>
      <c r="F14" s="216">
        <f>LongTest!F80</f>
        <v>25.254501779955085</v>
      </c>
      <c r="G14" s="216">
        <f>LongTest!G80</f>
        <v>13.904501779955083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45727.433333333334</v>
      </c>
      <c r="D15" s="618">
        <v>4</v>
      </c>
      <c r="E15" s="645"/>
      <c r="F15" s="216">
        <f>LongTest!F81</f>
        <v>23.94757937158786</v>
      </c>
      <c r="G15" s="216">
        <f>LongTest!G81</f>
        <v>12.597579371587861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45727.434027777774</v>
      </c>
      <c r="D16" s="618">
        <v>5</v>
      </c>
      <c r="E16" s="645"/>
      <c r="F16" s="216">
        <f>LongTest!F82</f>
        <v>22.763498198996139</v>
      </c>
      <c r="G16" s="216">
        <f>LongTest!G82</f>
        <v>11.413498198996141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45727.4375</v>
      </c>
      <c r="D17" s="618">
        <v>10</v>
      </c>
      <c r="E17" s="645"/>
      <c r="F17" s="216">
        <f>LongTest!F83</f>
        <v>19.838164518633043</v>
      </c>
      <c r="G17" s="216">
        <f>LongTest!G83</f>
        <v>8.4881645186330434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45727.440972222219</v>
      </c>
      <c r="D18" s="618">
        <v>15</v>
      </c>
      <c r="E18" s="645"/>
      <c r="F18" s="216">
        <f>LongTest!F84</f>
        <v>19.297579899788193</v>
      </c>
      <c r="G18" s="216">
        <f>LongTest!G84</f>
        <v>7.9475798997881943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45727.444444444445</v>
      </c>
      <c r="D19" s="618">
        <v>20</v>
      </c>
      <c r="E19" s="645"/>
      <c r="F19" s="216">
        <f>LongTest!F85</f>
        <v>17.87376405196904</v>
      </c>
      <c r="G19" s="216">
        <f>LongTest!G85</f>
        <v>6.5237640519690405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45727.447916666664</v>
      </c>
      <c r="D20" s="618">
        <v>25</v>
      </c>
      <c r="E20" s="645"/>
      <c r="F20" s="216">
        <f>LongTest!F86</f>
        <v>17.260577505529085</v>
      </c>
      <c r="G20" s="216">
        <f>LongTest!G86</f>
        <v>5.9105775055290843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45727.451388888891</v>
      </c>
      <c r="D21" s="618">
        <v>30</v>
      </c>
      <c r="E21" s="645"/>
      <c r="F21" s="216">
        <f>LongTest!F87</f>
        <v>16.705026050999216</v>
      </c>
      <c r="G21" s="216">
        <f>LongTest!G87</f>
        <v>5.355026050999216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45727.454861111109</v>
      </c>
      <c r="D22" s="618">
        <v>35</v>
      </c>
      <c r="E22" s="645"/>
      <c r="F22" s="216">
        <f>LongTest!F88</f>
        <v>16.531698563212647</v>
      </c>
      <c r="G22" s="216">
        <f>LongTest!G88</f>
        <v>5.1816985632126462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45727.458333333336</v>
      </c>
      <c r="D23" s="618">
        <v>40</v>
      </c>
      <c r="E23" s="645"/>
      <c r="F23" s="216">
        <f>LongTest!F89</f>
        <v>16.363981210229582</v>
      </c>
      <c r="G23" s="216">
        <f>LongTest!G89</f>
        <v>5.0139812102295833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45727.461805555555</v>
      </c>
      <c r="D24" s="618">
        <v>45</v>
      </c>
      <c r="E24" s="645"/>
      <c r="F24" s="216">
        <f>LongTest!F90</f>
        <v>16.201692407392482</v>
      </c>
      <c r="G24" s="216">
        <f>LongTest!G90</f>
        <v>4.8516924073924814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45727.465277777774</v>
      </c>
      <c r="D25" s="618">
        <v>50</v>
      </c>
      <c r="E25" s="645"/>
      <c r="F25" s="216">
        <f>LongTest!F91</f>
        <v>16.044656447440502</v>
      </c>
      <c r="G25" s="216">
        <f>LongTest!G91</f>
        <v>4.6946564474405026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45727.46875</v>
      </c>
      <c r="D26" s="618">
        <v>55</v>
      </c>
      <c r="E26" s="645"/>
      <c r="F26" s="216">
        <f>LongTest!F92</f>
        <v>15.892703310274335</v>
      </c>
      <c r="G26" s="216">
        <f>LongTest!G92</f>
        <v>4.5427033102743355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45727.472222222219</v>
      </c>
      <c r="D27" s="618">
        <v>60</v>
      </c>
      <c r="E27" s="645"/>
      <c r="F27" s="216">
        <f>LongTest!F93</f>
        <v>15.745668478878386</v>
      </c>
      <c r="G27" s="216">
        <f>LongTest!G93</f>
        <v>4.3956684788783873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45727.482638888891</v>
      </c>
      <c r="D28" s="618">
        <v>75</v>
      </c>
      <c r="E28" s="645"/>
      <c r="F28" s="216">
        <f>LongTest!F94</f>
        <v>15.603392761201077</v>
      </c>
      <c r="G28" s="216">
        <f>LongTest!G94</f>
        <v>4.2533927612010771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45727.493055555555</v>
      </c>
      <c r="D29" s="618">
        <v>90</v>
      </c>
      <c r="E29" s="645"/>
      <c r="F29" s="216">
        <f>LongTest!F95</f>
        <v>15.465722117800379</v>
      </c>
      <c r="G29" s="216">
        <f>LongTest!G95</f>
        <v>4.1157221178003791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45727.503472222219</v>
      </c>
      <c r="D30" s="618">
        <v>105</v>
      </c>
      <c r="E30" s="645"/>
      <c r="F30" s="216">
        <f>LongTest!F96</f>
        <v>15.332507495067992</v>
      </c>
      <c r="G30" s="216">
        <f>LongTest!G96</f>
        <v>3.982507495067992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45727.513888888891</v>
      </c>
      <c r="D31" s="618">
        <v>120</v>
      </c>
      <c r="E31" s="645"/>
      <c r="F31" s="216">
        <f>LongTest!F97</f>
        <v>14.958180649765406</v>
      </c>
      <c r="G31" s="216">
        <f>LongTest!G97</f>
        <v>3.6081806497654068</v>
      </c>
      <c r="H31" s="618" t="s">
        <v>326</v>
      </c>
      <c r="I31" s="619"/>
      <c r="J31" s="620"/>
    </row>
    <row r="32" spans="1:10" ht="24.95" customHeight="1">
      <c r="A32" s="238"/>
      <c r="B32" s="215"/>
      <c r="C32" s="215"/>
      <c r="D32" s="618"/>
      <c r="E32" s="645"/>
      <c r="F32" s="216"/>
      <c r="G32" s="216"/>
      <c r="H32" s="618"/>
      <c r="I32" s="619"/>
      <c r="J32" s="620"/>
    </row>
    <row r="33" spans="1:10" ht="24.95" customHeight="1">
      <c r="A33" s="238"/>
      <c r="B33" s="215"/>
      <c r="C33" s="215"/>
      <c r="D33" s="618"/>
      <c r="E33" s="645"/>
      <c r="F33" s="216"/>
      <c r="G33" s="216"/>
      <c r="H33" s="618"/>
      <c r="I33" s="619"/>
      <c r="J33" s="620"/>
    </row>
    <row r="34" spans="1:10" ht="24.95" customHeight="1">
      <c r="A34" s="238"/>
      <c r="B34" s="215"/>
      <c r="C34" s="215"/>
      <c r="D34" s="618"/>
      <c r="E34" s="645"/>
      <c r="F34" s="216"/>
      <c r="G34" s="216"/>
      <c r="H34" s="618"/>
      <c r="I34" s="619"/>
      <c r="J34" s="620"/>
    </row>
    <row r="35" spans="1:10" ht="24.95" customHeight="1" thickBot="1">
      <c r="A35" s="242"/>
      <c r="B35" s="243"/>
      <c r="C35" s="243"/>
      <c r="D35" s="621"/>
      <c r="E35" s="646"/>
      <c r="F35" s="244"/>
      <c r="G35" s="244"/>
      <c r="H35" s="621"/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H43" sqref="H4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44"/>
      <c r="E32" s="545"/>
    </row>
    <row r="33" spans="1:5">
      <c r="A33" s="58">
        <v>1441</v>
      </c>
      <c r="B33" s="59">
        <f>LongTest!G78</f>
        <v>16.939168550951234</v>
      </c>
      <c r="C33" s="60">
        <v>1</v>
      </c>
      <c r="D33" s="544"/>
      <c r="E33" s="545"/>
    </row>
    <row r="34" spans="1:5">
      <c r="A34" s="58">
        <v>1442</v>
      </c>
      <c r="B34" s="59">
        <f>LongTest!G79</f>
        <v>15.347009456817981</v>
      </c>
      <c r="C34" s="60">
        <v>1</v>
      </c>
      <c r="D34" s="544"/>
      <c r="E34" s="545"/>
    </row>
    <row r="35" spans="1:5">
      <c r="A35" s="58">
        <v>1443</v>
      </c>
      <c r="B35" s="59">
        <f>LongTest!G80</f>
        <v>13.904501779955083</v>
      </c>
      <c r="C35" s="60">
        <v>1</v>
      </c>
      <c r="D35" s="544"/>
      <c r="E35" s="545"/>
    </row>
    <row r="36" spans="1:5">
      <c r="A36" s="58">
        <v>1444</v>
      </c>
      <c r="B36" s="59">
        <f>LongTest!G81</f>
        <v>12.597579371587861</v>
      </c>
      <c r="C36" s="60">
        <v>1</v>
      </c>
      <c r="D36" s="544"/>
      <c r="E36" s="545"/>
    </row>
    <row r="37" spans="1:5">
      <c r="A37" s="58">
        <v>1445</v>
      </c>
      <c r="B37" s="59">
        <f>LongTest!G82</f>
        <v>11.413498198996141</v>
      </c>
      <c r="C37" s="60">
        <v>1</v>
      </c>
      <c r="D37" s="544"/>
      <c r="E37" s="545"/>
    </row>
    <row r="38" spans="1:5">
      <c r="A38" s="58">
        <v>1450</v>
      </c>
      <c r="B38" s="59">
        <f>LongTest!G83</f>
        <v>8.4881645186330434</v>
      </c>
      <c r="C38" s="60">
        <v>1</v>
      </c>
      <c r="D38" s="544"/>
      <c r="E38" s="545"/>
    </row>
    <row r="39" spans="1:5">
      <c r="A39" s="58">
        <v>1455</v>
      </c>
      <c r="B39" s="59">
        <f>LongTest!G84</f>
        <v>7.9475798997881943</v>
      </c>
      <c r="C39" s="60">
        <v>1</v>
      </c>
      <c r="D39" s="544"/>
      <c r="E39" s="545"/>
    </row>
    <row r="40" spans="1:5">
      <c r="A40" s="58">
        <v>1460</v>
      </c>
      <c r="B40" s="59">
        <f>LongTest!G85</f>
        <v>6.5237640519690405</v>
      </c>
      <c r="C40" s="60">
        <v>1</v>
      </c>
      <c r="D40" s="544"/>
      <c r="E40" s="545"/>
    </row>
    <row r="41" spans="1:5">
      <c r="A41" s="58">
        <v>1465</v>
      </c>
      <c r="B41" s="59">
        <f>LongTest!G86</f>
        <v>5.9105775055290843</v>
      </c>
      <c r="C41" s="60">
        <v>1</v>
      </c>
      <c r="D41" s="544"/>
      <c r="E41" s="545"/>
    </row>
    <row r="42" spans="1:5">
      <c r="A42" s="58">
        <v>1470</v>
      </c>
      <c r="B42" s="59">
        <f>LongTest!G87</f>
        <v>5.355026050999216</v>
      </c>
      <c r="C42" s="60">
        <v>1</v>
      </c>
      <c r="D42" s="544"/>
      <c r="E42" s="545"/>
    </row>
    <row r="43" spans="1:5">
      <c r="A43" s="58">
        <v>1475</v>
      </c>
      <c r="B43" s="59">
        <f>LongTest!G88</f>
        <v>5.1816985632126462</v>
      </c>
      <c r="C43" s="60">
        <v>1</v>
      </c>
      <c r="D43" s="544"/>
      <c r="E43" s="545"/>
    </row>
    <row r="44" spans="1:5">
      <c r="A44" s="58">
        <v>1480</v>
      </c>
      <c r="B44" s="59">
        <f>LongTest!G89</f>
        <v>5.0139812102295833</v>
      </c>
      <c r="C44" s="60">
        <v>1</v>
      </c>
      <c r="D44" s="544"/>
      <c r="E44" s="545"/>
    </row>
    <row r="45" spans="1:5">
      <c r="A45" s="58">
        <v>1485</v>
      </c>
      <c r="B45" s="59">
        <f>LongTest!G90</f>
        <v>4.8516924073924814</v>
      </c>
      <c r="C45" s="60">
        <v>1</v>
      </c>
      <c r="D45" s="544"/>
      <c r="E45" s="545"/>
    </row>
    <row r="46" spans="1:5">
      <c r="A46" s="58">
        <v>1490</v>
      </c>
      <c r="B46" s="59">
        <f>LongTest!G91</f>
        <v>4.6946564474405026</v>
      </c>
      <c r="C46" s="60">
        <v>1</v>
      </c>
      <c r="D46" s="544"/>
      <c r="E46" s="545"/>
    </row>
    <row r="47" spans="1:5">
      <c r="A47" s="58">
        <v>1495</v>
      </c>
      <c r="B47" s="59">
        <f>LongTest!G92</f>
        <v>4.5427033102743355</v>
      </c>
      <c r="C47" s="60">
        <v>1</v>
      </c>
      <c r="D47" s="544"/>
      <c r="E47" s="545"/>
    </row>
    <row r="48" spans="1:5">
      <c r="A48" s="58">
        <v>1500</v>
      </c>
      <c r="B48" s="59">
        <f>LongTest!G93</f>
        <v>4.3956684788783873</v>
      </c>
      <c r="C48" s="60">
        <v>1</v>
      </c>
      <c r="D48" s="544"/>
      <c r="E48" s="545"/>
    </row>
    <row r="49" spans="1:5">
      <c r="A49" s="58">
        <v>1515</v>
      </c>
      <c r="B49" s="59">
        <f>LongTest!G94</f>
        <v>4.2533927612010771</v>
      </c>
      <c r="C49" s="60">
        <v>1</v>
      </c>
      <c r="D49" s="544"/>
      <c r="E49" s="545"/>
    </row>
    <row r="50" spans="1:5">
      <c r="A50" s="58">
        <v>1530</v>
      </c>
      <c r="B50" s="59">
        <f>LongTest!G95</f>
        <v>4.1157221178003791</v>
      </c>
      <c r="C50" s="60">
        <v>1</v>
      </c>
      <c r="D50" s="544"/>
      <c r="E50" s="545"/>
    </row>
    <row r="51" spans="1:5">
      <c r="A51" s="58">
        <v>1545</v>
      </c>
      <c r="B51" s="59">
        <f>LongTest!G96</f>
        <v>3.982507495067992</v>
      </c>
      <c r="C51" s="60">
        <v>1</v>
      </c>
      <c r="D51" s="544"/>
      <c r="E51" s="545"/>
    </row>
    <row r="52" spans="1:5">
      <c r="A52" s="58">
        <v>1560</v>
      </c>
      <c r="B52" s="59">
        <f>LongTest!G97</f>
        <v>3.6081806497654068</v>
      </c>
      <c r="C52" s="60">
        <v>1</v>
      </c>
      <c r="D52" s="544"/>
      <c r="E52" s="545"/>
    </row>
    <row r="53" spans="1:5">
      <c r="A53" s="58" t="s">
        <v>202</v>
      </c>
      <c r="B53" s="59"/>
      <c r="C53" s="59"/>
      <c r="D53" s="544"/>
    </row>
    <row r="54" spans="1:5">
      <c r="D54" s="544"/>
    </row>
    <row r="55" spans="1:5">
      <c r="D55" s="544"/>
    </row>
    <row r="56" spans="1:5">
      <c r="D56" s="54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9" t="s">
        <v>207</v>
      </c>
      <c r="C12" s="700"/>
      <c r="D12" s="699" t="str">
        <f>C4</f>
        <v>W-1</v>
      </c>
      <c r="E12" s="701"/>
      <c r="F12" s="700"/>
      <c r="H12" s="702" t="str">
        <f>C4</f>
        <v>W-1</v>
      </c>
      <c r="I12" s="703"/>
      <c r="J12" s="704"/>
      <c r="L12"/>
      <c r="M12"/>
      <c r="N12"/>
      <c r="O12"/>
      <c r="P12"/>
      <c r="Q12"/>
    </row>
    <row r="13" spans="2:17" s="4" customFormat="1" ht="26.1" customHeight="1">
      <c r="B13" s="532" t="s">
        <v>203</v>
      </c>
      <c r="C13" s="533" t="s">
        <v>208</v>
      </c>
      <c r="D13" s="534" t="s">
        <v>209</v>
      </c>
      <c r="E13" s="535" t="s">
        <v>210</v>
      </c>
      <c r="F13" s="533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9"/>
      <c r="N21"/>
      <c r="O21" s="539"/>
      <c r="P21" s="540"/>
      <c r="Q21" s="541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9"/>
      <c r="P22" s="540"/>
      <c r="Q22" s="541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9"/>
      <c r="P23" s="540"/>
      <c r="Q23" s="541"/>
    </row>
    <row r="24" spans="2:17" s="49" customFormat="1" ht="26.1" customHeight="1">
      <c r="B24" s="705" t="s">
        <v>79</v>
      </c>
      <c r="C24" s="706"/>
      <c r="D24" s="534">
        <f>MAX(D14:D23)</f>
        <v>15.700000000000001</v>
      </c>
      <c r="E24" s="535">
        <f t="shared" ref="E24:F24" si="4">MAX(E14:E23)</f>
        <v>216</v>
      </c>
      <c r="F24" s="533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5" t="s">
        <v>212</v>
      </c>
      <c r="C25" s="706"/>
      <c r="D25" s="534">
        <f>MIN(D14:D23)</f>
        <v>15.1</v>
      </c>
      <c r="E25" s="535">
        <f t="shared" ref="E25:F25" si="5">MIN(E14:E23)</f>
        <v>210</v>
      </c>
      <c r="F25" s="533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536">
        <f>D24-D25</f>
        <v>0.60000000000000142</v>
      </c>
      <c r="E26" s="537">
        <f t="shared" ref="E26:F26" si="6">E24-E25</f>
        <v>6</v>
      </c>
      <c r="F26" s="538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2025-04-29T07:57:02Z</dcterms:modified>
</cp:coreProperties>
</file>