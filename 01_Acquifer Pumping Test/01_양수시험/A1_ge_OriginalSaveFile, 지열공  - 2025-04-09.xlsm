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C10026BE-04FB-4B1C-98EF-9A549F2BFA5A}" xr6:coauthVersionLast="47" xr6:coauthVersionMax="47" xr10:uidLastSave="{00000000-0000-0000-0000-000000000000}"/>
  <bookViews>
    <workbookView xWindow="6150" yWindow="5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<sst xmlns="http://schemas.openxmlformats.org/spreadsheetml/2006/main" count="1422" uniqueCount="351">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</sst>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4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76" fillId="23" borderId="17" xfId="2" applyFont="1" applyFill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75" fillId="0" borderId="0" xfId="2" applyFont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82" fillId="11" borderId="77" xfId="2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left" vertical="center"/>
    </xf>
    <xf numFmtId="185" fontId="42" fillId="27" borderId="1" xfId="2" applyNumberFormat="1" applyFont="1" applyFill="1" applyBorder="1" applyAlignment="1">
      <alignment horizontal="left" vertical="center"/>
    </xf>
    <xf numFmtId="0" fontId="42" fillId="27" borderId="1" xfId="2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42" fillId="27" borderId="13" xfId="2" applyFont="1" applyFill="1" applyBorder="1" applyAlignment="1">
      <alignment horizontal="left" vertical="center"/>
    </xf>
    <xf numFmtId="0" fontId="9" fillId="27" borderId="32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42" fillId="26" borderId="3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9.92741109297271E-2"/>
                  <c:y val="-0.2886664376329032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0552994648494626"/>
                  <c:y val="-0.1558589371425286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257175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264534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752494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271895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1" totalsRowShown="0" headerRowDxfId="25" dataDxfId="24" headerRowCellStyle="표준 2" dataCellStyle="표준 2">
  <autoFilter ref="J3:J21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3" t="s">
        <v>350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N32" sqref="N32"/>
    </sheetView>
  </sheetViews>
  <sheetFormatPr defaultColWidth="9" defaultRowHeight="16.5"/>
  <cols>
    <col min="1" max="1" width="13.875" style="386" customWidth="1"/>
    <col min="2" max="2" width="10.125" style="386" customWidth="1"/>
    <col min="3" max="3" width="12.25" style="386" bestFit="1" customWidth="1"/>
    <col min="4" max="4" width="8.375" style="386" customWidth="1"/>
    <col min="5" max="5" width="7.125" style="386" customWidth="1"/>
    <col min="6" max="6" width="6" style="386" bestFit="1" customWidth="1"/>
    <col min="7" max="7" width="9.75" style="386" bestFit="1" customWidth="1"/>
    <col min="8" max="8" width="10.375" style="387" customWidth="1"/>
    <col min="9" max="9" width="11.625" style="387" bestFit="1" customWidth="1"/>
    <col min="10" max="10" width="9" style="387"/>
    <col min="11" max="11" width="11.875" style="387" customWidth="1"/>
    <col min="12" max="12" width="10.375" style="387" customWidth="1"/>
    <col min="13" max="14" width="9" style="387"/>
    <col min="15" max="15" width="13.375" style="387" customWidth="1"/>
    <col min="16" max="16" width="9" style="387" customWidth="1"/>
    <col min="17" max="17" width="11.375" style="387" bestFit="1" customWidth="1"/>
    <col min="18" max="18" width="10.875" style="387" customWidth="1"/>
    <col min="19" max="19" width="12.75" style="387" customWidth="1"/>
    <col min="20" max="21" width="10.375" style="387" bestFit="1" customWidth="1"/>
    <col min="22" max="24" width="9.75" style="387" customWidth="1"/>
    <col min="25" max="16384" width="9" style="387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484" t="s">
        <v>5</v>
      </c>
      <c r="F8" s="484"/>
      <c r="G8" s="484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483" t="s">
        <v>7</v>
      </c>
      <c r="G9" s="483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483" t="s">
        <v>8</v>
      </c>
      <c r="G10" s="483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483" t="s">
        <v>9</v>
      </c>
      <c r="G11" s="483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483" t="s">
        <v>10</v>
      </c>
      <c r="G12" s="483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484" t="s">
        <v>11</v>
      </c>
      <c r="F13" s="484"/>
      <c r="G13" s="484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483" t="s">
        <v>7</v>
      </c>
      <c r="G14" s="483"/>
    </row>
    <row r="15" spans="1:19" s="6" customFormat="1">
      <c r="A15" s="329"/>
      <c r="B15" s="329"/>
      <c r="C15" s="329"/>
      <c r="D15" s="329"/>
      <c r="E15" s="331">
        <v>1</v>
      </c>
      <c r="F15" s="483" t="s">
        <v>8</v>
      </c>
      <c r="G15" s="483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483" t="s">
        <v>9</v>
      </c>
      <c r="G16" s="483"/>
      <c r="Q16" s="496" t="s">
        <v>338</v>
      </c>
      <c r="R16" s="497"/>
      <c r="S16" s="498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483" t="s">
        <v>10</v>
      </c>
      <c r="G17" s="483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32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485" t="s">
        <v>14</v>
      </c>
      <c r="B26" s="485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485" t="s">
        <v>15</v>
      </c>
      <c r="B27" s="485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6" t="s">
        <v>29</v>
      </c>
      <c r="I44" s="625" t="s">
        <v>342</v>
      </c>
      <c r="J44" s="625"/>
      <c r="K44" s="625"/>
      <c r="L44" s="477" t="s">
        <v>30</v>
      </c>
      <c r="M44" s="626">
        <v>250</v>
      </c>
      <c r="N44" s="617" t="s">
        <v>31</v>
      </c>
      <c r="Q44" s="371">
        <v>125</v>
      </c>
      <c r="R44" s="372">
        <v>22.61</v>
      </c>
      <c r="S44" s="372">
        <v>11.26</v>
      </c>
      <c r="T44" s="373">
        <v>11.101000000000001</v>
      </c>
      <c r="U44" s="374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78" t="s">
        <v>33</v>
      </c>
      <c r="I45" s="621" t="s">
        <v>343</v>
      </c>
      <c r="J45" s="621"/>
      <c r="K45" s="621"/>
      <c r="L45" s="370" t="s">
        <v>34</v>
      </c>
      <c r="M45" s="627">
        <v>158</v>
      </c>
      <c r="N45" s="618">
        <f>M44</f>
        <v>250</v>
      </c>
      <c r="Q45" s="371">
        <v>160</v>
      </c>
      <c r="R45" s="372">
        <v>26.369999999999997</v>
      </c>
      <c r="S45" s="372">
        <v>15.02</v>
      </c>
      <c r="T45" s="373">
        <v>10.651999999999999</v>
      </c>
      <c r="U45" s="374">
        <v>9.3875E-2</v>
      </c>
    </row>
    <row r="46" spans="1:21" s="6" customFormat="1">
      <c r="A46" s="329">
        <f>B34</f>
        <v>7.2076799999999996E-2</v>
      </c>
      <c r="B46" s="146" t="s">
        <v>35</v>
      </c>
      <c r="C46" s="486" t="s">
        <v>36</v>
      </c>
      <c r="D46" s="486"/>
      <c r="E46" s="329"/>
      <c r="F46" s="329"/>
      <c r="G46" s="329"/>
      <c r="H46" s="478" t="s">
        <v>37</v>
      </c>
      <c r="I46" s="620" t="s">
        <v>341</v>
      </c>
      <c r="J46" s="620"/>
      <c r="K46" s="620"/>
      <c r="L46" s="370" t="s">
        <v>38</v>
      </c>
      <c r="M46" s="628">
        <f>IF(I52&gt;M48, M45-I52,M45-M48)</f>
        <v>138</v>
      </c>
      <c r="Q46" s="371">
        <v>195</v>
      </c>
      <c r="R46" s="372">
        <v>30.589999999999996</v>
      </c>
      <c r="S46" s="372">
        <v>19.239999999999998</v>
      </c>
      <c r="T46" s="373">
        <v>10.117000000000001</v>
      </c>
      <c r="U46" s="374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486" t="s">
        <v>40</v>
      </c>
      <c r="D47" s="486"/>
      <c r="E47" s="329"/>
      <c r="F47" s="329"/>
      <c r="G47" s="329"/>
      <c r="H47" s="478" t="s">
        <v>41</v>
      </c>
      <c r="I47" s="622" t="s">
        <v>344</v>
      </c>
      <c r="J47" s="622"/>
      <c r="K47" s="622"/>
      <c r="L47" s="370" t="s">
        <v>42</v>
      </c>
      <c r="M47" s="629">
        <f>INT((M51*100)/M53)</f>
        <v>229</v>
      </c>
      <c r="Q47" s="371">
        <v>229</v>
      </c>
      <c r="R47" s="372">
        <v>35.299999999999997</v>
      </c>
      <c r="S47" s="372">
        <v>23.95</v>
      </c>
      <c r="T47" s="373">
        <v>9.5619999999999994</v>
      </c>
      <c r="U47" s="374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78" t="s">
        <v>43</v>
      </c>
      <c r="I48" s="623">
        <v>7.5</v>
      </c>
      <c r="J48" s="510" t="s">
        <v>291</v>
      </c>
      <c r="K48" s="510"/>
      <c r="L48" s="370" t="s">
        <v>44</v>
      </c>
      <c r="M48" s="627">
        <v>11.35</v>
      </c>
      <c r="Q48" s="375">
        <v>263</v>
      </c>
      <c r="R48" s="376">
        <v>42.48</v>
      </c>
      <c r="S48" s="376">
        <v>31.13</v>
      </c>
      <c r="T48" s="377">
        <v>8.4600000000000009</v>
      </c>
      <c r="U48" s="378">
        <v>0.1182077083728878</v>
      </c>
    </row>
    <row r="49" spans="1:24" s="6" customFormat="1">
      <c r="A49" s="329" t="s">
        <v>45</v>
      </c>
      <c r="B49" s="379">
        <f>INT(SQRT(B54)*1000)/1000</f>
        <v>2.7450000000000001</v>
      </c>
      <c r="C49" s="146" t="s">
        <v>46</v>
      </c>
      <c r="D49" s="380" t="s">
        <v>21</v>
      </c>
      <c r="E49" s="329"/>
      <c r="F49" s="329"/>
      <c r="G49" s="329"/>
      <c r="H49" s="478" t="s">
        <v>47</v>
      </c>
      <c r="I49" s="511">
        <f>LongTest!C10</f>
        <v>45726.430555555555</v>
      </c>
      <c r="J49" s="511"/>
      <c r="K49" s="511"/>
      <c r="L49" s="370" t="s">
        <v>48</v>
      </c>
      <c r="M49" s="627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78" t="s">
        <v>315</v>
      </c>
      <c r="I50" s="475">
        <v>48</v>
      </c>
      <c r="J50" s="370" t="s">
        <v>339</v>
      </c>
      <c r="K50" s="475">
        <v>50</v>
      </c>
      <c r="L50" s="370" t="s">
        <v>50</v>
      </c>
      <c r="M50" s="630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78" t="s">
        <v>340</v>
      </c>
      <c r="I51" s="475">
        <v>483</v>
      </c>
      <c r="J51" s="474"/>
      <c r="K51" s="474"/>
      <c r="L51" s="624" t="s">
        <v>52</v>
      </c>
      <c r="M51" s="627">
        <v>200</v>
      </c>
      <c r="P51" s="381"/>
    </row>
    <row r="52" spans="1:24" s="6" customFormat="1" ht="17.25" thickBot="1">
      <c r="A52" s="334" t="s">
        <v>53</v>
      </c>
      <c r="B52" s="146">
        <f>10^(5.46*A44*A46)</f>
        <v>316.0641727823359</v>
      </c>
      <c r="C52" s="382">
        <f>B52*B51</f>
        <v>0.15803208639116795</v>
      </c>
      <c r="D52" s="329"/>
      <c r="E52" s="329"/>
      <c r="F52" s="329"/>
      <c r="G52" s="329"/>
      <c r="H52" s="631" t="s">
        <v>54</v>
      </c>
      <c r="I52" s="632">
        <v>20</v>
      </c>
      <c r="J52" s="397" t="s">
        <v>55</v>
      </c>
      <c r="K52" s="479">
        <v>0</v>
      </c>
      <c r="L52" s="480" t="s">
        <v>56</v>
      </c>
      <c r="M52" s="633">
        <f>INT(M50*0.89*100)/100</f>
        <v>23.95</v>
      </c>
      <c r="N52" s="384"/>
      <c r="P52" s="381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495" t="s">
        <v>241</v>
      </c>
      <c r="J53" s="495"/>
      <c r="K53" s="495"/>
      <c r="L53" s="495"/>
      <c r="M53" s="619">
        <v>87</v>
      </c>
      <c r="R53"/>
    </row>
    <row r="54" spans="1:24" ht="18.75" customHeight="1" thickBot="1">
      <c r="A54" s="385" t="s">
        <v>57</v>
      </c>
      <c r="B54" s="146">
        <f>INT(C50/C52*1000)/1000</f>
        <v>7.5359999999999996</v>
      </c>
      <c r="H54" s="481" t="s">
        <v>58</v>
      </c>
      <c r="I54" s="482" t="s">
        <v>59</v>
      </c>
      <c r="J54" s="381"/>
      <c r="K54" s="381"/>
      <c r="L54" s="381"/>
      <c r="M54" s="381"/>
      <c r="N54" s="381"/>
      <c r="R54"/>
    </row>
    <row r="55" spans="1:24">
      <c r="A55" s="385" t="s">
        <v>45</v>
      </c>
      <c r="B55" s="382">
        <f>SQRT(B54)</f>
        <v>2.7451775898837583</v>
      </c>
      <c r="P55" s="387">
        <f>INT((M51*100)/M53)*1.15</f>
        <v>263.34999999999997</v>
      </c>
      <c r="R55"/>
    </row>
    <row r="56" spans="1:24" ht="17.25" thickBot="1">
      <c r="A56" s="385"/>
      <c r="R56"/>
    </row>
    <row r="57" spans="1:24" s="6" customFormat="1" ht="18" customHeight="1">
      <c r="A57" s="149"/>
      <c r="B57" s="388" t="s">
        <v>60</v>
      </c>
      <c r="C57" s="388" t="s">
        <v>61</v>
      </c>
      <c r="D57" s="505" t="s">
        <v>62</v>
      </c>
      <c r="E57" s="506"/>
      <c r="F57" s="505" t="s">
        <v>61</v>
      </c>
      <c r="G57" s="506"/>
      <c r="H57" s="388" t="s">
        <v>63</v>
      </c>
      <c r="I57" s="389">
        <f>M50</f>
        <v>26.92</v>
      </c>
      <c r="J57" s="388" t="s">
        <v>64</v>
      </c>
      <c r="K57" s="388" t="s">
        <v>65</v>
      </c>
      <c r="L57" s="505" t="s">
        <v>66</v>
      </c>
      <c r="M57" s="507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90">
        <f>SkinFactor!D4</f>
        <v>6.3520341974657759</v>
      </c>
      <c r="C58" s="383"/>
      <c r="D58" s="508">
        <f>SkinFactor!E10</f>
        <v>5.1830000000000001E-2</v>
      </c>
      <c r="E58" s="509"/>
      <c r="F58" s="499"/>
      <c r="G58" s="500"/>
      <c r="H58" s="383" t="s">
        <v>68</v>
      </c>
      <c r="I58" s="391">
        <f>C62/M46</f>
        <v>2.1270289855072462E-2</v>
      </c>
      <c r="J58" s="383" t="s">
        <v>69</v>
      </c>
      <c r="K58" s="392">
        <f>SQRT(6*I57*I58*I60/I59)</f>
        <v>85.051804292284373</v>
      </c>
      <c r="L58" s="383" t="s">
        <v>70</v>
      </c>
      <c r="M58" s="393" t="s">
        <v>71</v>
      </c>
      <c r="R58"/>
    </row>
    <row r="59" spans="1:24" s="6" customFormat="1" ht="18" customHeight="1">
      <c r="A59" s="147" t="s">
        <v>72</v>
      </c>
      <c r="B59" s="390">
        <f>SkinFactor!D5</f>
        <v>2.8875999999999999</v>
      </c>
      <c r="C59" s="487">
        <f>B59</f>
        <v>2.8875999999999999</v>
      </c>
      <c r="D59" s="489">
        <f>SkinFactor!I16</f>
        <v>1.7809999999999999E-4</v>
      </c>
      <c r="E59" s="490"/>
      <c r="F59" s="491">
        <f>INT((D59+D60)/1*10000000)/10000000</f>
        <v>1.7809999999999999E-4</v>
      </c>
      <c r="G59" s="492"/>
      <c r="H59" s="383" t="s">
        <v>32</v>
      </c>
      <c r="I59" s="383">
        <f>F62</f>
        <v>1.7809999999999999E-4</v>
      </c>
      <c r="J59" s="383" t="s">
        <v>73</v>
      </c>
      <c r="K59" s="392">
        <f>3*SQRT((I57*I58*I60/I59))</f>
        <v>104.16676110957644</v>
      </c>
      <c r="L59" s="392"/>
      <c r="M59" s="394"/>
      <c r="R59"/>
    </row>
    <row r="60" spans="1:24" s="6" customFormat="1" ht="18" customHeight="1">
      <c r="A60" s="147" t="s">
        <v>74</v>
      </c>
      <c r="B60" s="390"/>
      <c r="C60" s="488"/>
      <c r="D60" s="489"/>
      <c r="E60" s="490"/>
      <c r="F60" s="493"/>
      <c r="G60" s="494"/>
      <c r="H60" s="395">
        <f>LongTest!AE33</f>
        <v>720</v>
      </c>
      <c r="I60" s="391">
        <f>SkinFactor!H16</f>
        <v>0.375</v>
      </c>
      <c r="J60" s="383" t="s">
        <v>75</v>
      </c>
      <c r="K60" s="392">
        <f>SQRT(2.25*I61*I60/I59)</f>
        <v>117.92372259849978</v>
      </c>
      <c r="L60" s="392"/>
      <c r="M60" s="394"/>
    </row>
    <row r="61" spans="1:24" s="6" customFormat="1" ht="18" customHeight="1">
      <c r="A61" s="147" t="s">
        <v>76</v>
      </c>
      <c r="B61" s="473">
        <f>SkinFactor!H13</f>
        <v>2.9830000000000001</v>
      </c>
      <c r="C61" s="472">
        <f>B61</f>
        <v>2.9830000000000001</v>
      </c>
      <c r="D61" s="499"/>
      <c r="E61" s="500"/>
      <c r="F61" s="499"/>
      <c r="G61" s="500"/>
      <c r="H61" s="383" t="s">
        <v>28</v>
      </c>
      <c r="I61" s="383">
        <f>C62</f>
        <v>2.9352999999999998</v>
      </c>
      <c r="J61" s="383" t="s">
        <v>77</v>
      </c>
      <c r="K61" s="392">
        <f>((K58+K59+K60)/3)</f>
        <v>102.38076266678688</v>
      </c>
      <c r="L61" s="392"/>
      <c r="M61" s="394"/>
    </row>
    <row r="62" spans="1:24" s="6" customFormat="1" ht="18" customHeight="1" thickBot="1">
      <c r="A62" s="148" t="s">
        <v>61</v>
      </c>
      <c r="B62" s="396"/>
      <c r="C62" s="471">
        <f>(C58+C59+C61)/2</f>
        <v>2.9352999999999998</v>
      </c>
      <c r="D62" s="501"/>
      <c r="E62" s="502"/>
      <c r="F62" s="503">
        <f>F59</f>
        <v>1.7809999999999999E-4</v>
      </c>
      <c r="G62" s="504"/>
      <c r="H62" s="397" t="s">
        <v>78</v>
      </c>
      <c r="I62" s="398">
        <v>70.33</v>
      </c>
      <c r="J62" s="397" t="s">
        <v>79</v>
      </c>
      <c r="K62" s="399">
        <f>MAX(K58:K60)</f>
        <v>117.92372259849978</v>
      </c>
      <c r="L62" s="400"/>
      <c r="M62" s="401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3" customFormat="1" ht="97.5" customHeight="1" thickBot="1">
      <c r="A64" s="402"/>
      <c r="B64" s="402"/>
      <c r="C64" s="402"/>
      <c r="D64" s="402"/>
      <c r="E64" s="402"/>
      <c r="F64" s="402"/>
      <c r="G64" s="402"/>
      <c r="Q64" s="404" t="s">
        <v>345</v>
      </c>
      <c r="R64" s="405" t="s">
        <v>346</v>
      </c>
      <c r="S64" s="405" t="s">
        <v>347</v>
      </c>
      <c r="T64" s="405" t="s">
        <v>348</v>
      </c>
      <c r="U64" s="405" t="s">
        <v>349</v>
      </c>
      <c r="V64" s="405" t="s">
        <v>218</v>
      </c>
      <c r="W64" s="405" t="s">
        <v>219</v>
      </c>
      <c r="X64" s="406" t="s">
        <v>220</v>
      </c>
    </row>
    <row r="69" spans="17:17">
      <c r="Q69" s="407"/>
    </row>
    <row r="70" spans="17:17">
      <c r="Q70" s="407"/>
    </row>
    <row r="71" spans="17:17">
      <c r="Q71" s="407"/>
    </row>
    <row r="72" spans="17:17">
      <c r="Q72" s="407"/>
    </row>
    <row r="73" spans="17:17">
      <c r="Q73" s="407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09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4">
        <f>LongTest!F101</f>
        <v>13.282035095417495</v>
      </c>
      <c r="D10" s="16" t="s">
        <v>235</v>
      </c>
      <c r="E10" s="410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4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08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1">
        <v>2.9830000000000001</v>
      </c>
      <c r="I13" s="413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2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08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08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D15" sqref="D15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6" bestFit="1" customWidth="1"/>
    <col min="19" max="19" width="4.125" style="426" bestFit="1" customWidth="1"/>
    <col min="20" max="20" width="5.5" style="426" bestFit="1" customWidth="1"/>
    <col min="21" max="21" width="7.5" style="439" bestFit="1" customWidth="1"/>
    <col min="22" max="23" width="8.75" style="426" customWidth="1"/>
    <col min="24" max="24" width="9.125" style="426" customWidth="1"/>
    <col min="25" max="25" width="7.375" style="426" customWidth="1"/>
    <col min="26" max="26" width="9.125" style="387" bestFit="1" customWidth="1"/>
    <col min="27" max="27" width="6.5" style="387" bestFit="1" customWidth="1"/>
    <col min="28" max="28" width="7.25" style="387" customWidth="1"/>
    <col min="29" max="29" width="6.625" style="387" customWidth="1"/>
    <col min="30" max="30" width="6.875" style="387" bestFit="1" customWidth="1"/>
    <col min="31" max="31" width="7.125" style="387" customWidth="1"/>
    <col min="32" max="32" width="6.875" style="387" customWidth="1"/>
    <col min="33" max="33" width="6.25" style="387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59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40"/>
      <c r="S2" s="440"/>
      <c r="T2" s="441" t="s">
        <v>155</v>
      </c>
      <c r="U2" s="442"/>
      <c r="V2" s="441"/>
      <c r="W2" s="440"/>
      <c r="X2" s="440"/>
      <c r="Y2" s="440"/>
      <c r="Z2" s="440"/>
      <c r="AA2" s="440"/>
      <c r="AB2" s="440"/>
      <c r="AC2" s="440"/>
      <c r="AD2" s="440"/>
      <c r="AE2" s="440"/>
      <c r="AF2" s="440"/>
      <c r="AG2" s="440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3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14" t="s">
        <v>160</v>
      </c>
      <c r="B4" s="514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4">
        <f>B12</f>
        <v>125</v>
      </c>
      <c r="S4" s="212">
        <f>$R$4</f>
        <v>125</v>
      </c>
      <c r="T4" s="462">
        <v>4.6376330991384025</v>
      </c>
      <c r="U4" s="444">
        <f>Input!M44/2/1000</f>
        <v>0.125</v>
      </c>
      <c r="V4" s="445">
        <v>5.0000000000000001E-4</v>
      </c>
      <c r="W4" s="212">
        <f t="shared" ref="W4:W43" si="0">X4/1440</f>
        <v>6.9444444444444447E-4</v>
      </c>
      <c r="X4" s="415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6">
        <f>INT((AC4-AE4)*100)/100</f>
        <v>1.3</v>
      </c>
      <c r="AE4" s="447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14" t="s">
        <v>161</v>
      </c>
      <c r="B5" s="514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48">
        <f>$U4</f>
        <v>0.125</v>
      </c>
      <c r="V5" s="212">
        <f>$V4</f>
        <v>5.0000000000000001E-4</v>
      </c>
      <c r="W5" s="212">
        <f t="shared" si="0"/>
        <v>1.3888888888888889E-3</v>
      </c>
      <c r="X5" s="415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6">
        <f t="shared" ref="AD5:AD16" si="8">INT((AC5-AE5)*100)/100</f>
        <v>2.48</v>
      </c>
      <c r="AE5" s="447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14" t="s">
        <v>162</v>
      </c>
      <c r="B6" s="514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48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5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6">
        <f t="shared" si="8"/>
        <v>3.35</v>
      </c>
      <c r="AE6" s="447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14" t="s">
        <v>163</v>
      </c>
      <c r="B7" s="514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48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5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6">
        <f t="shared" si="8"/>
        <v>3.97</v>
      </c>
      <c r="AE7" s="447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15">
        <f>Input!I48</f>
        <v>7.5</v>
      </c>
      <c r="D8" s="516"/>
      <c r="E8" s="517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48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5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6">
        <f t="shared" si="8"/>
        <v>4.45</v>
      </c>
      <c r="AE8" s="447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18">
        <f>Input!M44</f>
        <v>250</v>
      </c>
      <c r="E9" s="518"/>
      <c r="F9" s="184" t="s">
        <v>168</v>
      </c>
      <c r="G9" s="519">
        <f>Input!M45</f>
        <v>158</v>
      </c>
      <c r="H9" s="519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48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5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6">
        <f t="shared" si="8"/>
        <v>5.93</v>
      </c>
      <c r="AE9" s="447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20">
        <f>Input!M48</f>
        <v>11.35</v>
      </c>
      <c r="E10" s="521"/>
      <c r="F10" s="204" t="s">
        <v>4</v>
      </c>
      <c r="G10" s="522" t="s">
        <v>4</v>
      </c>
      <c r="H10" s="522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48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5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6">
        <f t="shared" si="8"/>
        <v>6.8</v>
      </c>
      <c r="AE10" s="447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23" t="s">
        <v>173</v>
      </c>
      <c r="E11" s="523"/>
      <c r="F11" s="205" t="s">
        <v>174</v>
      </c>
      <c r="G11" s="524" t="s">
        <v>175</v>
      </c>
      <c r="H11" s="524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48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5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6">
        <f t="shared" si="8"/>
        <v>7.42</v>
      </c>
      <c r="AE11" s="447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12">
        <v>1</v>
      </c>
      <c r="E12" s="512"/>
      <c r="F12" s="209">
        <f>G12+$D$10</f>
        <v>12.65</v>
      </c>
      <c r="G12" s="513">
        <f>AD4</f>
        <v>1.3</v>
      </c>
      <c r="H12" s="513"/>
      <c r="I12" s="184" t="s">
        <v>177</v>
      </c>
      <c r="J12" s="460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48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5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6">
        <f t="shared" si="8"/>
        <v>7.89</v>
      </c>
      <c r="AE12" s="447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12">
        <v>2</v>
      </c>
      <c r="E13" s="512"/>
      <c r="F13" s="209">
        <f t="shared" ref="F13:F51" si="13">G13+$D$10</f>
        <v>13.83</v>
      </c>
      <c r="G13" s="513">
        <f t="shared" ref="G13:G51" si="14">AD5</f>
        <v>2.48</v>
      </c>
      <c r="H13" s="513"/>
      <c r="I13" s="210"/>
      <c r="J13" s="461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48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5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6">
        <f t="shared" si="8"/>
        <v>8.2799999999999994</v>
      </c>
      <c r="AE13" s="447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12">
        <v>3</v>
      </c>
      <c r="E14" s="512"/>
      <c r="F14" s="209">
        <f t="shared" si="13"/>
        <v>14.7</v>
      </c>
      <c r="G14" s="513">
        <f t="shared" si="14"/>
        <v>3.35</v>
      </c>
      <c r="H14" s="513"/>
      <c r="I14" s="210"/>
      <c r="J14" s="461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48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5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6">
        <f t="shared" si="8"/>
        <v>8.6199999999999992</v>
      </c>
      <c r="AE14" s="447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12">
        <v>4</v>
      </c>
      <c r="E15" s="512"/>
      <c r="F15" s="209">
        <f t="shared" si="13"/>
        <v>15.32</v>
      </c>
      <c r="G15" s="513">
        <f t="shared" si="14"/>
        <v>3.97</v>
      </c>
      <c r="H15" s="513"/>
      <c r="I15" s="210"/>
      <c r="J15" s="461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48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5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6">
        <f t="shared" si="8"/>
        <v>8.9</v>
      </c>
      <c r="AE15" s="447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12">
        <v>5</v>
      </c>
      <c r="E16" s="512"/>
      <c r="F16" s="209">
        <f t="shared" si="13"/>
        <v>15.8</v>
      </c>
      <c r="G16" s="513">
        <f t="shared" si="14"/>
        <v>4.45</v>
      </c>
      <c r="H16" s="513"/>
      <c r="I16" s="210"/>
      <c r="J16" s="461">
        <f t="shared" si="15"/>
        <v>0.48</v>
      </c>
      <c r="K16" s="466" t="s">
        <v>245</v>
      </c>
      <c r="L16" s="467" t="s">
        <v>178</v>
      </c>
      <c r="M16" s="467" t="s">
        <v>179</v>
      </c>
      <c r="N16" s="467" t="s">
        <v>243</v>
      </c>
      <c r="O16" s="467" t="s">
        <v>244</v>
      </c>
      <c r="P16" s="468" t="s">
        <v>246</v>
      </c>
      <c r="R16" s="212"/>
      <c r="S16" s="212">
        <f t="shared" si="3"/>
        <v>125</v>
      </c>
      <c r="T16" s="212">
        <f t="shared" si="10"/>
        <v>4.6376330991384025</v>
      </c>
      <c r="U16" s="448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5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6">
        <f t="shared" si="8"/>
        <v>9.15</v>
      </c>
      <c r="AE16" s="447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12">
        <v>10</v>
      </c>
      <c r="E17" s="512"/>
      <c r="F17" s="209">
        <f t="shared" si="13"/>
        <v>17.28</v>
      </c>
      <c r="G17" s="513">
        <f t="shared" si="14"/>
        <v>5.93</v>
      </c>
      <c r="H17" s="513"/>
      <c r="I17" s="210"/>
      <c r="J17" s="461">
        <f t="shared" si="15"/>
        <v>1.4799999999999995</v>
      </c>
      <c r="K17" s="449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50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48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5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6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12">
        <v>15</v>
      </c>
      <c r="E18" s="512"/>
      <c r="F18" s="209">
        <f t="shared" si="13"/>
        <v>18.149999999999999</v>
      </c>
      <c r="G18" s="513">
        <f t="shared" si="14"/>
        <v>6.8</v>
      </c>
      <c r="H18" s="513"/>
      <c r="I18" s="210"/>
      <c r="J18" s="461">
        <f t="shared" si="15"/>
        <v>0.87000000000000011</v>
      </c>
      <c r="K18" s="449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50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48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5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6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12">
        <v>20</v>
      </c>
      <c r="E19" s="512"/>
      <c r="F19" s="209">
        <f t="shared" si="13"/>
        <v>18.77</v>
      </c>
      <c r="G19" s="513">
        <f t="shared" si="14"/>
        <v>7.42</v>
      </c>
      <c r="H19" s="513"/>
      <c r="I19" s="210"/>
      <c r="J19" s="461">
        <f t="shared" si="15"/>
        <v>0.62000000000000011</v>
      </c>
      <c r="K19" s="449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50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48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5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6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12">
        <v>25</v>
      </c>
      <c r="E20" s="512"/>
      <c r="F20" s="209">
        <f t="shared" si="13"/>
        <v>19.239999999999998</v>
      </c>
      <c r="G20" s="513">
        <f t="shared" si="14"/>
        <v>7.89</v>
      </c>
      <c r="H20" s="513"/>
      <c r="I20" s="210"/>
      <c r="J20" s="461">
        <f t="shared" si="15"/>
        <v>0.46999999999999975</v>
      </c>
      <c r="K20" s="449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50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48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5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6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12">
        <v>30</v>
      </c>
      <c r="E21" s="512"/>
      <c r="F21" s="209">
        <f t="shared" si="13"/>
        <v>19.63</v>
      </c>
      <c r="G21" s="513">
        <f t="shared" si="14"/>
        <v>8.2799999999999994</v>
      </c>
      <c r="H21" s="513"/>
      <c r="I21" s="210"/>
      <c r="J21" s="461">
        <f t="shared" si="15"/>
        <v>0.38999999999999968</v>
      </c>
      <c r="K21" s="449">
        <f t="shared" si="18"/>
        <v>5</v>
      </c>
      <c r="L21" s="469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69">
        <f>INT(M21/N21*100)/100</f>
        <v>8.84</v>
      </c>
      <c r="P21" s="450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48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5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6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12">
        <v>35</v>
      </c>
      <c r="E22" s="512"/>
      <c r="F22" s="209">
        <f t="shared" si="13"/>
        <v>19.97</v>
      </c>
      <c r="G22" s="513">
        <f t="shared" si="14"/>
        <v>8.6199999999999992</v>
      </c>
      <c r="H22" s="513"/>
      <c r="I22" s="184"/>
      <c r="J22" s="461">
        <f t="shared" si="15"/>
        <v>0.33999999999999986</v>
      </c>
      <c r="K22" s="449">
        <f t="shared" si="18"/>
        <v>10</v>
      </c>
      <c r="L22" s="469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69">
        <f t="shared" ref="O22:O30" si="21">INT(M22/N22*100)/100</f>
        <v>17.68</v>
      </c>
      <c r="P22" s="450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48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5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6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12">
        <v>40</v>
      </c>
      <c r="E23" s="512"/>
      <c r="F23" s="209">
        <f t="shared" si="13"/>
        <v>20.25</v>
      </c>
      <c r="G23" s="513">
        <f t="shared" si="14"/>
        <v>8.9</v>
      </c>
      <c r="H23" s="513"/>
      <c r="I23" s="184"/>
      <c r="J23" s="461">
        <f t="shared" si="15"/>
        <v>0.28000000000000114</v>
      </c>
      <c r="K23" s="449">
        <f t="shared" si="18"/>
        <v>15</v>
      </c>
      <c r="L23" s="469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69">
        <f t="shared" si="21"/>
        <v>26.52</v>
      </c>
      <c r="P23" s="450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48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5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6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12">
        <v>45</v>
      </c>
      <c r="E24" s="512"/>
      <c r="F24" s="209">
        <f t="shared" si="13"/>
        <v>20.5</v>
      </c>
      <c r="G24" s="513">
        <f t="shared" si="14"/>
        <v>9.15</v>
      </c>
      <c r="H24" s="513"/>
      <c r="I24" s="184"/>
      <c r="J24" s="461">
        <f t="shared" si="15"/>
        <v>0.25</v>
      </c>
      <c r="K24" s="449">
        <f t="shared" si="18"/>
        <v>20</v>
      </c>
      <c r="L24" s="469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69">
        <f t="shared" si="21"/>
        <v>35.369999999999997</v>
      </c>
      <c r="P24" s="450">
        <f t="shared" si="22"/>
        <v>-27.95</v>
      </c>
      <c r="R24" s="414">
        <f>B32</f>
        <v>160</v>
      </c>
      <c r="S24" s="212">
        <f>$R$24</f>
        <v>160</v>
      </c>
      <c r="T24" s="212">
        <f t="shared" si="10"/>
        <v>4.6376330991384025</v>
      </c>
      <c r="U24" s="448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5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6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12">
        <v>50</v>
      </c>
      <c r="E25" s="512"/>
      <c r="F25" s="209">
        <f t="shared" si="13"/>
        <v>20.73</v>
      </c>
      <c r="G25" s="513">
        <f t="shared" si="14"/>
        <v>9.3800000000000008</v>
      </c>
      <c r="H25" s="513"/>
      <c r="I25" s="184"/>
      <c r="J25" s="461">
        <f t="shared" si="15"/>
        <v>0.23000000000000043</v>
      </c>
      <c r="K25" s="449">
        <f t="shared" si="18"/>
        <v>25</v>
      </c>
      <c r="L25" s="469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69">
        <f t="shared" si="21"/>
        <v>44.21</v>
      </c>
      <c r="P25" s="450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48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5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6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12">
        <v>55</v>
      </c>
      <c r="E26" s="512"/>
      <c r="F26" s="209">
        <f t="shared" si="13"/>
        <v>20.93</v>
      </c>
      <c r="G26" s="513">
        <f t="shared" si="14"/>
        <v>9.58</v>
      </c>
      <c r="H26" s="513"/>
      <c r="I26" s="184"/>
      <c r="J26" s="461">
        <f t="shared" si="15"/>
        <v>0.19999999999999929</v>
      </c>
      <c r="K26" s="449">
        <f t="shared" si="18"/>
        <v>30</v>
      </c>
      <c r="L26" s="469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50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48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5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6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12">
        <v>60</v>
      </c>
      <c r="E27" s="512"/>
      <c r="F27" s="209">
        <f t="shared" si="13"/>
        <v>21.119999999999997</v>
      </c>
      <c r="G27" s="513">
        <f t="shared" si="14"/>
        <v>9.77</v>
      </c>
      <c r="H27" s="513"/>
      <c r="I27" s="184"/>
      <c r="J27" s="461">
        <f t="shared" si="15"/>
        <v>0.1899999999999995</v>
      </c>
      <c r="K27" s="449">
        <f t="shared" si="18"/>
        <v>35</v>
      </c>
      <c r="L27" s="469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50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48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5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6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12">
        <v>75</v>
      </c>
      <c r="E28" s="512"/>
      <c r="F28" s="209">
        <f t="shared" si="13"/>
        <v>21.6</v>
      </c>
      <c r="G28" s="513">
        <f t="shared" si="14"/>
        <v>10.25</v>
      </c>
      <c r="H28" s="513"/>
      <c r="I28" s="184"/>
      <c r="J28" s="461">
        <f t="shared" si="15"/>
        <v>0.48000000000000043</v>
      </c>
      <c r="K28" s="449">
        <f t="shared" si="18"/>
        <v>40</v>
      </c>
      <c r="L28" s="469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50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48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5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6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12">
        <v>90</v>
      </c>
      <c r="E29" s="512"/>
      <c r="F29" s="209">
        <f t="shared" si="13"/>
        <v>21.990000000000002</v>
      </c>
      <c r="G29" s="513">
        <f t="shared" si="14"/>
        <v>10.64</v>
      </c>
      <c r="H29" s="513"/>
      <c r="I29" s="184"/>
      <c r="J29" s="461">
        <f t="shared" si="15"/>
        <v>0.39000000000000057</v>
      </c>
      <c r="K29" s="449">
        <f t="shared" si="18"/>
        <v>45</v>
      </c>
      <c r="L29" s="469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50">
        <f t="shared" si="22"/>
        <v>-70.430000000000007</v>
      </c>
      <c r="R29" s="414">
        <f>B37</f>
        <v>194.65</v>
      </c>
      <c r="S29" s="212">
        <f>$R$29</f>
        <v>194.65</v>
      </c>
      <c r="T29" s="212">
        <f t="shared" si="10"/>
        <v>4.6376330991384025</v>
      </c>
      <c r="U29" s="448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5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6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12">
        <v>105</v>
      </c>
      <c r="E30" s="512"/>
      <c r="F30" s="209">
        <f t="shared" si="13"/>
        <v>22.32</v>
      </c>
      <c r="G30" s="513">
        <f t="shared" si="14"/>
        <v>10.97</v>
      </c>
      <c r="H30" s="513"/>
      <c r="I30" s="184"/>
      <c r="J30" s="461">
        <f t="shared" si="15"/>
        <v>0.33000000000000007</v>
      </c>
      <c r="K30" s="449">
        <f t="shared" si="18"/>
        <v>50</v>
      </c>
      <c r="L30" s="469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50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48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5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6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12">
        <v>120</v>
      </c>
      <c r="E31" s="512"/>
      <c r="F31" s="209">
        <f t="shared" si="13"/>
        <v>22.61</v>
      </c>
      <c r="G31" s="513">
        <f t="shared" si="14"/>
        <v>11.26</v>
      </c>
      <c r="H31" s="513"/>
      <c r="I31" s="184"/>
      <c r="J31" s="461">
        <f t="shared" si="15"/>
        <v>0.28999999999999915</v>
      </c>
      <c r="K31" s="449">
        <f t="shared" si="18"/>
        <v>55</v>
      </c>
      <c r="L31" s="469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50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48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5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6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12">
        <v>130</v>
      </c>
      <c r="E32" s="512"/>
      <c r="F32" s="209">
        <f t="shared" si="13"/>
        <v>24.86</v>
      </c>
      <c r="G32" s="513">
        <f t="shared" si="14"/>
        <v>13.51</v>
      </c>
      <c r="H32" s="513"/>
      <c r="I32" s="184"/>
      <c r="J32" s="461">
        <f t="shared" si="15"/>
        <v>2.25</v>
      </c>
      <c r="K32" s="451">
        <f t="shared" si="18"/>
        <v>60</v>
      </c>
      <c r="L32" s="470">
        <f t="shared" si="20"/>
        <v>8.6800000000000002E-2</v>
      </c>
      <c r="M32" s="452">
        <f t="shared" si="17"/>
        <v>5.2080000000000002</v>
      </c>
      <c r="N32" s="452">
        <f t="shared" si="19"/>
        <v>4.9079999999999999E-2</v>
      </c>
      <c r="O32" s="452">
        <f>INT(M32/N32*100)/100</f>
        <v>106.11</v>
      </c>
      <c r="P32" s="453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48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5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6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12">
        <v>140</v>
      </c>
      <c r="E33" s="512"/>
      <c r="F33" s="209">
        <f t="shared" si="13"/>
        <v>25.240000000000002</v>
      </c>
      <c r="G33" s="513">
        <f t="shared" si="14"/>
        <v>13.89</v>
      </c>
      <c r="H33" s="513"/>
      <c r="I33" s="184"/>
      <c r="J33" s="461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48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5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6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12">
        <v>150</v>
      </c>
      <c r="E34" s="512"/>
      <c r="F34" s="209">
        <f t="shared" si="13"/>
        <v>25.61</v>
      </c>
      <c r="G34" s="513">
        <f t="shared" si="14"/>
        <v>14.26</v>
      </c>
      <c r="H34" s="513"/>
      <c r="I34" s="184"/>
      <c r="J34" s="461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48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5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6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12">
        <v>180</v>
      </c>
      <c r="E35" s="512"/>
      <c r="F35" s="209">
        <f t="shared" si="13"/>
        <v>25.990000000000002</v>
      </c>
      <c r="G35" s="513">
        <f t="shared" si="14"/>
        <v>14.64</v>
      </c>
      <c r="H35" s="513"/>
      <c r="I35" s="184"/>
      <c r="J35" s="461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48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5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6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12">
        <v>240</v>
      </c>
      <c r="E36" s="512"/>
      <c r="F36" s="209">
        <f t="shared" si="13"/>
        <v>26.369999999999997</v>
      </c>
      <c r="G36" s="513">
        <f t="shared" si="14"/>
        <v>15.02</v>
      </c>
      <c r="H36" s="513"/>
      <c r="I36" s="184"/>
      <c r="J36" s="461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48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5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6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12">
        <v>250</v>
      </c>
      <c r="E37" s="512"/>
      <c r="F37" s="209">
        <f t="shared" si="13"/>
        <v>28.9</v>
      </c>
      <c r="G37" s="513">
        <f t="shared" si="14"/>
        <v>17.55</v>
      </c>
      <c r="H37" s="513"/>
      <c r="I37" s="184"/>
      <c r="J37" s="461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48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5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6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12">
        <v>260</v>
      </c>
      <c r="E38" s="512"/>
      <c r="F38" s="209">
        <f t="shared" si="13"/>
        <v>29.32</v>
      </c>
      <c r="G38" s="513">
        <f t="shared" si="14"/>
        <v>17.97</v>
      </c>
      <c r="H38" s="513"/>
      <c r="I38" s="184"/>
      <c r="J38" s="461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48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5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6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12">
        <v>270</v>
      </c>
      <c r="E39" s="512"/>
      <c r="F39" s="209">
        <f t="shared" si="13"/>
        <v>29.740000000000002</v>
      </c>
      <c r="G39" s="513">
        <f t="shared" si="14"/>
        <v>18.39</v>
      </c>
      <c r="H39" s="513"/>
      <c r="I39" s="184"/>
      <c r="J39" s="461">
        <f t="shared" si="15"/>
        <v>0.42000000000000171</v>
      </c>
      <c r="K39" s="46" t="s">
        <v>21</v>
      </c>
      <c r="L39" s="50" t="s">
        <v>21</v>
      </c>
      <c r="R39" s="414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48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5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6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12">
        <v>300</v>
      </c>
      <c r="E40" s="512"/>
      <c r="F40" s="209">
        <f t="shared" si="13"/>
        <v>30.159999999999997</v>
      </c>
      <c r="G40" s="513">
        <f t="shared" si="14"/>
        <v>18.809999999999999</v>
      </c>
      <c r="H40" s="513"/>
      <c r="I40" s="184"/>
      <c r="J40" s="461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48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5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6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12">
        <v>360</v>
      </c>
      <c r="E41" s="512"/>
      <c r="F41" s="209">
        <f t="shared" si="13"/>
        <v>30.589999999999996</v>
      </c>
      <c r="G41" s="513">
        <f t="shared" si="14"/>
        <v>19.239999999999998</v>
      </c>
      <c r="H41" s="513"/>
      <c r="I41" s="184"/>
      <c r="J41" s="461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48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5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6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12">
        <v>370</v>
      </c>
      <c r="E42" s="512"/>
      <c r="F42" s="209">
        <f t="shared" si="13"/>
        <v>33.409999999999997</v>
      </c>
      <c r="G42" s="513">
        <f t="shared" si="14"/>
        <v>22.06</v>
      </c>
      <c r="H42" s="513"/>
      <c r="I42" s="184"/>
      <c r="J42" s="461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48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5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6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12">
        <v>380</v>
      </c>
      <c r="E43" s="512"/>
      <c r="F43" s="209">
        <f t="shared" si="13"/>
        <v>33.880000000000003</v>
      </c>
      <c r="G43" s="513">
        <f t="shared" si="14"/>
        <v>22.53</v>
      </c>
      <c r="H43" s="513"/>
      <c r="I43" s="184"/>
      <c r="J43" s="461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48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5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6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12">
        <v>390</v>
      </c>
      <c r="E44" s="512"/>
      <c r="F44" s="209">
        <f t="shared" si="13"/>
        <v>34.35</v>
      </c>
      <c r="G44" s="513">
        <f t="shared" si="14"/>
        <v>23</v>
      </c>
      <c r="H44" s="513"/>
      <c r="I44" s="184"/>
      <c r="J44" s="461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48" t="s">
        <v>21</v>
      </c>
      <c r="V44" s="212" t="s">
        <v>21</v>
      </c>
      <c r="W44" s="212" t="s">
        <v>21</v>
      </c>
      <c r="X44" s="415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12">
        <v>420</v>
      </c>
      <c r="E45" s="512"/>
      <c r="F45" s="209">
        <f t="shared" si="13"/>
        <v>34.82</v>
      </c>
      <c r="G45" s="513">
        <f t="shared" si="14"/>
        <v>23.47</v>
      </c>
      <c r="H45" s="513"/>
      <c r="I45" s="184"/>
      <c r="J45" s="461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48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5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12">
        <v>480</v>
      </c>
      <c r="E46" s="512"/>
      <c r="F46" s="209">
        <f t="shared" si="13"/>
        <v>35.299999999999997</v>
      </c>
      <c r="G46" s="513">
        <f t="shared" si="14"/>
        <v>23.95</v>
      </c>
      <c r="H46" s="513"/>
      <c r="I46" s="184"/>
      <c r="J46" s="461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48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5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12">
        <v>490</v>
      </c>
      <c r="E47" s="512"/>
      <c r="F47" s="209">
        <f t="shared" si="13"/>
        <v>38.17</v>
      </c>
      <c r="G47" s="513">
        <f t="shared" si="14"/>
        <v>26.82</v>
      </c>
      <c r="H47" s="513"/>
      <c r="I47" s="184"/>
      <c r="J47" s="461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48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5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12">
        <v>500</v>
      </c>
      <c r="E48" s="512"/>
      <c r="F48" s="209">
        <f t="shared" si="13"/>
        <v>39.24</v>
      </c>
      <c r="G48" s="513">
        <f t="shared" si="14"/>
        <v>27.89</v>
      </c>
      <c r="H48" s="513"/>
      <c r="I48" s="184"/>
      <c r="J48" s="461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48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5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12">
        <v>510</v>
      </c>
      <c r="E49" s="512"/>
      <c r="F49" s="209">
        <f t="shared" si="13"/>
        <v>40.32</v>
      </c>
      <c r="G49" s="513">
        <f t="shared" si="14"/>
        <v>28.97</v>
      </c>
      <c r="H49" s="513"/>
      <c r="I49" s="184"/>
      <c r="J49" s="461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48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5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12">
        <v>540</v>
      </c>
      <c r="E50" s="512"/>
      <c r="F50" s="209">
        <f t="shared" si="13"/>
        <v>41.4</v>
      </c>
      <c r="G50" s="513">
        <f t="shared" si="14"/>
        <v>30.05</v>
      </c>
      <c r="H50" s="513"/>
      <c r="I50" s="184"/>
      <c r="J50" s="461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48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5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12">
        <v>600</v>
      </c>
      <c r="E51" s="512"/>
      <c r="F51" s="209">
        <f t="shared" si="13"/>
        <v>42.48</v>
      </c>
      <c r="G51" s="513">
        <f t="shared" si="14"/>
        <v>31.13</v>
      </c>
      <c r="H51" s="513"/>
      <c r="I51" s="184" t="s">
        <v>180</v>
      </c>
      <c r="J51" s="461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48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5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48"/>
      <c r="V52" s="212"/>
      <c r="W52" s="212" t="s">
        <v>21</v>
      </c>
      <c r="X52" s="415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48"/>
      <c r="V53" s="212"/>
      <c r="W53" s="212" t="s">
        <v>21</v>
      </c>
      <c r="X53" s="415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48"/>
      <c r="V54" s="212"/>
      <c r="W54" s="212" t="s">
        <v>21</v>
      </c>
      <c r="X54" s="415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48"/>
      <c r="V55" s="212"/>
      <c r="W55" s="212" t="s">
        <v>21</v>
      </c>
      <c r="X55" s="415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48"/>
      <c r="V56" s="212"/>
      <c r="W56" s="212" t="s">
        <v>21</v>
      </c>
      <c r="X56" s="415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48"/>
      <c r="V57" s="212"/>
      <c r="W57" s="212" t="s">
        <v>21</v>
      </c>
      <c r="X57" s="415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48"/>
      <c r="V58" s="212"/>
      <c r="W58" s="212" t="s">
        <v>21</v>
      </c>
      <c r="X58" s="415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48"/>
      <c r="V59" s="212"/>
      <c r="W59" s="212" t="s">
        <v>21</v>
      </c>
      <c r="X59" s="415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48"/>
      <c r="V60" s="212"/>
      <c r="W60" s="212" t="s">
        <v>21</v>
      </c>
      <c r="X60" s="415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48"/>
      <c r="V61" s="212"/>
      <c r="W61" s="212" t="s">
        <v>21</v>
      </c>
      <c r="X61" s="415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48"/>
      <c r="V62" s="212"/>
      <c r="W62" s="212" t="s">
        <v>21</v>
      </c>
      <c r="X62" s="415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48"/>
      <c r="V63" s="212"/>
      <c r="W63" s="212" t="s">
        <v>21</v>
      </c>
      <c r="X63" s="415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48"/>
      <c r="V64" s="212"/>
      <c r="W64" s="212" t="s">
        <v>21</v>
      </c>
      <c r="X64" s="415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48"/>
      <c r="V65" s="212"/>
      <c r="W65" s="212" t="s">
        <v>21</v>
      </c>
      <c r="X65" s="415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48"/>
      <c r="V66" s="212"/>
      <c r="W66" s="212" t="s">
        <v>21</v>
      </c>
      <c r="X66" s="415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48"/>
      <c r="V67" s="212"/>
      <c r="W67" s="415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48"/>
      <c r="V68" s="212"/>
      <c r="W68" s="212" t="s">
        <v>21</v>
      </c>
      <c r="X68" s="415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48"/>
      <c r="V69" s="212"/>
      <c r="W69" s="212" t="s">
        <v>21</v>
      </c>
      <c r="X69" s="415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48"/>
      <c r="V70" s="212"/>
      <c r="W70" s="212" t="s">
        <v>21</v>
      </c>
      <c r="X70" s="415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48"/>
      <c r="V71" s="212"/>
      <c r="W71" s="212" t="s">
        <v>21</v>
      </c>
      <c r="X71" s="415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48"/>
      <c r="V72" s="212"/>
      <c r="W72" s="212" t="s">
        <v>21</v>
      </c>
      <c r="X72" s="415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48"/>
      <c r="V73" s="212"/>
      <c r="W73" s="212" t="s">
        <v>21</v>
      </c>
      <c r="X73" s="415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48"/>
      <c r="V74" s="212"/>
      <c r="W74" s="212" t="s">
        <v>21</v>
      </c>
      <c r="X74" s="415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48"/>
      <c r="V75" s="212"/>
      <c r="W75" s="212" t="s">
        <v>21</v>
      </c>
      <c r="X75" s="415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48"/>
      <c r="V76" s="212"/>
      <c r="W76" s="212" t="s">
        <v>21</v>
      </c>
      <c r="X76" s="415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48"/>
      <c r="V77" s="212"/>
      <c r="W77" s="212" t="s">
        <v>21</v>
      </c>
      <c r="X77" s="415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48"/>
      <c r="V78" s="212"/>
      <c r="W78" s="212" t="s">
        <v>21</v>
      </c>
      <c r="X78" s="415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48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48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48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48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48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48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48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48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48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48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48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48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48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48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48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48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48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48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48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48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48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48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48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48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48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48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48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48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48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48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48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48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48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48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48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48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48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48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48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48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48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48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48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48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48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48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48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48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48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48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48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48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48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48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48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48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48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48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48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48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48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48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48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48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48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48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48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48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48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48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48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48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48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48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48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48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48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48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48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48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48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48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48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48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48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48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48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48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48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48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48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48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48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48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48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48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48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48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48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48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48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48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48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48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48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48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48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48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48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48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48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48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48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48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48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48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48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48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48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48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48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48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48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48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48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48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48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48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48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48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48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48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48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48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48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48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48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48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48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48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48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48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48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48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48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48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48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48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48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48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48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48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48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48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48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48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48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48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48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48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48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48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48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48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48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48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48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48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48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48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48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48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48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48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48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48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48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48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48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48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48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48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48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48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48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48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48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48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48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48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48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48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48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48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48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48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48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48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48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48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48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48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48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48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48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48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48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48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48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48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48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48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48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48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48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48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48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48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48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48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48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48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48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48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48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48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48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48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48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48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48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48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48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48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48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48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48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48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48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48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48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48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48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48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48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48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48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48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48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48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48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48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48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48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48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48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48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48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48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48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48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48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48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48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48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48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48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48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48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48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48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48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48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48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48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48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48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48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48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48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48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48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48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48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48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48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48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48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48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48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48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48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48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48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48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48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48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48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48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48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48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48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48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48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48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48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48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48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48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48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48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48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48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48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48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48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48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48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48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48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48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48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48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48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48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48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48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48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48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48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48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48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48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48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48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48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48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48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48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48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48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48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48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48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48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48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48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48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48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48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48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48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48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48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48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48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48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48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48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48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48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48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48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48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48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48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48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48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48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48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48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48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48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48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48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48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48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48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48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48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48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48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48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48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48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48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48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48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48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48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48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48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48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48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48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48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48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48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48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48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48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48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48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48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48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48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48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48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48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48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48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48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48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48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48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48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48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48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48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48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48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48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48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48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48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48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48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48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48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48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48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48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48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48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48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48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48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48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48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48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48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48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48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48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48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48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48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48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48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48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48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48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48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48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48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48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48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48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48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48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48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48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48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48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48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48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48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48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48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48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48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48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48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48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48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48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48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48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48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48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48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48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48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48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48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48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48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48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48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48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48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48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48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48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48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48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48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48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48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48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48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48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48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48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48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48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48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48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48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48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48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48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48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48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48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48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48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48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48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48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48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48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48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48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48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48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48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48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48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48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48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48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48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48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48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48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48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48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48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48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48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48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48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48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48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48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48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48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48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48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48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48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48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48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48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48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48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48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48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48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48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48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48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48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48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48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48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48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48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48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48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38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6" customWidth="1"/>
    <col min="23" max="23" width="12.375" style="426" customWidth="1"/>
    <col min="24" max="24" width="5.375" style="426" customWidth="1"/>
    <col min="25" max="25" width="8.375" style="426" customWidth="1"/>
    <col min="26" max="26" width="9.875" style="426" customWidth="1"/>
    <col min="27" max="27" width="12.625" style="426" customWidth="1"/>
    <col min="28" max="28" width="6.375" style="427" customWidth="1"/>
    <col min="29" max="29" width="9" style="426" customWidth="1"/>
    <col min="30" max="30" width="8" style="426" customWidth="1"/>
    <col min="31" max="31" width="10.25" style="426" hidden="1" customWidth="1"/>
    <col min="32" max="33" width="10.125" style="426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26" t="s">
        <v>183</v>
      </c>
      <c r="O1" s="526"/>
      <c r="P1" s="428">
        <f>StepTest!G41</f>
        <v>19.239999999999998</v>
      </c>
      <c r="Q1" s="429" t="s">
        <v>184</v>
      </c>
      <c r="R1" s="430">
        <f>G35</f>
        <v>25.367089369717689</v>
      </c>
      <c r="S1" s="431">
        <f>D7/2000</f>
        <v>0.125</v>
      </c>
      <c r="T1" s="432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3">
        <f>G8</f>
        <v>38.270000000000003</v>
      </c>
      <c r="Q2" s="212"/>
      <c r="R2" s="212"/>
      <c r="S2" s="212"/>
      <c r="T2" s="212">
        <v>44</v>
      </c>
      <c r="U2" s="414">
        <f>B10</f>
        <v>200</v>
      </c>
      <c r="V2" s="414">
        <f>U2</f>
        <v>200</v>
      </c>
      <c r="W2" s="462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5">
        <f>D10</f>
        <v>1</v>
      </c>
      <c r="AB2" s="416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5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4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5">
        <f t="shared" ref="AA3:AA66" si="4">D11</f>
        <v>2</v>
      </c>
      <c r="AB3" s="416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5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4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5">
        <f t="shared" si="4"/>
        <v>3</v>
      </c>
      <c r="AB4" s="416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5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4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5">
        <f t="shared" si="4"/>
        <v>4</v>
      </c>
      <c r="AB5" s="416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5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27">
        <f>StepTest!C8</f>
        <v>7.5</v>
      </c>
      <c r="D6" s="527"/>
      <c r="E6" s="528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4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5">
        <f t="shared" si="4"/>
        <v>5</v>
      </c>
      <c r="AB6" s="416">
        <f t="shared" si="0"/>
        <v>30.517676482645864</v>
      </c>
      <c r="AC6" s="222">
        <f t="shared" si="5"/>
        <v>30.517676482645864</v>
      </c>
      <c r="AD6" s="212"/>
      <c r="AE6" s="415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4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5">
        <f t="shared" si="4"/>
        <v>10</v>
      </c>
      <c r="AB7" s="416">
        <f t="shared" si="0"/>
        <v>33.172394739573186</v>
      </c>
      <c r="AC7" s="222">
        <f t="shared" si="5"/>
        <v>33.172394739573186</v>
      </c>
      <c r="AD7" s="212"/>
      <c r="AE7" s="415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5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4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5">
        <f t="shared" si="4"/>
        <v>15</v>
      </c>
      <c r="AB8" s="416">
        <f t="shared" si="0"/>
        <v>34.725305369855498</v>
      </c>
      <c r="AC8" s="222">
        <f t="shared" si="5"/>
        <v>34.725305369855498</v>
      </c>
      <c r="AD8" s="212"/>
      <c r="AE8" s="415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29" t="s">
        <v>173</v>
      </c>
      <c r="E9" s="529"/>
      <c r="F9" s="103" t="s">
        <v>174</v>
      </c>
      <c r="G9" s="103" t="s">
        <v>175</v>
      </c>
      <c r="H9" s="104"/>
      <c r="I9" s="104"/>
      <c r="J9" s="104"/>
      <c r="K9" s="436">
        <f>G8-D8</f>
        <v>26.92</v>
      </c>
      <c r="M9" s="45">
        <f t="shared" si="2"/>
        <v>-29.23</v>
      </c>
      <c r="N9" s="56"/>
      <c r="O9" s="178"/>
      <c r="P9" s="178"/>
      <c r="V9" s="414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5">
        <f t="shared" si="4"/>
        <v>20</v>
      </c>
      <c r="AB9" s="416">
        <f t="shared" si="0"/>
        <v>35.827112996500503</v>
      </c>
      <c r="AC9" s="222">
        <f t="shared" si="5"/>
        <v>35.827112996500503</v>
      </c>
      <c r="AD9" s="212"/>
      <c r="AE9" s="415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7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4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5">
        <f t="shared" si="4"/>
        <v>25</v>
      </c>
      <c r="AB10" s="416">
        <f t="shared" si="0"/>
        <v>36.681741387415819</v>
      </c>
      <c r="AC10" s="222">
        <f t="shared" si="5"/>
        <v>36.681741387415819</v>
      </c>
      <c r="AD10" s="212"/>
      <c r="AE10" s="415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4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5">
        <f t="shared" si="4"/>
        <v>30</v>
      </c>
      <c r="AB11" s="416">
        <f t="shared" si="0"/>
        <v>37.380023626782815</v>
      </c>
      <c r="AC11" s="222">
        <f t="shared" si="5"/>
        <v>37.380023626782815</v>
      </c>
      <c r="AD11" s="212"/>
      <c r="AE11" s="415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4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5">
        <f t="shared" si="4"/>
        <v>35</v>
      </c>
      <c r="AB12" s="416">
        <f t="shared" si="0"/>
        <v>37.970412847906964</v>
      </c>
      <c r="AC12" s="222">
        <f t="shared" si="5"/>
        <v>37.970412847906964</v>
      </c>
      <c r="AD12" s="212"/>
      <c r="AE12" s="415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4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5">
        <f t="shared" si="4"/>
        <v>40</v>
      </c>
      <c r="AB13" s="416">
        <f t="shared" si="0"/>
        <v>38.481831253427821</v>
      </c>
      <c r="AC13" s="222">
        <f t="shared" si="5"/>
        <v>38.481831253427821</v>
      </c>
      <c r="AD13" s="212"/>
      <c r="AE13" s="415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4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5">
        <f t="shared" si="4"/>
        <v>45</v>
      </c>
      <c r="AB14" s="416">
        <f t="shared" si="0"/>
        <v>38.932934257065128</v>
      </c>
      <c r="AC14" s="222">
        <f t="shared" si="5"/>
        <v>38.932934257065128</v>
      </c>
      <c r="AD14" s="212"/>
      <c r="AE14" s="415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4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5">
        <f t="shared" si="4"/>
        <v>50</v>
      </c>
      <c r="AB15" s="416">
        <f t="shared" si="0"/>
        <v>39.336459644343137</v>
      </c>
      <c r="AC15" s="222">
        <f t="shared" si="5"/>
        <v>39.336459644343137</v>
      </c>
      <c r="AD15" s="212"/>
      <c r="AE15" s="415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3" t="s">
        <v>245</v>
      </c>
      <c r="M16" s="464" t="s">
        <v>178</v>
      </c>
      <c r="N16" s="464" t="s">
        <v>179</v>
      </c>
      <c r="O16" s="464" t="s">
        <v>243</v>
      </c>
      <c r="P16" s="464" t="s">
        <v>244</v>
      </c>
      <c r="Q16" s="465" t="s">
        <v>246</v>
      </c>
      <c r="V16" s="414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5">
        <f t="shared" si="4"/>
        <v>55</v>
      </c>
      <c r="AB16" s="416">
        <f t="shared" si="0"/>
        <v>39.701492759233922</v>
      </c>
      <c r="AC16" s="222">
        <f t="shared" si="5"/>
        <v>39.701492759233922</v>
      </c>
      <c r="AD16" s="212"/>
      <c r="AE16" s="415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4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5">
        <f>INT((G10-P17)*100)/100</f>
        <v>0</v>
      </c>
      <c r="V17" s="414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5">
        <f t="shared" si="4"/>
        <v>60</v>
      </c>
      <c r="AB17" s="416">
        <f t="shared" si="0"/>
        <v>40.034741883710133</v>
      </c>
      <c r="AC17" s="222">
        <f t="shared" si="5"/>
        <v>40.034741883710133</v>
      </c>
      <c r="AD17" s="212"/>
      <c r="AE17" s="415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4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5">
        <f t="shared" ref="Q18:Q27" si="17">INT((G11-P18)*100)/100</f>
        <v>-0.18</v>
      </c>
      <c r="V18" s="414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5">
        <f t="shared" si="4"/>
        <v>75</v>
      </c>
      <c r="AB18" s="416">
        <f t="shared" si="0"/>
        <v>40.889370274625449</v>
      </c>
      <c r="AC18" s="222">
        <f t="shared" si="5"/>
        <v>40.889370274625449</v>
      </c>
      <c r="AD18" s="212"/>
      <c r="AE18" s="415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4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5">
        <f t="shared" si="17"/>
        <v>-1.45</v>
      </c>
      <c r="V19" s="414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5">
        <f t="shared" si="4"/>
        <v>90</v>
      </c>
      <c r="AB19" s="416">
        <f t="shared" si="0"/>
        <v>41.587652513992445</v>
      </c>
      <c r="AC19" s="222">
        <f t="shared" si="5"/>
        <v>41.587652513992445</v>
      </c>
      <c r="AD19" s="212"/>
      <c r="AE19" s="415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4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5">
        <f t="shared" si="17"/>
        <v>-3.18</v>
      </c>
      <c r="V20" s="414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5">
        <f t="shared" si="4"/>
        <v>105</v>
      </c>
      <c r="AB20" s="416">
        <f t="shared" si="0"/>
        <v>42.178041735116587</v>
      </c>
      <c r="AC20" s="222">
        <f t="shared" si="5"/>
        <v>42.178041735116587</v>
      </c>
      <c r="AD20" s="212"/>
      <c r="AE20" s="415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4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5">
        <f t="shared" si="17"/>
        <v>-5.16</v>
      </c>
      <c r="V21" s="414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5">
        <f t="shared" si="4"/>
        <v>120</v>
      </c>
      <c r="AB21" s="416">
        <f t="shared" si="0"/>
        <v>42.689460140637451</v>
      </c>
      <c r="AC21" s="222">
        <f t="shared" si="5"/>
        <v>42.689460140637451</v>
      </c>
      <c r="AD21" s="212"/>
      <c r="AE21" s="415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4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5">
        <f t="shared" si="17"/>
        <v>-16.64</v>
      </c>
      <c r="V22" s="414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5">
        <f t="shared" si="4"/>
        <v>140</v>
      </c>
      <c r="AB22" s="416">
        <f t="shared" si="0"/>
        <v>43.279849361761592</v>
      </c>
      <c r="AC22" s="222">
        <f t="shared" si="5"/>
        <v>43.279849361761592</v>
      </c>
      <c r="AD22" s="212"/>
      <c r="AE22" s="415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4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5">
        <f t="shared" si="17"/>
        <v>-29.23</v>
      </c>
      <c r="V23" s="414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5">
        <f t="shared" si="4"/>
        <v>160</v>
      </c>
      <c r="AB23" s="416">
        <f t="shared" si="0"/>
        <v>43.791267767282456</v>
      </c>
      <c r="AC23" s="222">
        <f t="shared" si="5"/>
        <v>43.791267767282456</v>
      </c>
      <c r="AD23" s="212"/>
      <c r="AE23" s="415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4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5">
        <f t="shared" si="17"/>
        <v>-42.27</v>
      </c>
      <c r="V24" s="414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5">
        <f t="shared" si="4"/>
        <v>180</v>
      </c>
      <c r="AB24" s="416">
        <f t="shared" si="0"/>
        <v>44.242370770919763</v>
      </c>
      <c r="AC24" s="222">
        <f t="shared" si="5"/>
        <v>44.242370770919763</v>
      </c>
      <c r="AD24" s="212"/>
      <c r="AE24" s="415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4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5">
        <f t="shared" si="17"/>
        <v>-55.55</v>
      </c>
      <c r="V25" s="414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5">
        <f t="shared" si="4"/>
        <v>240</v>
      </c>
      <c r="AB25" s="416">
        <f t="shared" si="0"/>
        <v>45.344178397564768</v>
      </c>
      <c r="AC25" s="222">
        <f t="shared" si="5"/>
        <v>45.344178397564768</v>
      </c>
      <c r="AD25" s="212"/>
      <c r="AE25" s="415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4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5">
        <f t="shared" si="17"/>
        <v>-68.989999999999995</v>
      </c>
      <c r="V26" s="414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5">
        <f t="shared" si="4"/>
        <v>300</v>
      </c>
      <c r="AB26" s="416">
        <f t="shared" si="0"/>
        <v>46.198806788480084</v>
      </c>
      <c r="AC26" s="222">
        <f t="shared" si="5"/>
        <v>46.198806788480084</v>
      </c>
      <c r="AD26" s="212"/>
      <c r="AE26" s="415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4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5">
        <f t="shared" si="17"/>
        <v>-82.54</v>
      </c>
      <c r="V27" s="414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5">
        <f t="shared" si="4"/>
        <v>360</v>
      </c>
      <c r="AB27" s="416">
        <f t="shared" si="0"/>
        <v>46.897089027847088</v>
      </c>
      <c r="AC27" s="222">
        <f t="shared" si="5"/>
        <v>46.897089027847088</v>
      </c>
      <c r="AD27" s="212"/>
      <c r="AE27" s="415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4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5">
        <f>INT((G21-P28)*100)/100</f>
        <v>-96.17</v>
      </c>
      <c r="S28"/>
      <c r="V28" s="414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7">
        <f t="shared" si="4"/>
        <v>420</v>
      </c>
      <c r="AB28" s="416">
        <f t="shared" si="0"/>
        <v>47.487478248971222</v>
      </c>
      <c r="AC28" s="222">
        <f t="shared" si="5"/>
        <v>47.487478248971222</v>
      </c>
      <c r="AD28" s="212"/>
      <c r="AE28" s="415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4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5">
        <f>INT((G22-P29)*100)/100</f>
        <v>-109.86</v>
      </c>
      <c r="V29" s="414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5">
        <f t="shared" si="4"/>
        <v>480</v>
      </c>
      <c r="AB29" s="416">
        <f t="shared" si="0"/>
        <v>47.998896654492093</v>
      </c>
      <c r="AC29" s="222">
        <f t="shared" si="5"/>
        <v>47.998896654492093</v>
      </c>
      <c r="AD29" s="212"/>
      <c r="AE29" s="415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4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5">
        <f>INT((G23-P30)*100)/100</f>
        <v>-123.6</v>
      </c>
      <c r="V30" s="414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7">
        <f t="shared" si="4"/>
        <v>540</v>
      </c>
      <c r="AB30" s="416">
        <f t="shared" si="0"/>
        <v>48.4499996581294</v>
      </c>
      <c r="AC30" s="222">
        <f t="shared" si="5"/>
        <v>48.4499996581294</v>
      </c>
      <c r="AD30" s="212"/>
      <c r="AE30" s="415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6">
        <f t="shared" si="16"/>
        <v>55</v>
      </c>
      <c r="M31" s="457">
        <f t="shared" si="21"/>
        <v>0.13880000000000001</v>
      </c>
      <c r="N31" s="457">
        <f>L31*M31</f>
        <v>7.6340000000000003</v>
      </c>
      <c r="O31" s="457">
        <f t="shared" si="19"/>
        <v>4.9079999999999999E-2</v>
      </c>
      <c r="P31" s="457">
        <f>INT(N31/O31*100)/100</f>
        <v>155.54</v>
      </c>
      <c r="Q31" s="458">
        <f>INT((G24-P31)*100)/100</f>
        <v>-137.37</v>
      </c>
      <c r="V31" s="414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5">
        <f t="shared" si="4"/>
        <v>600</v>
      </c>
      <c r="AB31" s="416">
        <f t="shared" si="0"/>
        <v>48.4499996581294</v>
      </c>
      <c r="AC31" s="222">
        <f t="shared" ref="AC31:AC34" si="23">AC30</f>
        <v>48.4499996581294</v>
      </c>
      <c r="AD31" s="212"/>
      <c r="AE31" s="415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4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7">
        <f t="shared" si="4"/>
        <v>660</v>
      </c>
      <c r="AB32" s="416">
        <f t="shared" si="0"/>
        <v>48.4499996581294</v>
      </c>
      <c r="AC32" s="222">
        <f t="shared" si="23"/>
        <v>48.4499996581294</v>
      </c>
      <c r="AD32" s="212"/>
      <c r="AE32" s="415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4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5">
        <f t="shared" si="4"/>
        <v>720</v>
      </c>
      <c r="AB33" s="416">
        <f t="shared" si="0"/>
        <v>48.4499996581294</v>
      </c>
      <c r="AC33" s="222">
        <f t="shared" si="23"/>
        <v>48.4499996581294</v>
      </c>
      <c r="AD33" s="212"/>
      <c r="AE33" s="415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4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7">
        <f t="shared" si="4"/>
        <v>780</v>
      </c>
      <c r="AB34" s="416">
        <f t="shared" si="0"/>
        <v>48.4499996581294</v>
      </c>
      <c r="AC34" s="222">
        <f t="shared" si="23"/>
        <v>48.4499996581294</v>
      </c>
      <c r="AD34" s="212"/>
      <c r="AE34" s="415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4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5">
        <f t="shared" si="4"/>
        <v>840</v>
      </c>
      <c r="AB35" s="416">
        <f t="shared" si="0"/>
        <v>48.4499996581294</v>
      </c>
      <c r="AC35" s="222">
        <f t="shared" ref="AC35:AC38" si="25">AC34</f>
        <v>48.4499996581294</v>
      </c>
      <c r="AD35" s="212"/>
      <c r="AE35" s="415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4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7">
        <f t="shared" si="4"/>
        <v>900</v>
      </c>
      <c r="AB36" s="416">
        <f t="shared" si="0"/>
        <v>48.4499996581294</v>
      </c>
      <c r="AC36" s="222">
        <f t="shared" si="25"/>
        <v>48.4499996581294</v>
      </c>
      <c r="AD36" s="212"/>
      <c r="AE36" s="415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4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5">
        <f t="shared" si="4"/>
        <v>960</v>
      </c>
      <c r="AB37" s="416">
        <f t="shared" si="0"/>
        <v>48.4499996581294</v>
      </c>
      <c r="AC37" s="222">
        <f t="shared" si="25"/>
        <v>48.4499996581294</v>
      </c>
      <c r="AD37" s="212">
        <v>37</v>
      </c>
      <c r="AE37" s="415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4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5">
        <f t="shared" si="4"/>
        <v>1020</v>
      </c>
      <c r="AB38" s="416">
        <f t="shared" si="0"/>
        <v>48.4499996581294</v>
      </c>
      <c r="AC38" s="222">
        <f t="shared" si="25"/>
        <v>48.4499996581294</v>
      </c>
      <c r="AD38" s="213" t="s">
        <v>40</v>
      </c>
      <c r="AE38" s="415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4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5">
        <f t="shared" si="4"/>
        <v>1080</v>
      </c>
      <c r="AB39" s="416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5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4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5">
        <f t="shared" si="4"/>
        <v>1140</v>
      </c>
      <c r="AB40" s="416">
        <f t="shared" si="0"/>
        <v>48.4499996581294</v>
      </c>
      <c r="AC40" s="222">
        <f t="shared" si="26"/>
        <v>48.4499996581294</v>
      </c>
      <c r="AD40" s="60">
        <v>40</v>
      </c>
      <c r="AE40" s="415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18">
        <f t="shared" si="8"/>
        <v>200</v>
      </c>
      <c r="W41" s="419">
        <f t="shared" si="9"/>
        <v>2.8875628788906846</v>
      </c>
      <c r="X41" s="419">
        <f t="shared" si="10"/>
        <v>0.125</v>
      </c>
      <c r="Y41" s="419">
        <f t="shared" si="11"/>
        <v>5.0000000000000001E-4</v>
      </c>
      <c r="Z41" s="419">
        <f t="shared" si="3"/>
        <v>0.83333333333333337</v>
      </c>
      <c r="AA41" s="420">
        <f t="shared" si="4"/>
        <v>1200</v>
      </c>
      <c r="AB41" s="421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5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4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5">
        <f t="shared" si="4"/>
        <v>1260</v>
      </c>
      <c r="AB42" s="416">
        <f t="shared" si="0"/>
        <v>48.4499996581294</v>
      </c>
      <c r="AC42" s="222">
        <f t="shared" si="27"/>
        <v>48.4499996581294</v>
      </c>
      <c r="AD42" s="60">
        <v>42</v>
      </c>
      <c r="AE42" s="415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18">
        <f t="shared" si="8"/>
        <v>200</v>
      </c>
      <c r="W43" s="419">
        <f t="shared" si="9"/>
        <v>2.8875628788906846</v>
      </c>
      <c r="X43" s="419">
        <f t="shared" si="10"/>
        <v>0.125</v>
      </c>
      <c r="Y43" s="419">
        <f t="shared" si="11"/>
        <v>5.0000000000000001E-4</v>
      </c>
      <c r="Z43" s="419">
        <f t="shared" si="3"/>
        <v>0.91666666666666663</v>
      </c>
      <c r="AA43" s="420">
        <f t="shared" si="4"/>
        <v>1320</v>
      </c>
      <c r="AB43" s="421">
        <f t="shared" si="0"/>
        <v>48.4499996581294</v>
      </c>
      <c r="AC43" s="222">
        <f t="shared" si="27"/>
        <v>48.4499996581294</v>
      </c>
      <c r="AD43" s="61">
        <v>43</v>
      </c>
      <c r="AE43" s="415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4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5">
        <f t="shared" si="4"/>
        <v>1380</v>
      </c>
      <c r="AB44" s="416">
        <f t="shared" si="0"/>
        <v>48.4499996581294</v>
      </c>
      <c r="AC44" s="222">
        <f t="shared" si="27"/>
        <v>48.4499996581294</v>
      </c>
      <c r="AD44" s="60">
        <v>44</v>
      </c>
      <c r="AE44" s="415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18">
        <f t="shared" si="8"/>
        <v>200</v>
      </c>
      <c r="W45" s="419">
        <f t="shared" si="9"/>
        <v>2.8875628788906846</v>
      </c>
      <c r="X45" s="419">
        <f t="shared" si="10"/>
        <v>0.125</v>
      </c>
      <c r="Y45" s="419">
        <f t="shared" si="11"/>
        <v>5.0000000000000001E-4</v>
      </c>
      <c r="Z45" s="419">
        <f t="shared" si="3"/>
        <v>1</v>
      </c>
      <c r="AA45" s="420">
        <f t="shared" si="4"/>
        <v>1440</v>
      </c>
      <c r="AB45" s="421">
        <f t="shared" si="0"/>
        <v>48.4499996581294</v>
      </c>
      <c r="AC45" s="222">
        <f t="shared" si="27"/>
        <v>48.4499996581294</v>
      </c>
      <c r="AD45" s="61">
        <v>45</v>
      </c>
      <c r="AE45" s="415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4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2">
        <f t="shared" si="4"/>
        <v>1500</v>
      </c>
      <c r="AB46" s="423">
        <f t="shared" si="0"/>
        <v>48.4499996581294</v>
      </c>
      <c r="AC46" s="222">
        <f t="shared" si="27"/>
        <v>48.4499996581294</v>
      </c>
      <c r="AD46" s="60">
        <v>46</v>
      </c>
      <c r="AE46" s="422">
        <f t="shared" si="6"/>
        <v>1500</v>
      </c>
      <c r="AF46" s="424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4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5">
        <f t="shared" si="4"/>
        <v>1560</v>
      </c>
      <c r="AB47" s="416">
        <f t="shared" si="0"/>
        <v>48.4499996581294</v>
      </c>
      <c r="AC47" s="222">
        <f t="shared" ref="AC47:AC69" si="28">AC46</f>
        <v>48.4499996581294</v>
      </c>
      <c r="AD47" s="212"/>
      <c r="AE47" s="415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4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5">
        <f t="shared" si="4"/>
        <v>1620</v>
      </c>
      <c r="AB48" s="416">
        <f t="shared" si="0"/>
        <v>48.4499996581294</v>
      </c>
      <c r="AC48" s="222">
        <f t="shared" si="28"/>
        <v>48.4499996581294</v>
      </c>
      <c r="AD48" s="212"/>
      <c r="AE48" s="415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4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5">
        <f t="shared" si="4"/>
        <v>1680</v>
      </c>
      <c r="AB49" s="416">
        <f t="shared" si="0"/>
        <v>48.4499996581294</v>
      </c>
      <c r="AC49" s="222">
        <f t="shared" si="28"/>
        <v>48.4499996581294</v>
      </c>
      <c r="AD49" s="212"/>
      <c r="AE49" s="415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4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5">
        <f t="shared" si="4"/>
        <v>1740</v>
      </c>
      <c r="AB50" s="416">
        <f t="shared" si="0"/>
        <v>48.4499996581294</v>
      </c>
      <c r="AC50" s="222">
        <f t="shared" si="28"/>
        <v>48.4499996581294</v>
      </c>
      <c r="AD50" s="212"/>
      <c r="AE50" s="415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4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5">
        <f t="shared" si="4"/>
        <v>1800</v>
      </c>
      <c r="AB51" s="416">
        <f t="shared" si="0"/>
        <v>48.4499996581294</v>
      </c>
      <c r="AC51" s="222">
        <f t="shared" si="28"/>
        <v>48.4499996581294</v>
      </c>
      <c r="AD51" s="212"/>
      <c r="AE51" s="415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4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5">
        <f t="shared" si="4"/>
        <v>1860</v>
      </c>
      <c r="AB52" s="416">
        <f t="shared" si="0"/>
        <v>48.4499996581294</v>
      </c>
      <c r="AC52" s="222">
        <f t="shared" si="28"/>
        <v>48.4499996581294</v>
      </c>
      <c r="AD52" s="212"/>
      <c r="AE52" s="415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4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5">
        <f t="shared" si="4"/>
        <v>1920</v>
      </c>
      <c r="AB53" s="416">
        <f t="shared" si="0"/>
        <v>48.4499996581294</v>
      </c>
      <c r="AC53" s="222">
        <f t="shared" si="28"/>
        <v>48.4499996581294</v>
      </c>
      <c r="AD53" s="212"/>
      <c r="AE53" s="415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4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5">
        <f t="shared" si="4"/>
        <v>1980</v>
      </c>
      <c r="AB54" s="416">
        <f t="shared" si="0"/>
        <v>48.4499996581294</v>
      </c>
      <c r="AC54" s="222">
        <f t="shared" si="28"/>
        <v>48.4499996581294</v>
      </c>
      <c r="AD54" s="212"/>
      <c r="AE54" s="415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4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5">
        <f t="shared" si="4"/>
        <v>2040</v>
      </c>
      <c r="AB55" s="416">
        <f t="shared" si="0"/>
        <v>48.4499996581294</v>
      </c>
      <c r="AC55" s="222">
        <f t="shared" si="28"/>
        <v>48.4499996581294</v>
      </c>
      <c r="AD55" s="212"/>
      <c r="AE55" s="415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4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5">
        <f t="shared" si="4"/>
        <v>2100</v>
      </c>
      <c r="AB56" s="416">
        <f t="shared" si="0"/>
        <v>48.4499996581294</v>
      </c>
      <c r="AC56" s="222">
        <f t="shared" si="28"/>
        <v>48.4499996581294</v>
      </c>
      <c r="AD56" s="212"/>
      <c r="AE56" s="415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4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5">
        <f t="shared" si="4"/>
        <v>2160</v>
      </c>
      <c r="AB57" s="416">
        <f t="shared" si="0"/>
        <v>48.4499996581294</v>
      </c>
      <c r="AC57" s="222">
        <f t="shared" si="28"/>
        <v>48.4499996581294</v>
      </c>
      <c r="AD57" s="212"/>
      <c r="AE57" s="415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4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5">
        <f t="shared" si="4"/>
        <v>2220</v>
      </c>
      <c r="AB58" s="416">
        <f t="shared" si="0"/>
        <v>48.4499996581294</v>
      </c>
      <c r="AC58" s="222">
        <f t="shared" si="28"/>
        <v>48.4499996581294</v>
      </c>
      <c r="AD58" s="212"/>
      <c r="AE58" s="415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4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5">
        <f t="shared" si="4"/>
        <v>2280</v>
      </c>
      <c r="AB59" s="416">
        <f t="shared" si="0"/>
        <v>48.4499996581294</v>
      </c>
      <c r="AC59" s="222">
        <f t="shared" si="28"/>
        <v>48.4499996581294</v>
      </c>
      <c r="AD59" s="212"/>
      <c r="AE59" s="415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4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5">
        <f t="shared" si="4"/>
        <v>2340</v>
      </c>
      <c r="AB60" s="416">
        <f t="shared" si="0"/>
        <v>48.4499996581294</v>
      </c>
      <c r="AC60" s="222">
        <f t="shared" si="28"/>
        <v>48.4499996581294</v>
      </c>
      <c r="AD60" s="212"/>
      <c r="AE60" s="415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4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5">
        <f t="shared" si="4"/>
        <v>2400</v>
      </c>
      <c r="AB61" s="416">
        <f t="shared" si="0"/>
        <v>48.4499996581294</v>
      </c>
      <c r="AC61" s="222">
        <f t="shared" si="28"/>
        <v>48.4499996581294</v>
      </c>
      <c r="AD61" s="212"/>
      <c r="AE61" s="415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4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5">
        <f t="shared" si="4"/>
        <v>2460</v>
      </c>
      <c r="AB62" s="416">
        <f t="shared" si="0"/>
        <v>48.4499996581294</v>
      </c>
      <c r="AC62" s="222">
        <f t="shared" si="28"/>
        <v>48.4499996581294</v>
      </c>
      <c r="AD62" s="212"/>
      <c r="AE62" s="415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4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5">
        <f t="shared" si="4"/>
        <v>2520</v>
      </c>
      <c r="AB63" s="416">
        <f t="shared" si="0"/>
        <v>48.4499996581294</v>
      </c>
      <c r="AC63" s="222">
        <f t="shared" si="28"/>
        <v>48.4499996581294</v>
      </c>
      <c r="AD63" s="212"/>
      <c r="AE63" s="415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4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5">
        <f t="shared" si="4"/>
        <v>2580</v>
      </c>
      <c r="AB64" s="416">
        <f t="shared" si="0"/>
        <v>48.4499996581294</v>
      </c>
      <c r="AC64" s="222">
        <f t="shared" si="28"/>
        <v>48.4499996581294</v>
      </c>
      <c r="AD64" s="212"/>
      <c r="AE64" s="415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4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5">
        <f t="shared" si="4"/>
        <v>2640</v>
      </c>
      <c r="AB65" s="416">
        <f t="shared" si="0"/>
        <v>48.4499996581294</v>
      </c>
      <c r="AC65" s="222">
        <f t="shared" si="28"/>
        <v>48.4499996581294</v>
      </c>
      <c r="AD65" s="212"/>
      <c r="AE65" s="415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4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5">
        <f t="shared" si="4"/>
        <v>2700</v>
      </c>
      <c r="AB66" s="416">
        <f>AC66+AD$2</f>
        <v>48.4499996581294</v>
      </c>
      <c r="AC66" s="222">
        <f t="shared" si="28"/>
        <v>48.4499996581294</v>
      </c>
      <c r="AD66" s="212"/>
      <c r="AE66" s="415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4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5">
        <f t="shared" ref="AA67:AA79" si="31">D75</f>
        <v>2760</v>
      </c>
      <c r="AB67" s="416">
        <f>AC67+AD$2</f>
        <v>48.4499996581294</v>
      </c>
      <c r="AC67" s="222">
        <f t="shared" si="28"/>
        <v>48.4499996581294</v>
      </c>
      <c r="AD67" s="212"/>
      <c r="AE67" s="415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4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5">
        <f t="shared" si="31"/>
        <v>2820</v>
      </c>
      <c r="AB68" s="416">
        <f>AC68+AD$2</f>
        <v>48.4499996581294</v>
      </c>
      <c r="AC68" s="222">
        <f t="shared" si="28"/>
        <v>48.4499996581294</v>
      </c>
      <c r="AD68" s="212"/>
      <c r="AE68" s="415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4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5">
        <f t="shared" si="31"/>
        <v>2880</v>
      </c>
      <c r="AB69" s="416">
        <f>AC69+AD$2</f>
        <v>48.4499996581294</v>
      </c>
      <c r="AC69" s="222">
        <f t="shared" si="28"/>
        <v>48.4499996581294</v>
      </c>
      <c r="AD69" s="212"/>
      <c r="AE69" s="415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4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5">
        <f t="shared" si="31"/>
        <v>1</v>
      </c>
      <c r="AB70" s="416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4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5">
        <f t="shared" si="31"/>
        <v>2</v>
      </c>
      <c r="AB71" s="416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4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5">
        <f t="shared" si="31"/>
        <v>3</v>
      </c>
      <c r="AB72" s="416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4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5">
        <f t="shared" si="31"/>
        <v>4</v>
      </c>
      <c r="AB73" s="416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4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5">
        <f t="shared" si="31"/>
        <v>5</v>
      </c>
      <c r="AB74" s="416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4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5">
        <f t="shared" si="31"/>
        <v>10</v>
      </c>
      <c r="AB75" s="416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4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5">
        <f t="shared" si="31"/>
        <v>15</v>
      </c>
      <c r="AB76" s="416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4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5">
        <f t="shared" si="31"/>
        <v>20</v>
      </c>
      <c r="AB77" s="416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25" t="s">
        <v>191</v>
      </c>
      <c r="I78" s="525"/>
      <c r="J78" s="525"/>
      <c r="K78" s="181" t="s">
        <v>21</v>
      </c>
      <c r="L78" s="54"/>
      <c r="V78" s="414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5">
        <f t="shared" si="31"/>
        <v>25</v>
      </c>
      <c r="AB78" s="416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25"/>
      <c r="I79" s="525"/>
      <c r="J79" s="525"/>
      <c r="K79" s="181" t="s">
        <v>21</v>
      </c>
      <c r="L79" s="54" t="s">
        <v>21</v>
      </c>
      <c r="V79" s="414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5">
        <f t="shared" si="31"/>
        <v>30</v>
      </c>
      <c r="AB79" s="416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25"/>
      <c r="I80" s="525"/>
      <c r="J80" s="525"/>
      <c r="K80" s="181" t="s">
        <v>21</v>
      </c>
      <c r="L80" s="54" t="s">
        <v>21</v>
      </c>
      <c r="V80" s="414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5">
        <f>D90</f>
        <v>45</v>
      </c>
      <c r="AB80" s="416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25"/>
      <c r="I81" s="525"/>
      <c r="J81" s="525"/>
      <c r="K81" s="181" t="s">
        <v>21</v>
      </c>
      <c r="L81" s="54" t="s">
        <v>21</v>
      </c>
      <c r="V81" s="414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5">
        <f>D93</f>
        <v>60</v>
      </c>
      <c r="AB81" s="416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25"/>
      <c r="I82" s="525"/>
      <c r="J82" s="525"/>
      <c r="K82" s="181" t="s">
        <v>21</v>
      </c>
      <c r="L82" s="54" t="s">
        <v>21</v>
      </c>
      <c r="V82" s="414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5">
        <f>D97</f>
        <v>120</v>
      </c>
      <c r="AB82" s="416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25"/>
      <c r="I83" s="525"/>
      <c r="J83" s="525"/>
      <c r="K83" s="181" t="s">
        <v>21</v>
      </c>
      <c r="L83" s="54" t="s">
        <v>21</v>
      </c>
      <c r="V83" s="414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5">
        <f>D98</f>
        <v>180</v>
      </c>
      <c r="AB83" s="416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25"/>
      <c r="I84" s="525"/>
      <c r="J84" s="525"/>
      <c r="K84" s="181" t="s">
        <v>21</v>
      </c>
      <c r="L84" s="54" t="s">
        <v>21</v>
      </c>
      <c r="V84" s="414"/>
      <c r="W84" s="212"/>
      <c r="X84" s="212"/>
      <c r="Y84" s="212"/>
      <c r="Z84" s="212"/>
      <c r="AA84" s="415">
        <f>D99</f>
        <v>240</v>
      </c>
      <c r="AB84" s="416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25"/>
      <c r="I85" s="525"/>
      <c r="J85" s="525"/>
      <c r="K85" s="181" t="s">
        <v>21</v>
      </c>
      <c r="L85" s="54" t="s">
        <v>21</v>
      </c>
      <c r="V85" s="414"/>
      <c r="W85" s="212"/>
      <c r="X85" s="212"/>
      <c r="Y85" s="212"/>
      <c r="Z85" s="212"/>
      <c r="AA85" s="415">
        <f>D100</f>
        <v>300</v>
      </c>
      <c r="AB85" s="425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25"/>
      <c r="I86" s="525"/>
      <c r="J86" s="525"/>
      <c r="K86" s="181" t="s">
        <v>21</v>
      </c>
      <c r="L86" s="54" t="s">
        <v>21</v>
      </c>
      <c r="V86" s="414"/>
      <c r="W86" s="212"/>
      <c r="X86" s="212"/>
      <c r="Y86" s="212"/>
      <c r="Z86" s="212"/>
      <c r="AA86" s="415">
        <f>D101</f>
        <v>360</v>
      </c>
      <c r="AB86" s="425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25"/>
      <c r="I87" s="525"/>
      <c r="J87" s="525"/>
      <c r="K87" s="181" t="s">
        <v>21</v>
      </c>
      <c r="L87" s="54" t="s">
        <v>21</v>
      </c>
      <c r="V87" s="414" t="s">
        <v>21</v>
      </c>
      <c r="W87" s="212"/>
      <c r="X87" s="212"/>
      <c r="Y87" s="212"/>
      <c r="Z87" s="212"/>
      <c r="AA87" s="415" t="s">
        <v>21</v>
      </c>
      <c r="AB87" s="425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25"/>
      <c r="I88" s="525"/>
      <c r="J88" s="525"/>
      <c r="K88" s="181"/>
      <c r="L88" s="54"/>
      <c r="V88" s="414"/>
      <c r="W88" s="212"/>
      <c r="X88" s="212"/>
      <c r="Y88" s="212"/>
      <c r="Z88" s="212"/>
      <c r="AA88" s="415"/>
      <c r="AB88" s="425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25"/>
      <c r="I89" s="525"/>
      <c r="J89" s="525"/>
      <c r="K89" s="181"/>
      <c r="L89" s="54"/>
      <c r="V89" s="414"/>
      <c r="W89" s="212"/>
      <c r="X89" s="212"/>
      <c r="Y89" s="212"/>
      <c r="Z89" s="212"/>
      <c r="AA89" s="415"/>
      <c r="AB89" s="425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25"/>
      <c r="I90" s="525"/>
      <c r="J90" s="525"/>
      <c r="K90" s="181" t="s">
        <v>21</v>
      </c>
      <c r="L90" s="54" t="s">
        <v>21</v>
      </c>
      <c r="V90" s="414" t="s">
        <v>21</v>
      </c>
      <c r="W90" s="212"/>
      <c r="X90" s="212"/>
      <c r="Y90" s="212"/>
      <c r="Z90" s="212"/>
      <c r="AA90" s="415" t="s">
        <v>21</v>
      </c>
      <c r="AB90" s="425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25"/>
      <c r="I91" s="525"/>
      <c r="J91" s="525"/>
      <c r="K91" s="181"/>
      <c r="L91" s="54"/>
      <c r="V91" s="414"/>
      <c r="W91" s="212"/>
      <c r="X91" s="212"/>
      <c r="Y91" s="212"/>
      <c r="Z91" s="212"/>
      <c r="AA91" s="415"/>
      <c r="AB91" s="425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25"/>
      <c r="I92" s="525"/>
      <c r="J92" s="525"/>
      <c r="K92" s="181"/>
      <c r="L92" s="54"/>
      <c r="V92" s="414"/>
      <c r="W92" s="212"/>
      <c r="X92" s="212"/>
      <c r="Y92" s="212"/>
      <c r="Z92" s="212"/>
      <c r="AA92" s="415"/>
      <c r="AB92" s="425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25"/>
      <c r="I93" s="525"/>
      <c r="J93" s="525"/>
      <c r="K93" s="181" t="s">
        <v>21</v>
      </c>
      <c r="L93" s="54" t="s">
        <v>21</v>
      </c>
      <c r="V93" s="414" t="s">
        <v>21</v>
      </c>
      <c r="W93" s="212"/>
      <c r="X93" s="212"/>
      <c r="Y93" s="212"/>
      <c r="Z93" s="212"/>
      <c r="AA93" s="415" t="s">
        <v>21</v>
      </c>
      <c r="AB93" s="425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25"/>
      <c r="I94" s="525"/>
      <c r="J94" s="525"/>
      <c r="K94" s="181"/>
      <c r="L94" s="54"/>
      <c r="V94" s="414"/>
      <c r="W94" s="212"/>
      <c r="X94" s="212"/>
      <c r="Y94" s="212"/>
      <c r="Z94" s="212"/>
      <c r="AA94" s="415"/>
      <c r="AB94" s="425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25"/>
      <c r="I95" s="525"/>
      <c r="J95" s="525"/>
      <c r="K95" s="181"/>
      <c r="L95" s="54"/>
      <c r="V95" s="414"/>
      <c r="W95" s="212"/>
      <c r="X95" s="212"/>
      <c r="Y95" s="212"/>
      <c r="Z95" s="212"/>
      <c r="AA95" s="415"/>
      <c r="AB95" s="425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25"/>
      <c r="I96" s="525"/>
      <c r="J96" s="525"/>
      <c r="K96" s="181"/>
      <c r="L96" s="54"/>
      <c r="V96" s="414"/>
      <c r="W96" s="212"/>
      <c r="X96" s="212"/>
      <c r="Y96" s="212"/>
      <c r="Z96" s="212"/>
      <c r="AA96" s="415"/>
      <c r="AB96" s="425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25"/>
      <c r="I97" s="525"/>
      <c r="J97" s="525"/>
      <c r="K97" s="181" t="s">
        <v>21</v>
      </c>
      <c r="L97" s="54" t="s">
        <v>21</v>
      </c>
      <c r="V97" s="414" t="s">
        <v>21</v>
      </c>
      <c r="W97" s="212"/>
      <c r="X97" s="212"/>
      <c r="Y97" s="212"/>
      <c r="Z97" s="212"/>
      <c r="AA97" s="415" t="s">
        <v>21</v>
      </c>
      <c r="AB97" s="425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25"/>
      <c r="I98" s="525"/>
      <c r="J98" s="525"/>
      <c r="K98" s="218"/>
      <c r="L98" s="54" t="s">
        <v>21</v>
      </c>
      <c r="V98" s="414" t="str">
        <f t="shared" ref="V98:V103" si="38">V97</f>
        <v xml:space="preserve"> </v>
      </c>
      <c r="W98" s="212"/>
      <c r="X98" s="212"/>
      <c r="Y98" s="212"/>
      <c r="Z98" s="212"/>
      <c r="AA98" s="415" t="s">
        <v>21</v>
      </c>
      <c r="AB98" s="425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25"/>
      <c r="I99" s="525"/>
      <c r="J99" s="525"/>
      <c r="K99" s="181"/>
      <c r="V99" s="414" t="str">
        <f t="shared" si="38"/>
        <v xml:space="preserve"> </v>
      </c>
      <c r="W99" s="212"/>
      <c r="X99" s="212"/>
      <c r="Y99" s="212"/>
      <c r="Z99" s="212"/>
      <c r="AA99" s="415" t="s">
        <v>21</v>
      </c>
      <c r="AB99" s="425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25"/>
      <c r="I100" s="525"/>
      <c r="J100" s="525"/>
      <c r="K100" s="181"/>
      <c r="V100" s="414" t="str">
        <f t="shared" si="38"/>
        <v xml:space="preserve"> </v>
      </c>
      <c r="W100" s="212"/>
      <c r="X100" s="212"/>
      <c r="Y100" s="212"/>
      <c r="Z100" s="212"/>
      <c r="AA100" s="415" t="s">
        <v>21</v>
      </c>
      <c r="AB100" s="425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25"/>
      <c r="I101" s="525"/>
      <c r="J101" s="525"/>
      <c r="K101" s="181"/>
      <c r="V101" s="414" t="str">
        <f t="shared" si="38"/>
        <v xml:space="preserve"> </v>
      </c>
      <c r="W101" s="212"/>
      <c r="X101" s="212"/>
      <c r="Y101" s="212"/>
      <c r="Z101" s="212"/>
      <c r="AA101" s="415" t="s">
        <v>21</v>
      </c>
      <c r="AB101" s="425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4" t="str">
        <f t="shared" si="38"/>
        <v xml:space="preserve"> </v>
      </c>
      <c r="W102" s="212"/>
      <c r="X102" s="212"/>
      <c r="Y102" s="212"/>
      <c r="Z102" s="212"/>
      <c r="AA102" s="415" t="s">
        <v>21</v>
      </c>
      <c r="AB102" s="425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4" t="str">
        <f t="shared" si="38"/>
        <v xml:space="preserve"> </v>
      </c>
      <c r="W103" s="212"/>
      <c r="X103" s="212"/>
      <c r="Y103" s="212"/>
      <c r="Z103" s="212"/>
      <c r="AA103" s="415"/>
      <c r="AB103" s="425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5"/>
      <c r="AB104" s="425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5"/>
      <c r="AB105" s="425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5"/>
      <c r="AB106" s="425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5"/>
      <c r="AB107" s="425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5"/>
      <c r="AB108" s="425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5"/>
      <c r="AB109" s="425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5"/>
      <c r="AB110" s="425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5"/>
      <c r="AB111" s="425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5"/>
      <c r="AB112" s="425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5"/>
      <c r="AB113" s="425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5"/>
      <c r="AB114" s="425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5"/>
      <c r="AB115" s="425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5"/>
      <c r="AB116" s="425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5"/>
      <c r="AB117" s="425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5"/>
      <c r="AB118" s="425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5"/>
      <c r="AB119" s="425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5"/>
      <c r="AB120" s="425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5"/>
      <c r="AB121" s="425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5"/>
      <c r="AB122" s="425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5"/>
      <c r="AB123" s="425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5"/>
      <c r="AB124" s="425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5"/>
      <c r="AB125" s="425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5"/>
      <c r="AB126" s="425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5"/>
      <c r="AB127" s="425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5"/>
      <c r="AB128" s="425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5"/>
      <c r="AB129" s="425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5"/>
      <c r="AB130" s="425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5"/>
      <c r="AB131" s="425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5"/>
      <c r="AB132" s="425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5"/>
      <c r="AB133" s="425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5"/>
      <c r="AB134" s="425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5"/>
      <c r="AB135" s="425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5"/>
      <c r="AB136" s="425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5"/>
      <c r="AB137" s="425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5"/>
      <c r="AB138" s="425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5"/>
      <c r="AB139" s="425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5"/>
      <c r="AB140" s="425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5"/>
      <c r="AB141" s="425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5"/>
      <c r="AB142" s="425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5"/>
      <c r="AB143" s="425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5"/>
      <c r="AB144" s="425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5"/>
      <c r="AB145" s="425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5"/>
      <c r="AB146" s="425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5"/>
      <c r="AB147" s="425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5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5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5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5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5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5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5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5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5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5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5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5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5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5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5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5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5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5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5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5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5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5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5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5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5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5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5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5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5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5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5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5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5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5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5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5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5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5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5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5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5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5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5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5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5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5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5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5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5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5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5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5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5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5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5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5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5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5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5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5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5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5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5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5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5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5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5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5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5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5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5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5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5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5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5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5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5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5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5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5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5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5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5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5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5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5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5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5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5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5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5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5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5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5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5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5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5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5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5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5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5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5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5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5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5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5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5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5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5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5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5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5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5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5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5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5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5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5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5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5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5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5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5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5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5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5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5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5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5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5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5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5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5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5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5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5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5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5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5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5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5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5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5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5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5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5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5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5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5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5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5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5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5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5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5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5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5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5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5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5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5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5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5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5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5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5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5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5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5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5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5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5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5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5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5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5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5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5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5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5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5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5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5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5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5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5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5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5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5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5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5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5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5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5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5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5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5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5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5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5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5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5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5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5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5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5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5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5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5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5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5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5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5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5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5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5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5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5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5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5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5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5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5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5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5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5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5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5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5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5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5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5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5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5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5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5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5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5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5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5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5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5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5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5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5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5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5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5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5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5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5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5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5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5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5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5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5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5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5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5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5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5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5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5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5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5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5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5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5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5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5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5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5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5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5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5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5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5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5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5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5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5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5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5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5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5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5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5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5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5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5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5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5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5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5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5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5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5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5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5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5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5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5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5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5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5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5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5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5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5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5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5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5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5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5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5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5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5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5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5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5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5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5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5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5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5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5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5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5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5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5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5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5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5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5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5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5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5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5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5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5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5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5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5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5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5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5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5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5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5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5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5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5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5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5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5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5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5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5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5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5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5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5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5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5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5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5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5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5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5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5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5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5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5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5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5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5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5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5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5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5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5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5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5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5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5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5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5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5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5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5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5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5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5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5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5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5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5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5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5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5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5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5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5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5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5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5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5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5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5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5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5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5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5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5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5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5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5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5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5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5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5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5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5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5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5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5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5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5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5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5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5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5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5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5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5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5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5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5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5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5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5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5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5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5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5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5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5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5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5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5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5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5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5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5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5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5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5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5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5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5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5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5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5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5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5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5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5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5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5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5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5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5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5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5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5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5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5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5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5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5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5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5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5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5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5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5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5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5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5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5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5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5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5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5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5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5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5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5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5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5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5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5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5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5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5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5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5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5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5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5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5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5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5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5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5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5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5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5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5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5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5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5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5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5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5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5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5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5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5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5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5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5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5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5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5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5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5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5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5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5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5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5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5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30"/>
      <c r="M6" s="530"/>
      <c r="N6" s="530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43" t="s">
        <v>314</v>
      </c>
      <c r="B1" s="543"/>
      <c r="C1" s="543"/>
      <c r="D1" s="543"/>
      <c r="E1" s="543"/>
      <c r="F1" s="543"/>
      <c r="G1" s="543"/>
      <c r="H1" s="543"/>
      <c r="I1" s="543"/>
      <c r="J1" s="543"/>
    </row>
    <row r="2" spans="1:10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0" ht="24.95" customHeight="1">
      <c r="A4" s="549" t="s">
        <v>295</v>
      </c>
      <c r="B4" s="550"/>
      <c r="C4" s="551">
        <f>LongTest!C10</f>
        <v>45726.430555555555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296</v>
      </c>
      <c r="B5" s="550"/>
      <c r="C5" s="551">
        <f>C103</f>
        <v>45728.680555555555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280" t="s">
        <v>326</v>
      </c>
      <c r="H7" s="533">
        <f>Input!I50</f>
        <v>48</v>
      </c>
      <c r="I7" s="550"/>
      <c r="J7" s="281" t="s">
        <v>299</v>
      </c>
    </row>
    <row r="8" spans="1:10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302</v>
      </c>
      <c r="H8" s="533">
        <f>LongTest!G7</f>
        <v>158</v>
      </c>
      <c r="I8" s="550"/>
      <c r="J8" s="281" t="s">
        <v>299</v>
      </c>
    </row>
    <row r="9" spans="1:10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304</v>
      </c>
      <c r="H9" s="533">
        <f>LongTest!G8</f>
        <v>38.270000000000003</v>
      </c>
      <c r="I9" s="550"/>
      <c r="J9" s="281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40">
        <v>1</v>
      </c>
      <c r="E12" s="54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0">
        <v>2</v>
      </c>
      <c r="E13" s="54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0">
        <v>3</v>
      </c>
      <c r="E14" s="54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0">
        <v>4</v>
      </c>
      <c r="E15" s="54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0">
        <v>5</v>
      </c>
      <c r="E16" s="54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0">
        <v>10</v>
      </c>
      <c r="E17" s="54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0">
        <v>15</v>
      </c>
      <c r="E18" s="54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0">
        <v>20</v>
      </c>
      <c r="E19" s="54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0">
        <v>25</v>
      </c>
      <c r="E20" s="54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0">
        <v>30</v>
      </c>
      <c r="E21" s="54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0">
        <v>35</v>
      </c>
      <c r="E22" s="54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0">
        <v>40</v>
      </c>
      <c r="E23" s="54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0">
        <v>45</v>
      </c>
      <c r="E24" s="54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0">
        <v>50</v>
      </c>
      <c r="E25" s="54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0">
        <v>55</v>
      </c>
      <c r="E26" s="54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0">
        <v>60</v>
      </c>
      <c r="E27" s="54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0">
        <v>75</v>
      </c>
      <c r="E28" s="54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0">
        <v>90</v>
      </c>
      <c r="E29" s="54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0">
        <v>105</v>
      </c>
      <c r="E30" s="54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0">
        <v>120</v>
      </c>
      <c r="E31" s="54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0">
        <v>140</v>
      </c>
      <c r="E32" s="54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0">
        <v>160</v>
      </c>
      <c r="E33" s="54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0">
        <v>180</v>
      </c>
      <c r="E34" s="54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0">
        <v>240</v>
      </c>
      <c r="E35" s="54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0">
        <v>300</v>
      </c>
      <c r="E36" s="54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0">
        <v>360</v>
      </c>
      <c r="E37" s="54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0">
        <v>420</v>
      </c>
      <c r="E38" s="54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0">
        <v>480</v>
      </c>
      <c r="E39" s="54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0">
        <v>540</v>
      </c>
      <c r="E40" s="54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0">
        <v>600</v>
      </c>
      <c r="E41" s="54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0">
        <v>660</v>
      </c>
      <c r="E42" s="54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0">
        <v>720</v>
      </c>
      <c r="E43" s="54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40">
        <v>780</v>
      </c>
      <c r="E44" s="54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40">
        <v>840</v>
      </c>
      <c r="E45" s="54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40">
        <v>900</v>
      </c>
      <c r="E46" s="54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40">
        <v>960</v>
      </c>
      <c r="E47" s="54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40">
        <v>1020</v>
      </c>
      <c r="E48" s="54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40">
        <v>1080</v>
      </c>
      <c r="E49" s="54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40">
        <v>1140</v>
      </c>
      <c r="E50" s="54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40">
        <v>1200</v>
      </c>
      <c r="E51" s="54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40">
        <v>1260</v>
      </c>
      <c r="E52" s="54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40">
        <v>1320</v>
      </c>
      <c r="E53" s="54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40">
        <v>1380</v>
      </c>
      <c r="E54" s="54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40">
        <v>1440</v>
      </c>
      <c r="E55" s="54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31">
        <v>1500</v>
      </c>
      <c r="E56" s="532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31">
        <v>1560</v>
      </c>
      <c r="E57" s="532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31">
        <v>1620</v>
      </c>
      <c r="E58" s="532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31">
        <v>1680</v>
      </c>
      <c r="E59" s="532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31">
        <v>1740</v>
      </c>
      <c r="E60" s="532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31">
        <v>1800</v>
      </c>
      <c r="E61" s="532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31">
        <v>1860</v>
      </c>
      <c r="E62" s="532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31">
        <v>1920</v>
      </c>
      <c r="E63" s="532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31">
        <v>1980</v>
      </c>
      <c r="E64" s="532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31">
        <v>2040</v>
      </c>
      <c r="E65" s="532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31">
        <v>2100</v>
      </c>
      <c r="E66" s="532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31">
        <v>2160</v>
      </c>
      <c r="E67" s="532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31">
        <v>2220</v>
      </c>
      <c r="E68" s="532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31">
        <v>2280</v>
      </c>
      <c r="E69" s="532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31">
        <v>2340</v>
      </c>
      <c r="E70" s="532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31">
        <v>2400</v>
      </c>
      <c r="E71" s="532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31">
        <v>2460</v>
      </c>
      <c r="E72" s="532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31">
        <v>2520</v>
      </c>
      <c r="E73" s="532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31">
        <v>2580</v>
      </c>
      <c r="E74" s="532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31">
        <v>2640</v>
      </c>
      <c r="E75" s="532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31">
        <v>2700</v>
      </c>
      <c r="E76" s="532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31">
        <v>2760</v>
      </c>
      <c r="E77" s="532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31">
        <v>2820</v>
      </c>
      <c r="E78" s="532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31">
        <v>2880</v>
      </c>
      <c r="E79" s="532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31">
        <v>1</v>
      </c>
      <c r="E80" s="532"/>
      <c r="F80" s="285">
        <f>LongTest!F78</f>
        <v>28.327140693723948</v>
      </c>
      <c r="G80" s="285">
        <f>LongTest!G78</f>
        <v>16.977140693723946</v>
      </c>
      <c r="H80" s="533" t="s">
        <v>191</v>
      </c>
      <c r="I80" s="534"/>
      <c r="J80" s="535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31">
        <v>2</v>
      </c>
      <c r="E81" s="532"/>
      <c r="F81" s="285">
        <f>LongTest!F79</f>
        <v>26.73021109021095</v>
      </c>
      <c r="G81" s="285">
        <f>LongTest!G79</f>
        <v>15.380211090210949</v>
      </c>
      <c r="H81" s="531"/>
      <c r="I81" s="536"/>
      <c r="J81" s="537"/>
    </row>
    <row r="82" spans="1:10" ht="24.95" customHeight="1">
      <c r="A82" s="307"/>
      <c r="B82" s="284"/>
      <c r="C82" s="284">
        <f t="shared" si="6"/>
        <v>45728.432638888888</v>
      </c>
      <c r="D82" s="531">
        <v>3</v>
      </c>
      <c r="E82" s="532"/>
      <c r="F82" s="285">
        <f>LongTest!F80</f>
        <v>25.283494305486641</v>
      </c>
      <c r="G82" s="285">
        <f>LongTest!G80</f>
        <v>13.93349430548664</v>
      </c>
      <c r="H82" s="531"/>
      <c r="I82" s="536"/>
      <c r="J82" s="537"/>
    </row>
    <row r="83" spans="1:10" ht="24.95" customHeight="1">
      <c r="A83" s="307"/>
      <c r="B83" s="284"/>
      <c r="C83" s="284">
        <f t="shared" si="6"/>
        <v>45728.433333333334</v>
      </c>
      <c r="D83" s="531">
        <v>4</v>
      </c>
      <c r="E83" s="532"/>
      <c r="F83" s="285">
        <f>LongTest!F81</f>
        <v>23.972860793152201</v>
      </c>
      <c r="G83" s="285">
        <f>LongTest!G81</f>
        <v>12.622860793152199</v>
      </c>
      <c r="H83" s="531"/>
      <c r="I83" s="536"/>
      <c r="J83" s="537"/>
    </row>
    <row r="84" spans="1:10" ht="24.95" customHeight="1">
      <c r="A84" s="307"/>
      <c r="B84" s="284"/>
      <c r="C84" s="284">
        <f t="shared" si="6"/>
        <v>45728.434027777774</v>
      </c>
      <c r="D84" s="531">
        <v>5</v>
      </c>
      <c r="E84" s="532"/>
      <c r="F84" s="285">
        <f>LongTest!F82</f>
        <v>22.785510081671077</v>
      </c>
      <c r="G84" s="285">
        <f>LongTest!G82</f>
        <v>11.435510081671076</v>
      </c>
      <c r="H84" s="531"/>
      <c r="I84" s="536"/>
      <c r="J84" s="537"/>
    </row>
    <row r="85" spans="1:10" ht="24.95" customHeight="1">
      <c r="A85" s="307"/>
      <c r="B85" s="284"/>
      <c r="C85" s="284">
        <f t="shared" si="6"/>
        <v>45728.4375</v>
      </c>
      <c r="D85" s="531">
        <v>10</v>
      </c>
      <c r="E85" s="532"/>
      <c r="F85" s="285">
        <f>LongTest!F83</f>
        <v>19.852542004201268</v>
      </c>
      <c r="G85" s="285">
        <f>LongTest!G83</f>
        <v>8.5025420042012705</v>
      </c>
      <c r="H85" s="531"/>
      <c r="I85" s="536"/>
      <c r="J85" s="537"/>
    </row>
    <row r="86" spans="1:10" ht="24.95" customHeight="1">
      <c r="A86" s="307"/>
      <c r="B86" s="284"/>
      <c r="C86" s="284">
        <f t="shared" si="6"/>
        <v>45728.440972222219</v>
      </c>
      <c r="D86" s="531">
        <v>15</v>
      </c>
      <c r="E86" s="532"/>
      <c r="F86" s="285">
        <f>LongTest!F84</f>
        <v>19.310627178404037</v>
      </c>
      <c r="G86" s="285">
        <f>LongTest!G84</f>
        <v>7.960627178404037</v>
      </c>
      <c r="H86" s="531"/>
      <c r="I86" s="536"/>
      <c r="J86" s="537"/>
    </row>
    <row r="87" spans="1:10" ht="24.95" customHeight="1">
      <c r="A87" s="307"/>
      <c r="B87" s="284"/>
      <c r="C87" s="284">
        <f t="shared" si="6"/>
        <v>45728.444444444445</v>
      </c>
      <c r="D87" s="531">
        <v>20</v>
      </c>
      <c r="E87" s="532"/>
      <c r="F87" s="285">
        <f>LongTest!F85</f>
        <v>17.883453156773275</v>
      </c>
      <c r="G87" s="285">
        <f>LongTest!G85</f>
        <v>6.5334531567732759</v>
      </c>
      <c r="H87" s="531"/>
      <c r="I87" s="536"/>
      <c r="J87" s="537"/>
    </row>
    <row r="88" spans="1:10" ht="24.95" customHeight="1">
      <c r="A88" s="307"/>
      <c r="B88" s="284"/>
      <c r="C88" s="284">
        <f t="shared" si="6"/>
        <v>45728.447916666664</v>
      </c>
      <c r="D88" s="531">
        <v>25</v>
      </c>
      <c r="E88" s="532"/>
      <c r="F88" s="285">
        <f>LongTest!F86</f>
        <v>17.268893558814966</v>
      </c>
      <c r="G88" s="285">
        <f>LongTest!G86</f>
        <v>5.9188935588149674</v>
      </c>
      <c r="H88" s="531"/>
      <c r="I88" s="536"/>
      <c r="J88" s="537"/>
    </row>
    <row r="89" spans="1:10" ht="24.95" customHeight="1">
      <c r="A89" s="307"/>
      <c r="B89" s="284"/>
      <c r="C89" s="284">
        <f t="shared" si="6"/>
        <v>45728.451388888891</v>
      </c>
      <c r="D89" s="531">
        <v>30</v>
      </c>
      <c r="E89" s="532"/>
      <c r="F89" s="285">
        <f>LongTest!F87</f>
        <v>16.71214159954021</v>
      </c>
      <c r="G89" s="285">
        <f>LongTest!G87</f>
        <v>5.3621415995402115</v>
      </c>
      <c r="H89" s="531"/>
      <c r="I89" s="536"/>
      <c r="J89" s="537"/>
    </row>
    <row r="90" spans="1:10" ht="24.95" customHeight="1">
      <c r="A90" s="307"/>
      <c r="B90" s="284"/>
      <c r="C90" s="284">
        <f t="shared" si="6"/>
        <v>45728.454861111109</v>
      </c>
      <c r="D90" s="531">
        <v>35</v>
      </c>
      <c r="E90" s="532"/>
      <c r="F90" s="285">
        <f>LongTest!F88</f>
        <v>16.53844870842914</v>
      </c>
      <c r="G90" s="285">
        <f>LongTest!G88</f>
        <v>5.1884487084291395</v>
      </c>
      <c r="H90" s="531"/>
      <c r="I90" s="536"/>
      <c r="J90" s="537"/>
    </row>
    <row r="91" spans="1:10" ht="24.95" customHeight="1">
      <c r="A91" s="307"/>
      <c r="B91" s="284"/>
      <c r="C91" s="284">
        <f t="shared" si="6"/>
        <v>45728.458333333336</v>
      </c>
      <c r="D91" s="531">
        <v>40</v>
      </c>
      <c r="E91" s="532"/>
      <c r="F91" s="285">
        <f>LongTest!F89</f>
        <v>16.370382155202378</v>
      </c>
      <c r="G91" s="285">
        <f>LongTest!G89</f>
        <v>5.0203821552023769</v>
      </c>
      <c r="H91" s="531"/>
      <c r="I91" s="536"/>
      <c r="J91" s="537"/>
    </row>
    <row r="92" spans="1:10" ht="24.95" customHeight="1">
      <c r="A92" s="307"/>
      <c r="B92" s="284"/>
      <c r="C92" s="284">
        <f t="shared" si="6"/>
        <v>45728.461805555555</v>
      </c>
      <c r="D92" s="531">
        <v>45</v>
      </c>
      <c r="E92" s="532"/>
      <c r="F92" s="285">
        <f>LongTest!F90</f>
        <v>16.207759689004487</v>
      </c>
      <c r="G92" s="285">
        <f>LongTest!G90</f>
        <v>4.8577596890044861</v>
      </c>
      <c r="H92" s="531"/>
      <c r="I92" s="536"/>
      <c r="J92" s="537"/>
    </row>
    <row r="93" spans="1:10" ht="24.95" customHeight="1">
      <c r="A93" s="307"/>
      <c r="B93" s="284"/>
      <c r="C93" s="284">
        <f t="shared" si="6"/>
        <v>45728.465277777774</v>
      </c>
      <c r="D93" s="531">
        <v>50</v>
      </c>
      <c r="E93" s="532"/>
      <c r="F93" s="285">
        <f>LongTest!F91</f>
        <v>16.050404962531324</v>
      </c>
      <c r="G93" s="285">
        <f>LongTest!G91</f>
        <v>4.7004049625313247</v>
      </c>
      <c r="H93" s="531"/>
      <c r="I93" s="536"/>
      <c r="J93" s="537"/>
    </row>
    <row r="94" spans="1:10" ht="24.95" customHeight="1">
      <c r="A94" s="307"/>
      <c r="B94" s="284"/>
      <c r="C94" s="284">
        <f t="shared" si="6"/>
        <v>45728.46875</v>
      </c>
      <c r="D94" s="531">
        <v>55</v>
      </c>
      <c r="E94" s="532"/>
      <c r="F94" s="285">
        <f>LongTest!F92</f>
        <v>15.898147340799571</v>
      </c>
      <c r="G94" s="285">
        <f>LongTest!G92</f>
        <v>4.5481473407995727</v>
      </c>
      <c r="H94" s="531"/>
      <c r="I94" s="536"/>
      <c r="J94" s="537"/>
    </row>
    <row r="95" spans="1:10" ht="24.95" customHeight="1">
      <c r="A95" s="307"/>
      <c r="B95" s="284"/>
      <c r="C95" s="284">
        <f t="shared" si="6"/>
        <v>45728.472222222219</v>
      </c>
      <c r="D95" s="531">
        <v>60</v>
      </c>
      <c r="E95" s="532"/>
      <c r="F95" s="285">
        <f>LongTest!F93</f>
        <v>15.75082171611067</v>
      </c>
      <c r="G95" s="285">
        <f>LongTest!G93</f>
        <v>4.40082171611067</v>
      </c>
      <c r="H95" s="531"/>
      <c r="I95" s="536"/>
      <c r="J95" s="537"/>
    </row>
    <row r="96" spans="1:10" ht="24.95" customHeight="1">
      <c r="A96" s="307"/>
      <c r="B96" s="284"/>
      <c r="C96" s="284">
        <f t="shared" si="6"/>
        <v>45728.482638888891</v>
      </c>
      <c r="D96" s="531">
        <v>75</v>
      </c>
      <c r="E96" s="532"/>
      <c r="F96" s="285">
        <f>LongTest!F94</f>
        <v>15.608268329008549</v>
      </c>
      <c r="G96" s="285">
        <f>LongTest!G94</f>
        <v>4.2582683290085486</v>
      </c>
      <c r="H96" s="531"/>
      <c r="I96" s="536"/>
      <c r="J96" s="537"/>
    </row>
    <row r="97" spans="1:10" ht="24.95" customHeight="1">
      <c r="A97" s="307"/>
      <c r="B97" s="284"/>
      <c r="C97" s="284">
        <f t="shared" si="6"/>
        <v>45728.493055555555</v>
      </c>
      <c r="D97" s="531">
        <v>90</v>
      </c>
      <c r="E97" s="532"/>
      <c r="F97" s="285">
        <f>LongTest!F95</f>
        <v>15.470332595036952</v>
      </c>
      <c r="G97" s="285">
        <f>LongTest!G95</f>
        <v>4.1203325950369525</v>
      </c>
      <c r="H97" s="531"/>
      <c r="I97" s="536"/>
      <c r="J97" s="537"/>
    </row>
    <row r="98" spans="1:10" ht="24.95" customHeight="1">
      <c r="A98" s="307"/>
      <c r="B98" s="284"/>
      <c r="C98" s="284">
        <f t="shared" si="6"/>
        <v>45728.503472222219</v>
      </c>
      <c r="D98" s="531">
        <v>105</v>
      </c>
      <c r="E98" s="532"/>
      <c r="F98" s="285">
        <f>LongTest!F96</f>
        <v>15.336864937108539</v>
      </c>
      <c r="G98" s="285">
        <f>LongTest!G96</f>
        <v>3.9868649371085385</v>
      </c>
      <c r="H98" s="531"/>
      <c r="I98" s="536"/>
      <c r="J98" s="537"/>
    </row>
    <row r="99" spans="1:10" ht="24.95" customHeight="1">
      <c r="A99" s="307"/>
      <c r="B99" s="284"/>
      <c r="C99" s="284">
        <f t="shared" si="6"/>
        <v>45728.513888888891</v>
      </c>
      <c r="D99" s="531">
        <v>120</v>
      </c>
      <c r="E99" s="532"/>
      <c r="F99" s="285">
        <f>LongTest!F97</f>
        <v>14.961846389631328</v>
      </c>
      <c r="G99" s="285">
        <f>LongTest!G97</f>
        <v>3.6118463896313284</v>
      </c>
      <c r="H99" s="531"/>
      <c r="I99" s="536"/>
      <c r="J99" s="537"/>
    </row>
    <row r="100" spans="1:10" ht="24.95" customHeight="1">
      <c r="A100" s="307"/>
      <c r="B100" s="284"/>
      <c r="C100" s="284">
        <f t="shared" si="6"/>
        <v>45728.555555555555</v>
      </c>
      <c r="D100" s="531">
        <v>180</v>
      </c>
      <c r="E100" s="532"/>
      <c r="F100" s="285">
        <f>LongTest!F98</f>
        <v>14.844849844497581</v>
      </c>
      <c r="G100" s="285">
        <f>LongTest!G98</f>
        <v>3.4948498444975815</v>
      </c>
      <c r="H100" s="531"/>
      <c r="I100" s="536"/>
      <c r="J100" s="537"/>
    </row>
    <row r="101" spans="1:10" ht="24.95" customHeight="1">
      <c r="A101" s="307"/>
      <c r="B101" s="284"/>
      <c r="C101" s="284">
        <f t="shared" si="6"/>
        <v>45728.597222222219</v>
      </c>
      <c r="D101" s="531">
        <v>240</v>
      </c>
      <c r="E101" s="532"/>
      <c r="F101" s="285">
        <f>LongTest!F99</f>
        <v>14.218296333601067</v>
      </c>
      <c r="G101" s="285">
        <f>LongTest!G99</f>
        <v>2.8682963336010681</v>
      </c>
      <c r="H101" s="531"/>
      <c r="I101" s="536"/>
      <c r="J101" s="537"/>
    </row>
    <row r="102" spans="1:10" ht="24.95" customHeight="1">
      <c r="A102" s="307"/>
      <c r="B102" s="284"/>
      <c r="C102" s="284">
        <f t="shared" si="6"/>
        <v>45728.638888888891</v>
      </c>
      <c r="D102" s="531">
        <v>300</v>
      </c>
      <c r="E102" s="532"/>
      <c r="F102" s="285">
        <f>LongTest!F100</f>
        <v>13.704070767962296</v>
      </c>
      <c r="G102" s="285">
        <f>LongTest!G100</f>
        <v>2.3540707679622961</v>
      </c>
      <c r="H102" s="531"/>
      <c r="I102" s="536"/>
      <c r="J102" s="537"/>
    </row>
    <row r="103" spans="1:10" ht="24.95" customHeight="1" thickBot="1">
      <c r="A103" s="311"/>
      <c r="B103" s="312"/>
      <c r="C103" s="312">
        <f t="shared" si="6"/>
        <v>45728.680555555555</v>
      </c>
      <c r="D103" s="538">
        <v>360</v>
      </c>
      <c r="E103" s="539"/>
      <c r="F103" s="313">
        <f>LongTest!F101</f>
        <v>13.282035095417495</v>
      </c>
      <c r="G103" s="313">
        <f>LongTest!G101</f>
        <v>1.9320350954174961</v>
      </c>
      <c r="H103" s="538" t="s">
        <v>321</v>
      </c>
      <c r="I103" s="560"/>
      <c r="J103" s="56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2" t="s">
        <v>314</v>
      </c>
      <c r="B1" s="563"/>
      <c r="C1" s="563"/>
      <c r="D1" s="563"/>
      <c r="E1" s="563"/>
      <c r="F1" s="563"/>
      <c r="G1" s="563"/>
      <c r="H1" s="563"/>
      <c r="I1" s="563"/>
      <c r="J1" s="564"/>
    </row>
    <row r="2" spans="1:10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0" ht="24.95" customHeight="1">
      <c r="A4" s="549" t="s">
        <v>295</v>
      </c>
      <c r="B4" s="550"/>
      <c r="C4" s="551">
        <f>LongTest!C10</f>
        <v>45726.430555555555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296</v>
      </c>
      <c r="B5" s="550"/>
      <c r="C5" s="551">
        <f>C77</f>
        <v>45727.513888888891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280" t="s">
        <v>326</v>
      </c>
      <c r="H7" s="533">
        <f>Input!I50</f>
        <v>48</v>
      </c>
      <c r="I7" s="550"/>
      <c r="J7" s="281" t="s">
        <v>299</v>
      </c>
    </row>
    <row r="8" spans="1:10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302</v>
      </c>
      <c r="H8" s="533">
        <f>LongTest!G7</f>
        <v>158</v>
      </c>
      <c r="I8" s="550"/>
      <c r="J8" s="281" t="s">
        <v>299</v>
      </c>
    </row>
    <row r="9" spans="1:10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304</v>
      </c>
      <c r="H9" s="533">
        <f>LongTest!G8</f>
        <v>38.270000000000003</v>
      </c>
      <c r="I9" s="550"/>
      <c r="J9" s="281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40">
        <v>1</v>
      </c>
      <c r="E12" s="54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0">
        <v>2</v>
      </c>
      <c r="E13" s="54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0">
        <v>3</v>
      </c>
      <c r="E14" s="54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0">
        <v>4</v>
      </c>
      <c r="E15" s="54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0">
        <v>5</v>
      </c>
      <c r="E16" s="54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0">
        <v>10</v>
      </c>
      <c r="E17" s="54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0">
        <v>15</v>
      </c>
      <c r="E18" s="54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0">
        <v>20</v>
      </c>
      <c r="E19" s="54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0">
        <v>25</v>
      </c>
      <c r="E20" s="54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0">
        <v>30</v>
      </c>
      <c r="E21" s="54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0">
        <v>35</v>
      </c>
      <c r="E22" s="54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0">
        <v>40</v>
      </c>
      <c r="E23" s="54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0">
        <v>45</v>
      </c>
      <c r="E24" s="54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0">
        <v>50</v>
      </c>
      <c r="E25" s="54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0">
        <v>55</v>
      </c>
      <c r="E26" s="54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0">
        <v>60</v>
      </c>
      <c r="E27" s="54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0">
        <v>75</v>
      </c>
      <c r="E28" s="54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0">
        <v>90</v>
      </c>
      <c r="E29" s="54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0">
        <v>105</v>
      </c>
      <c r="E30" s="54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0">
        <v>120</v>
      </c>
      <c r="E31" s="54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0">
        <v>140</v>
      </c>
      <c r="E32" s="54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0">
        <v>160</v>
      </c>
      <c r="E33" s="54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0">
        <v>180</v>
      </c>
      <c r="E34" s="54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0">
        <v>240</v>
      </c>
      <c r="E35" s="54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0">
        <v>300</v>
      </c>
      <c r="E36" s="54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0">
        <v>360</v>
      </c>
      <c r="E37" s="54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0">
        <v>420</v>
      </c>
      <c r="E38" s="54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0">
        <v>480</v>
      </c>
      <c r="E39" s="54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0">
        <v>540</v>
      </c>
      <c r="E40" s="54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0">
        <v>600</v>
      </c>
      <c r="E41" s="54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0">
        <v>660</v>
      </c>
      <c r="E42" s="54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0">
        <v>720</v>
      </c>
      <c r="E43" s="54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40">
        <v>780</v>
      </c>
      <c r="E44" s="54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40">
        <v>840</v>
      </c>
      <c r="E45" s="54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40">
        <v>900</v>
      </c>
      <c r="E46" s="54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40">
        <v>960</v>
      </c>
      <c r="E47" s="54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40">
        <v>1020</v>
      </c>
      <c r="E48" s="54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40">
        <v>1080</v>
      </c>
      <c r="E49" s="54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40">
        <v>1140</v>
      </c>
      <c r="E50" s="54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40">
        <v>1200</v>
      </c>
      <c r="E51" s="54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40">
        <v>1260</v>
      </c>
      <c r="E52" s="54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40">
        <v>1320</v>
      </c>
      <c r="E53" s="54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40">
        <v>1380</v>
      </c>
      <c r="E54" s="54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40">
        <v>1440</v>
      </c>
      <c r="E55" s="54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31"/>
      <c r="E56" s="532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31"/>
      <c r="E57" s="532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31">
        <v>1</v>
      </c>
      <c r="E58" s="532"/>
      <c r="F58" s="285">
        <f>LongTest!F78</f>
        <v>28.327140693723948</v>
      </c>
      <c r="G58" s="285">
        <f>LongTest!G78</f>
        <v>16.977140693723946</v>
      </c>
      <c r="H58" s="533" t="s">
        <v>191</v>
      </c>
      <c r="I58" s="534"/>
      <c r="J58" s="535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31">
        <v>2</v>
      </c>
      <c r="E59" s="532"/>
      <c r="F59" s="285">
        <f>LongTest!F79</f>
        <v>26.73021109021095</v>
      </c>
      <c r="G59" s="285">
        <f>LongTest!G79</f>
        <v>15.380211090210949</v>
      </c>
      <c r="H59" s="531"/>
      <c r="I59" s="536"/>
      <c r="J59" s="537"/>
    </row>
    <row r="60" spans="1:10" ht="24.95" customHeight="1">
      <c r="A60" s="307"/>
      <c r="B60" s="284"/>
      <c r="C60" s="284">
        <f t="shared" si="1"/>
        <v>45727.432638888888</v>
      </c>
      <c r="D60" s="531">
        <v>3</v>
      </c>
      <c r="E60" s="532"/>
      <c r="F60" s="285">
        <f>LongTest!F80</f>
        <v>25.283494305486641</v>
      </c>
      <c r="G60" s="285">
        <f>LongTest!G80</f>
        <v>13.93349430548664</v>
      </c>
      <c r="H60" s="531"/>
      <c r="I60" s="536"/>
      <c r="J60" s="537"/>
    </row>
    <row r="61" spans="1:10" ht="24.95" customHeight="1">
      <c r="A61" s="307"/>
      <c r="B61" s="284"/>
      <c r="C61" s="284">
        <f t="shared" si="1"/>
        <v>45727.433333333334</v>
      </c>
      <c r="D61" s="531">
        <v>4</v>
      </c>
      <c r="E61" s="532"/>
      <c r="F61" s="285">
        <f>LongTest!F81</f>
        <v>23.972860793152201</v>
      </c>
      <c r="G61" s="285">
        <f>LongTest!G81</f>
        <v>12.622860793152199</v>
      </c>
      <c r="H61" s="531"/>
      <c r="I61" s="536"/>
      <c r="J61" s="537"/>
    </row>
    <row r="62" spans="1:10" ht="24.95" customHeight="1">
      <c r="A62" s="307"/>
      <c r="B62" s="284"/>
      <c r="C62" s="284">
        <f t="shared" si="1"/>
        <v>45727.434027777774</v>
      </c>
      <c r="D62" s="531">
        <v>5</v>
      </c>
      <c r="E62" s="532"/>
      <c r="F62" s="285">
        <f>LongTest!F82</f>
        <v>22.785510081671077</v>
      </c>
      <c r="G62" s="285">
        <f>LongTest!G82</f>
        <v>11.435510081671076</v>
      </c>
      <c r="H62" s="531"/>
      <c r="I62" s="536"/>
      <c r="J62" s="537"/>
    </row>
    <row r="63" spans="1:10" ht="24.95" customHeight="1">
      <c r="A63" s="307"/>
      <c r="B63" s="284"/>
      <c r="C63" s="284">
        <f t="shared" si="1"/>
        <v>45727.4375</v>
      </c>
      <c r="D63" s="531">
        <v>10</v>
      </c>
      <c r="E63" s="532"/>
      <c r="F63" s="285">
        <f>LongTest!F83</f>
        <v>19.852542004201268</v>
      </c>
      <c r="G63" s="285">
        <f>LongTest!G83</f>
        <v>8.5025420042012705</v>
      </c>
      <c r="H63" s="531"/>
      <c r="I63" s="536"/>
      <c r="J63" s="537"/>
    </row>
    <row r="64" spans="1:10" ht="24.95" customHeight="1">
      <c r="A64" s="307"/>
      <c r="B64" s="284"/>
      <c r="C64" s="284">
        <f t="shared" si="1"/>
        <v>45727.440972222219</v>
      </c>
      <c r="D64" s="531">
        <v>15</v>
      </c>
      <c r="E64" s="532"/>
      <c r="F64" s="285">
        <f>LongTest!F84</f>
        <v>19.310627178404037</v>
      </c>
      <c r="G64" s="285">
        <f>LongTest!G84</f>
        <v>7.960627178404037</v>
      </c>
      <c r="H64" s="531"/>
      <c r="I64" s="536"/>
      <c r="J64" s="537"/>
    </row>
    <row r="65" spans="1:10" ht="24.95" customHeight="1">
      <c r="A65" s="307"/>
      <c r="B65" s="284"/>
      <c r="C65" s="284">
        <f t="shared" si="1"/>
        <v>45727.444444444445</v>
      </c>
      <c r="D65" s="531">
        <v>20</v>
      </c>
      <c r="E65" s="532"/>
      <c r="F65" s="285">
        <f>LongTest!F85</f>
        <v>17.883453156773275</v>
      </c>
      <c r="G65" s="285">
        <f>LongTest!G85</f>
        <v>6.5334531567732759</v>
      </c>
      <c r="H65" s="531"/>
      <c r="I65" s="536"/>
      <c r="J65" s="537"/>
    </row>
    <row r="66" spans="1:10" ht="24.95" customHeight="1">
      <c r="A66" s="307"/>
      <c r="B66" s="284"/>
      <c r="C66" s="284">
        <f t="shared" si="1"/>
        <v>45727.447916666664</v>
      </c>
      <c r="D66" s="531">
        <v>25</v>
      </c>
      <c r="E66" s="532"/>
      <c r="F66" s="285">
        <f>LongTest!F86</f>
        <v>17.268893558814966</v>
      </c>
      <c r="G66" s="285">
        <f>LongTest!G86</f>
        <v>5.9188935588149674</v>
      </c>
      <c r="H66" s="531"/>
      <c r="I66" s="536"/>
      <c r="J66" s="537"/>
    </row>
    <row r="67" spans="1:10" ht="24.95" customHeight="1">
      <c r="A67" s="307"/>
      <c r="B67" s="284"/>
      <c r="C67" s="284">
        <f t="shared" si="1"/>
        <v>45727.451388888891</v>
      </c>
      <c r="D67" s="531">
        <v>30</v>
      </c>
      <c r="E67" s="532"/>
      <c r="F67" s="285">
        <f>LongTest!F87</f>
        <v>16.71214159954021</v>
      </c>
      <c r="G67" s="285">
        <f>LongTest!G87</f>
        <v>5.3621415995402115</v>
      </c>
      <c r="H67" s="531"/>
      <c r="I67" s="536"/>
      <c r="J67" s="537"/>
    </row>
    <row r="68" spans="1:10" ht="24.95" customHeight="1">
      <c r="A68" s="307"/>
      <c r="B68" s="284"/>
      <c r="C68" s="284">
        <f t="shared" si="1"/>
        <v>45727.454861111109</v>
      </c>
      <c r="D68" s="531">
        <v>35</v>
      </c>
      <c r="E68" s="532"/>
      <c r="F68" s="285">
        <f>LongTest!F88</f>
        <v>16.53844870842914</v>
      </c>
      <c r="G68" s="285">
        <f>LongTest!G88</f>
        <v>5.1884487084291395</v>
      </c>
      <c r="H68" s="531"/>
      <c r="I68" s="536"/>
      <c r="J68" s="537"/>
    </row>
    <row r="69" spans="1:10" ht="24.95" customHeight="1">
      <c r="A69" s="307"/>
      <c r="B69" s="284"/>
      <c r="C69" s="284">
        <f t="shared" si="1"/>
        <v>45727.458333333336</v>
      </c>
      <c r="D69" s="531">
        <v>40</v>
      </c>
      <c r="E69" s="532"/>
      <c r="F69" s="285">
        <f>LongTest!F89</f>
        <v>16.370382155202378</v>
      </c>
      <c r="G69" s="285">
        <f>LongTest!G89</f>
        <v>5.0203821552023769</v>
      </c>
      <c r="H69" s="531"/>
      <c r="I69" s="536"/>
      <c r="J69" s="537"/>
    </row>
    <row r="70" spans="1:10" ht="24.95" customHeight="1">
      <c r="A70" s="307"/>
      <c r="B70" s="284"/>
      <c r="C70" s="284">
        <f t="shared" si="1"/>
        <v>45727.461805555555</v>
      </c>
      <c r="D70" s="531">
        <v>45</v>
      </c>
      <c r="E70" s="532"/>
      <c r="F70" s="285">
        <f>LongTest!F90</f>
        <v>16.207759689004487</v>
      </c>
      <c r="G70" s="285">
        <f>LongTest!G90</f>
        <v>4.8577596890044861</v>
      </c>
      <c r="H70" s="531"/>
      <c r="I70" s="536"/>
      <c r="J70" s="537"/>
    </row>
    <row r="71" spans="1:10" ht="24.95" customHeight="1">
      <c r="A71" s="307"/>
      <c r="B71" s="284"/>
      <c r="C71" s="284">
        <f t="shared" si="1"/>
        <v>45727.465277777774</v>
      </c>
      <c r="D71" s="531">
        <v>50</v>
      </c>
      <c r="E71" s="532"/>
      <c r="F71" s="285">
        <f>LongTest!F91</f>
        <v>16.050404962531324</v>
      </c>
      <c r="G71" s="285">
        <f>LongTest!G91</f>
        <v>4.7004049625313247</v>
      </c>
      <c r="H71" s="531"/>
      <c r="I71" s="536"/>
      <c r="J71" s="537"/>
    </row>
    <row r="72" spans="1:10" ht="24.95" customHeight="1">
      <c r="A72" s="307"/>
      <c r="B72" s="284"/>
      <c r="C72" s="284">
        <f t="shared" si="1"/>
        <v>45727.46875</v>
      </c>
      <c r="D72" s="531">
        <v>55</v>
      </c>
      <c r="E72" s="532"/>
      <c r="F72" s="285">
        <f>LongTest!F92</f>
        <v>15.898147340799571</v>
      </c>
      <c r="G72" s="285">
        <f>LongTest!G92</f>
        <v>4.5481473407995727</v>
      </c>
      <c r="H72" s="531"/>
      <c r="I72" s="536"/>
      <c r="J72" s="537"/>
    </row>
    <row r="73" spans="1:10" ht="24.95" customHeight="1">
      <c r="A73" s="307"/>
      <c r="B73" s="284"/>
      <c r="C73" s="284">
        <f t="shared" si="1"/>
        <v>45727.472222222219</v>
      </c>
      <c r="D73" s="531">
        <v>60</v>
      </c>
      <c r="E73" s="532"/>
      <c r="F73" s="285">
        <f>LongTest!F93</f>
        <v>15.75082171611067</v>
      </c>
      <c r="G73" s="285">
        <f>LongTest!G93</f>
        <v>4.40082171611067</v>
      </c>
      <c r="H73" s="531"/>
      <c r="I73" s="536"/>
      <c r="J73" s="537"/>
    </row>
    <row r="74" spans="1:10" ht="24.95" customHeight="1">
      <c r="A74" s="307"/>
      <c r="B74" s="284"/>
      <c r="C74" s="284">
        <f t="shared" si="1"/>
        <v>45727.482638888891</v>
      </c>
      <c r="D74" s="531">
        <v>75</v>
      </c>
      <c r="E74" s="532"/>
      <c r="F74" s="285">
        <f>LongTest!F94</f>
        <v>15.608268329008549</v>
      </c>
      <c r="G74" s="285">
        <f>LongTest!G94</f>
        <v>4.2582683290085486</v>
      </c>
      <c r="H74" s="531"/>
      <c r="I74" s="536"/>
      <c r="J74" s="537"/>
    </row>
    <row r="75" spans="1:10" ht="24.95" customHeight="1">
      <c r="A75" s="307"/>
      <c r="B75" s="284"/>
      <c r="C75" s="284">
        <f t="shared" si="1"/>
        <v>45727.493055555555</v>
      </c>
      <c r="D75" s="531">
        <v>90</v>
      </c>
      <c r="E75" s="532"/>
      <c r="F75" s="285">
        <f>LongTest!F95</f>
        <v>15.470332595036952</v>
      </c>
      <c r="G75" s="285">
        <f>LongTest!G95</f>
        <v>4.1203325950369525</v>
      </c>
      <c r="H75" s="531"/>
      <c r="I75" s="536"/>
      <c r="J75" s="537"/>
    </row>
    <row r="76" spans="1:10" ht="24.95" customHeight="1">
      <c r="A76" s="307"/>
      <c r="B76" s="284"/>
      <c r="C76" s="284">
        <f t="shared" si="1"/>
        <v>45727.503472222219</v>
      </c>
      <c r="D76" s="531">
        <v>105</v>
      </c>
      <c r="E76" s="532"/>
      <c r="F76" s="285">
        <f>LongTest!F96</f>
        <v>15.336864937108539</v>
      </c>
      <c r="G76" s="285">
        <f>LongTest!G96</f>
        <v>3.9868649371085385</v>
      </c>
      <c r="H76" s="531"/>
      <c r="I76" s="536"/>
      <c r="J76" s="537"/>
    </row>
    <row r="77" spans="1:10" ht="24.95" customHeight="1">
      <c r="A77" s="307"/>
      <c r="B77" s="284"/>
      <c r="C77" s="284">
        <f t="shared" si="1"/>
        <v>45727.513888888891</v>
      </c>
      <c r="D77" s="531">
        <v>120</v>
      </c>
      <c r="E77" s="532"/>
      <c r="F77" s="285">
        <f>LongTest!F97</f>
        <v>14.961846389631328</v>
      </c>
      <c r="G77" s="285">
        <f>LongTest!G97</f>
        <v>3.6118463896313284</v>
      </c>
      <c r="H77" s="531" t="s">
        <v>327</v>
      </c>
      <c r="I77" s="536"/>
      <c r="J77" s="537"/>
    </row>
    <row r="78" spans="1:10" ht="24.95" customHeight="1">
      <c r="A78" s="307"/>
      <c r="B78" s="284"/>
      <c r="C78" s="284"/>
      <c r="D78" s="531"/>
      <c r="E78" s="532"/>
      <c r="F78" s="285"/>
      <c r="G78" s="285"/>
      <c r="H78" s="531"/>
      <c r="I78" s="536"/>
      <c r="J78" s="537"/>
    </row>
    <row r="79" spans="1:10" ht="24.95" customHeight="1">
      <c r="A79" s="307"/>
      <c r="B79" s="284"/>
      <c r="C79" s="284"/>
      <c r="D79" s="531"/>
      <c r="E79" s="532"/>
      <c r="F79" s="285"/>
      <c r="G79" s="285"/>
      <c r="H79" s="531"/>
      <c r="I79" s="536"/>
      <c r="J79" s="537"/>
    </row>
    <row r="80" spans="1:10" ht="24.95" customHeight="1">
      <c r="A80" s="307"/>
      <c r="B80" s="284"/>
      <c r="C80" s="284"/>
      <c r="D80" s="531"/>
      <c r="E80" s="532"/>
      <c r="F80" s="285"/>
      <c r="G80" s="285"/>
      <c r="H80" s="531"/>
      <c r="I80" s="536"/>
      <c r="J80" s="537"/>
    </row>
    <row r="81" spans="1:10" ht="24.95" customHeight="1" thickBot="1">
      <c r="A81" s="311"/>
      <c r="B81" s="312"/>
      <c r="C81" s="312"/>
      <c r="D81" s="538"/>
      <c r="E81" s="539"/>
      <c r="F81" s="313"/>
      <c r="G81" s="313"/>
      <c r="H81" s="538"/>
      <c r="I81" s="560"/>
      <c r="J81" s="56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62" t="s">
        <v>318</v>
      </c>
      <c r="B1" s="563"/>
      <c r="C1" s="563"/>
      <c r="D1" s="563"/>
      <c r="E1" s="563"/>
      <c r="F1" s="563"/>
      <c r="G1" s="563"/>
      <c r="H1" s="563"/>
      <c r="I1" s="563"/>
      <c r="J1" s="564"/>
    </row>
    <row r="2" spans="1:11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1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1" ht="24.95" customHeight="1">
      <c r="A4" s="549" t="s">
        <v>295</v>
      </c>
      <c r="B4" s="550"/>
      <c r="C4" s="551">
        <f>StepTest!C12</f>
        <v>45721.444444444445</v>
      </c>
      <c r="D4" s="552"/>
      <c r="E4" s="552"/>
      <c r="F4" s="552"/>
      <c r="G4" s="552"/>
      <c r="H4" s="552"/>
      <c r="I4" s="552"/>
      <c r="J4" s="553"/>
    </row>
    <row r="5" spans="1:11" ht="24.95" customHeight="1">
      <c r="A5" s="549" t="s">
        <v>296</v>
      </c>
      <c r="B5" s="550"/>
      <c r="C5" s="551">
        <f>StepTest!C51</f>
        <v>45721.861111111109</v>
      </c>
      <c r="D5" s="552"/>
      <c r="E5" s="552"/>
      <c r="F5" s="552"/>
      <c r="G5" s="552"/>
      <c r="H5" s="552"/>
      <c r="I5" s="552"/>
      <c r="J5" s="553"/>
    </row>
    <row r="6" spans="1:11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1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531"/>
      <c r="H7" s="536"/>
      <c r="I7" s="536"/>
      <c r="J7" s="537"/>
    </row>
    <row r="8" spans="1:11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326</v>
      </c>
      <c r="H8" s="533">
        <f>LongTest!G7</f>
        <v>158</v>
      </c>
      <c r="I8" s="550"/>
      <c r="J8" s="281" t="s">
        <v>299</v>
      </c>
    </row>
    <row r="9" spans="1:11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319</v>
      </c>
      <c r="H9" s="533">
        <f>Input!M51</f>
        <v>200</v>
      </c>
      <c r="I9" s="550"/>
      <c r="J9" s="281" t="s">
        <v>307</v>
      </c>
    </row>
    <row r="10" spans="1:11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40">
        <v>1</v>
      </c>
      <c r="E12" s="540"/>
      <c r="F12" s="285">
        <f>StepTest!F12</f>
        <v>12.65</v>
      </c>
      <c r="G12" s="285">
        <f>StepTest!G12</f>
        <v>1.3</v>
      </c>
      <c r="H12" s="567"/>
      <c r="I12" s="568"/>
      <c r="J12" s="569"/>
    </row>
    <row r="13" spans="1:11" ht="24.95" customHeight="1">
      <c r="A13" s="282"/>
      <c r="B13" s="280"/>
      <c r="C13" s="284">
        <f t="shared" si="0"/>
        <v>45721.445833333331</v>
      </c>
      <c r="D13" s="540">
        <v>2</v>
      </c>
      <c r="E13" s="540"/>
      <c r="F13" s="285">
        <f>StepTest!F13</f>
        <v>13.83</v>
      </c>
      <c r="G13" s="285">
        <f>StepTest!G13</f>
        <v>2.48</v>
      </c>
      <c r="H13" s="567"/>
      <c r="I13" s="568"/>
      <c r="J13" s="569"/>
    </row>
    <row r="14" spans="1:11" ht="24.95" customHeight="1">
      <c r="A14" s="282"/>
      <c r="B14" s="280"/>
      <c r="C14" s="284">
        <f t="shared" si="0"/>
        <v>45721.446527777778</v>
      </c>
      <c r="D14" s="540">
        <v>3</v>
      </c>
      <c r="E14" s="540"/>
      <c r="F14" s="285">
        <f>StepTest!F14</f>
        <v>14.7</v>
      </c>
      <c r="G14" s="285">
        <f>StepTest!G14</f>
        <v>3.35</v>
      </c>
      <c r="H14" s="567"/>
      <c r="I14" s="568"/>
      <c r="J14" s="569"/>
    </row>
    <row r="15" spans="1:11" ht="24.95" customHeight="1">
      <c r="A15" s="282"/>
      <c r="B15" s="280"/>
      <c r="C15" s="284">
        <f t="shared" si="0"/>
        <v>45721.447222222225</v>
      </c>
      <c r="D15" s="540">
        <v>4</v>
      </c>
      <c r="E15" s="540"/>
      <c r="F15" s="285">
        <f>StepTest!F15</f>
        <v>15.32</v>
      </c>
      <c r="G15" s="285">
        <f>StepTest!G15</f>
        <v>3.97</v>
      </c>
      <c r="H15" s="567"/>
      <c r="I15" s="568"/>
      <c r="J15" s="569"/>
    </row>
    <row r="16" spans="1:11" ht="24.95" customHeight="1">
      <c r="A16" s="282"/>
      <c r="B16" s="280"/>
      <c r="C16" s="284">
        <f t="shared" si="0"/>
        <v>45721.447916666664</v>
      </c>
      <c r="D16" s="540">
        <v>5</v>
      </c>
      <c r="E16" s="540"/>
      <c r="F16" s="285">
        <f>StepTest!F16</f>
        <v>15.8</v>
      </c>
      <c r="G16" s="285">
        <f>StepTest!G16</f>
        <v>4.45</v>
      </c>
      <c r="H16" s="531"/>
      <c r="I16" s="536"/>
      <c r="J16" s="537"/>
    </row>
    <row r="17" spans="1:10" ht="24.95" customHeight="1">
      <c r="A17" s="282"/>
      <c r="B17" s="280"/>
      <c r="C17" s="284">
        <f t="shared" si="0"/>
        <v>45721.451388888891</v>
      </c>
      <c r="D17" s="540">
        <v>10</v>
      </c>
      <c r="E17" s="540"/>
      <c r="F17" s="285">
        <f>StepTest!F17</f>
        <v>17.28</v>
      </c>
      <c r="G17" s="285">
        <f>StepTest!G17</f>
        <v>5.93</v>
      </c>
      <c r="H17" s="531"/>
      <c r="I17" s="536"/>
      <c r="J17" s="537"/>
    </row>
    <row r="18" spans="1:10" ht="24.95" customHeight="1">
      <c r="A18" s="282"/>
      <c r="B18" s="280"/>
      <c r="C18" s="284">
        <f t="shared" si="0"/>
        <v>45721.454861111109</v>
      </c>
      <c r="D18" s="540">
        <v>15</v>
      </c>
      <c r="E18" s="540"/>
      <c r="F18" s="285">
        <f>StepTest!F18</f>
        <v>18.149999999999999</v>
      </c>
      <c r="G18" s="285">
        <f>StepTest!G18</f>
        <v>6.8</v>
      </c>
      <c r="H18" s="531"/>
      <c r="I18" s="536"/>
      <c r="J18" s="537"/>
    </row>
    <row r="19" spans="1:10" ht="24.95" customHeight="1">
      <c r="A19" s="282"/>
      <c r="B19" s="280"/>
      <c r="C19" s="284">
        <f t="shared" si="0"/>
        <v>45721.458333333336</v>
      </c>
      <c r="D19" s="540">
        <v>20</v>
      </c>
      <c r="E19" s="540"/>
      <c r="F19" s="285">
        <f>StepTest!F19</f>
        <v>18.77</v>
      </c>
      <c r="G19" s="285">
        <f>StepTest!G19</f>
        <v>7.42</v>
      </c>
      <c r="H19" s="531"/>
      <c r="I19" s="536"/>
      <c r="J19" s="537"/>
    </row>
    <row r="20" spans="1:10" ht="24.95" customHeight="1">
      <c r="A20" s="282"/>
      <c r="B20" s="280"/>
      <c r="C20" s="284">
        <f t="shared" si="0"/>
        <v>45721.461805555555</v>
      </c>
      <c r="D20" s="540">
        <v>25</v>
      </c>
      <c r="E20" s="540"/>
      <c r="F20" s="285">
        <f>StepTest!F20</f>
        <v>19.239999999999998</v>
      </c>
      <c r="G20" s="285">
        <f>StepTest!G20</f>
        <v>7.89</v>
      </c>
      <c r="H20" s="531"/>
      <c r="I20" s="536"/>
      <c r="J20" s="537"/>
    </row>
    <row r="21" spans="1:10" ht="24.95" customHeight="1">
      <c r="A21" s="282"/>
      <c r="B21" s="280"/>
      <c r="C21" s="284">
        <f t="shared" si="0"/>
        <v>45721.465277777781</v>
      </c>
      <c r="D21" s="540">
        <v>30</v>
      </c>
      <c r="E21" s="540"/>
      <c r="F21" s="285">
        <f>StepTest!F21</f>
        <v>19.63</v>
      </c>
      <c r="G21" s="285">
        <f>StepTest!G21</f>
        <v>8.2799999999999994</v>
      </c>
      <c r="H21" s="531"/>
      <c r="I21" s="536"/>
      <c r="J21" s="537"/>
    </row>
    <row r="22" spans="1:10" ht="24.95" customHeight="1">
      <c r="A22" s="282"/>
      <c r="B22" s="280"/>
      <c r="C22" s="284">
        <f t="shared" si="0"/>
        <v>45721.46875</v>
      </c>
      <c r="D22" s="540">
        <v>35</v>
      </c>
      <c r="E22" s="540"/>
      <c r="F22" s="285">
        <f>StepTest!F22</f>
        <v>19.97</v>
      </c>
      <c r="G22" s="285">
        <f>StepTest!G22</f>
        <v>8.6199999999999992</v>
      </c>
      <c r="H22" s="531"/>
      <c r="I22" s="536"/>
      <c r="J22" s="537"/>
    </row>
    <row r="23" spans="1:10" ht="24.95" customHeight="1">
      <c r="A23" s="282"/>
      <c r="B23" s="280"/>
      <c r="C23" s="284">
        <f t="shared" si="0"/>
        <v>45721.472222222226</v>
      </c>
      <c r="D23" s="540">
        <v>40</v>
      </c>
      <c r="E23" s="540"/>
      <c r="F23" s="285">
        <f>StepTest!F23</f>
        <v>20.25</v>
      </c>
      <c r="G23" s="285">
        <f>StepTest!G23</f>
        <v>8.9</v>
      </c>
      <c r="H23" s="531"/>
      <c r="I23" s="536"/>
      <c r="J23" s="537"/>
    </row>
    <row r="24" spans="1:10" ht="24.95" customHeight="1">
      <c r="A24" s="282"/>
      <c r="B24" s="280"/>
      <c r="C24" s="284">
        <f t="shared" si="0"/>
        <v>45721.475694444445</v>
      </c>
      <c r="D24" s="540">
        <v>45</v>
      </c>
      <c r="E24" s="540"/>
      <c r="F24" s="285">
        <f>StepTest!F24</f>
        <v>20.5</v>
      </c>
      <c r="G24" s="285">
        <f>StepTest!G24</f>
        <v>9.15</v>
      </c>
      <c r="H24" s="531"/>
      <c r="I24" s="536"/>
      <c r="J24" s="537"/>
    </row>
    <row r="25" spans="1:10" ht="24.95" customHeight="1">
      <c r="A25" s="282"/>
      <c r="B25" s="280"/>
      <c r="C25" s="284">
        <f t="shared" si="0"/>
        <v>45721.479166666664</v>
      </c>
      <c r="D25" s="540">
        <v>50</v>
      </c>
      <c r="E25" s="540"/>
      <c r="F25" s="285">
        <f>StepTest!F25</f>
        <v>20.73</v>
      </c>
      <c r="G25" s="285">
        <f>StepTest!G25</f>
        <v>9.3800000000000008</v>
      </c>
      <c r="H25" s="531"/>
      <c r="I25" s="536"/>
      <c r="J25" s="537"/>
    </row>
    <row r="26" spans="1:10" ht="24.95" customHeight="1">
      <c r="A26" s="282"/>
      <c r="B26" s="280"/>
      <c r="C26" s="284">
        <f t="shared" si="0"/>
        <v>45721.482638888891</v>
      </c>
      <c r="D26" s="540">
        <v>55</v>
      </c>
      <c r="E26" s="540"/>
      <c r="F26" s="285">
        <f>StepTest!F26</f>
        <v>20.93</v>
      </c>
      <c r="G26" s="285">
        <f>StepTest!G26</f>
        <v>9.58</v>
      </c>
      <c r="H26" s="531"/>
      <c r="I26" s="536"/>
      <c r="J26" s="537"/>
    </row>
    <row r="27" spans="1:10" ht="24.95" customHeight="1">
      <c r="A27" s="282"/>
      <c r="B27" s="280"/>
      <c r="C27" s="284">
        <f t="shared" si="0"/>
        <v>45721.486111111109</v>
      </c>
      <c r="D27" s="540">
        <v>60</v>
      </c>
      <c r="E27" s="540"/>
      <c r="F27" s="285">
        <f>StepTest!F27</f>
        <v>21.119999999999997</v>
      </c>
      <c r="G27" s="285">
        <f>StepTest!G27</f>
        <v>9.77</v>
      </c>
      <c r="H27" s="531"/>
      <c r="I27" s="536"/>
      <c r="J27" s="537"/>
    </row>
    <row r="28" spans="1:10" ht="24.95" customHeight="1">
      <c r="A28" s="282"/>
      <c r="B28" s="280"/>
      <c r="C28" s="284">
        <f t="shared" si="0"/>
        <v>45721.496527777781</v>
      </c>
      <c r="D28" s="540">
        <v>75</v>
      </c>
      <c r="E28" s="540"/>
      <c r="F28" s="285">
        <f>StepTest!F28</f>
        <v>21.6</v>
      </c>
      <c r="G28" s="285">
        <f>StepTest!G28</f>
        <v>10.25</v>
      </c>
      <c r="H28" s="531"/>
      <c r="I28" s="536"/>
      <c r="J28" s="537"/>
    </row>
    <row r="29" spans="1:10" ht="24.95" customHeight="1">
      <c r="A29" s="282"/>
      <c r="B29" s="280"/>
      <c r="C29" s="284">
        <f t="shared" si="0"/>
        <v>45721.506944444445</v>
      </c>
      <c r="D29" s="540">
        <v>90</v>
      </c>
      <c r="E29" s="540"/>
      <c r="F29" s="285">
        <f>StepTest!F29</f>
        <v>21.990000000000002</v>
      </c>
      <c r="G29" s="285">
        <f>StepTest!G29</f>
        <v>10.64</v>
      </c>
      <c r="H29" s="531"/>
      <c r="I29" s="536"/>
      <c r="J29" s="537"/>
    </row>
    <row r="30" spans="1:10" ht="24.95" customHeight="1">
      <c r="A30" s="282"/>
      <c r="B30" s="280"/>
      <c r="C30" s="284">
        <f t="shared" si="0"/>
        <v>45721.517361111109</v>
      </c>
      <c r="D30" s="540">
        <v>105</v>
      </c>
      <c r="E30" s="540"/>
      <c r="F30" s="285">
        <f>StepTest!F30</f>
        <v>22.32</v>
      </c>
      <c r="G30" s="285">
        <f>StepTest!G30</f>
        <v>10.97</v>
      </c>
      <c r="H30" s="531"/>
      <c r="I30" s="536"/>
      <c r="J30" s="537"/>
    </row>
    <row r="31" spans="1:10" ht="24.95" customHeight="1">
      <c r="A31" s="282"/>
      <c r="B31" s="280"/>
      <c r="C31" s="284">
        <f t="shared" si="0"/>
        <v>45721.527777777781</v>
      </c>
      <c r="D31" s="540">
        <v>120</v>
      </c>
      <c r="E31" s="540"/>
      <c r="F31" s="285">
        <f>StepTest!F31</f>
        <v>22.61</v>
      </c>
      <c r="G31" s="285">
        <f>StepTest!G31</f>
        <v>11.26</v>
      </c>
      <c r="H31" s="531"/>
      <c r="I31" s="536"/>
      <c r="J31" s="537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40">
        <v>130</v>
      </c>
      <c r="E32" s="540"/>
      <c r="F32" s="285">
        <f>StepTest!F32</f>
        <v>24.86</v>
      </c>
      <c r="G32" s="285">
        <f>StepTest!G32</f>
        <v>13.51</v>
      </c>
      <c r="H32" s="531"/>
      <c r="I32" s="536"/>
      <c r="J32" s="537"/>
    </row>
    <row r="33" spans="1:10" ht="24.95" customHeight="1">
      <c r="A33" s="286"/>
      <c r="B33" s="283"/>
      <c r="C33" s="284">
        <f t="shared" si="0"/>
        <v>45721.541666666664</v>
      </c>
      <c r="D33" s="540">
        <v>140</v>
      </c>
      <c r="E33" s="540"/>
      <c r="F33" s="285">
        <f>StepTest!F33</f>
        <v>25.240000000000002</v>
      </c>
      <c r="G33" s="285">
        <f>StepTest!G33</f>
        <v>13.89</v>
      </c>
      <c r="H33" s="531"/>
      <c r="I33" s="536"/>
      <c r="J33" s="537"/>
    </row>
    <row r="34" spans="1:10" ht="24.95" customHeight="1">
      <c r="A34" s="286"/>
      <c r="B34" s="283"/>
      <c r="C34" s="284">
        <f t="shared" si="0"/>
        <v>45721.548611111109</v>
      </c>
      <c r="D34" s="540">
        <v>150</v>
      </c>
      <c r="E34" s="540"/>
      <c r="F34" s="285">
        <f>StepTest!F34</f>
        <v>25.61</v>
      </c>
      <c r="G34" s="285">
        <f>StepTest!G34</f>
        <v>14.26</v>
      </c>
      <c r="H34" s="531"/>
      <c r="I34" s="536"/>
      <c r="J34" s="537"/>
    </row>
    <row r="35" spans="1:10" ht="24.95" customHeight="1">
      <c r="A35" s="286"/>
      <c r="B35" s="283"/>
      <c r="C35" s="284">
        <f t="shared" si="0"/>
        <v>45721.569444444445</v>
      </c>
      <c r="D35" s="540">
        <v>180</v>
      </c>
      <c r="E35" s="540"/>
      <c r="F35" s="285">
        <f>StepTest!F35</f>
        <v>25.990000000000002</v>
      </c>
      <c r="G35" s="285">
        <f>StepTest!G35</f>
        <v>14.64</v>
      </c>
      <c r="H35" s="531"/>
      <c r="I35" s="536"/>
      <c r="J35" s="537"/>
    </row>
    <row r="36" spans="1:10" ht="24.95" customHeight="1">
      <c r="A36" s="286"/>
      <c r="B36" s="283"/>
      <c r="C36" s="284">
        <f t="shared" si="0"/>
        <v>45721.611111111109</v>
      </c>
      <c r="D36" s="540">
        <v>240</v>
      </c>
      <c r="E36" s="540"/>
      <c r="F36" s="285">
        <f>StepTest!F36</f>
        <v>26.369999999999997</v>
      </c>
      <c r="G36" s="285">
        <f>StepTest!G36</f>
        <v>15.02</v>
      </c>
      <c r="H36" s="531"/>
      <c r="I36" s="536"/>
      <c r="J36" s="537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40">
        <v>250</v>
      </c>
      <c r="E37" s="540"/>
      <c r="F37" s="285">
        <f>StepTest!F37</f>
        <v>28.9</v>
      </c>
      <c r="G37" s="285">
        <f>StepTest!G37</f>
        <v>17.55</v>
      </c>
      <c r="H37" s="531"/>
      <c r="I37" s="536"/>
      <c r="J37" s="537"/>
    </row>
    <row r="38" spans="1:10" ht="24.95" customHeight="1">
      <c r="A38" s="286"/>
      <c r="B38" s="283"/>
      <c r="C38" s="284">
        <f t="shared" si="0"/>
        <v>45721.625</v>
      </c>
      <c r="D38" s="540">
        <v>260</v>
      </c>
      <c r="E38" s="540"/>
      <c r="F38" s="285">
        <f>StepTest!F38</f>
        <v>29.32</v>
      </c>
      <c r="G38" s="285">
        <f>StepTest!G38</f>
        <v>17.97</v>
      </c>
      <c r="H38" s="531"/>
      <c r="I38" s="536"/>
      <c r="J38" s="537"/>
    </row>
    <row r="39" spans="1:10" ht="24.95" customHeight="1">
      <c r="A39" s="286"/>
      <c r="B39" s="283"/>
      <c r="C39" s="284">
        <f t="shared" si="0"/>
        <v>45721.631944444445</v>
      </c>
      <c r="D39" s="540">
        <v>270</v>
      </c>
      <c r="E39" s="540"/>
      <c r="F39" s="285">
        <f>StepTest!F39</f>
        <v>29.740000000000002</v>
      </c>
      <c r="G39" s="285">
        <f>StepTest!G39</f>
        <v>18.39</v>
      </c>
      <c r="H39" s="531"/>
      <c r="I39" s="536"/>
      <c r="J39" s="537"/>
    </row>
    <row r="40" spans="1:10" ht="24.95" customHeight="1">
      <c r="A40" s="286"/>
      <c r="B40" s="283"/>
      <c r="C40" s="284">
        <f t="shared" si="0"/>
        <v>45721.652777777781</v>
      </c>
      <c r="D40" s="540">
        <v>300</v>
      </c>
      <c r="E40" s="540"/>
      <c r="F40" s="285">
        <f>StepTest!F40</f>
        <v>30.159999999999997</v>
      </c>
      <c r="G40" s="285">
        <f>StepTest!G40</f>
        <v>18.809999999999999</v>
      </c>
      <c r="H40" s="531"/>
      <c r="I40" s="536"/>
      <c r="J40" s="537"/>
    </row>
    <row r="41" spans="1:10" ht="24.95" customHeight="1">
      <c r="A41" s="286"/>
      <c r="B41" s="283"/>
      <c r="C41" s="284">
        <f t="shared" si="0"/>
        <v>45721.694444444445</v>
      </c>
      <c r="D41" s="540">
        <v>360</v>
      </c>
      <c r="E41" s="540"/>
      <c r="F41" s="285">
        <f>StepTest!F41</f>
        <v>30.589999999999996</v>
      </c>
      <c r="G41" s="285">
        <f>StepTest!G41</f>
        <v>19.239999999999998</v>
      </c>
      <c r="H41" s="531"/>
      <c r="I41" s="536"/>
      <c r="J41" s="537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33">
        <v>370</v>
      </c>
      <c r="E42" s="550"/>
      <c r="F42" s="285">
        <f>StepTest!F42</f>
        <v>33.409999999999997</v>
      </c>
      <c r="G42" s="285">
        <f>StepTest!G42</f>
        <v>22.06</v>
      </c>
      <c r="H42" s="531"/>
      <c r="I42" s="536"/>
      <c r="J42" s="537"/>
    </row>
    <row r="43" spans="1:10" ht="24.95" customHeight="1">
      <c r="A43" s="286"/>
      <c r="B43" s="283"/>
      <c r="C43" s="284">
        <f t="shared" si="0"/>
        <v>45721.708333333336</v>
      </c>
      <c r="D43" s="533">
        <v>380</v>
      </c>
      <c r="E43" s="550"/>
      <c r="F43" s="285">
        <f>StepTest!F43</f>
        <v>33.880000000000003</v>
      </c>
      <c r="G43" s="285">
        <f>StepTest!G43</f>
        <v>22.53</v>
      </c>
      <c r="H43" s="531"/>
      <c r="I43" s="536"/>
      <c r="J43" s="537"/>
    </row>
    <row r="44" spans="1:10" ht="24.95" customHeight="1">
      <c r="A44" s="286"/>
      <c r="B44" s="283"/>
      <c r="C44" s="284">
        <f t="shared" si="0"/>
        <v>45721.715277777781</v>
      </c>
      <c r="D44" s="533">
        <v>390</v>
      </c>
      <c r="E44" s="550"/>
      <c r="F44" s="285">
        <f>StepTest!F44</f>
        <v>34.35</v>
      </c>
      <c r="G44" s="285">
        <f>StepTest!G44</f>
        <v>23</v>
      </c>
      <c r="H44" s="531"/>
      <c r="I44" s="536"/>
      <c r="J44" s="537"/>
    </row>
    <row r="45" spans="1:10" ht="24.95" customHeight="1">
      <c r="A45" s="286"/>
      <c r="B45" s="283"/>
      <c r="C45" s="284">
        <f t="shared" si="0"/>
        <v>45721.736111111109</v>
      </c>
      <c r="D45" s="533">
        <v>420</v>
      </c>
      <c r="E45" s="550"/>
      <c r="F45" s="285">
        <f>StepTest!F45</f>
        <v>34.82</v>
      </c>
      <c r="G45" s="285">
        <f>StepTest!G45</f>
        <v>23.47</v>
      </c>
      <c r="H45" s="531"/>
      <c r="I45" s="536"/>
      <c r="J45" s="537"/>
    </row>
    <row r="46" spans="1:10" ht="24.95" customHeight="1">
      <c r="A46" s="286"/>
      <c r="B46" s="283"/>
      <c r="C46" s="284">
        <f t="shared" si="0"/>
        <v>45721.777777777781</v>
      </c>
      <c r="D46" s="533">
        <v>480</v>
      </c>
      <c r="E46" s="550"/>
      <c r="F46" s="285">
        <f>StepTest!F46</f>
        <v>35.299999999999997</v>
      </c>
      <c r="G46" s="285">
        <f>StepTest!G46</f>
        <v>23.95</v>
      </c>
      <c r="H46" s="531"/>
      <c r="I46" s="536"/>
      <c r="J46" s="537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33">
        <v>490</v>
      </c>
      <c r="E47" s="550"/>
      <c r="F47" s="285">
        <f>StepTest!F47</f>
        <v>38.17</v>
      </c>
      <c r="G47" s="285">
        <f>StepTest!G47</f>
        <v>26.82</v>
      </c>
      <c r="H47" s="531"/>
      <c r="I47" s="536"/>
      <c r="J47" s="537"/>
    </row>
    <row r="48" spans="1:10" ht="24.95" customHeight="1">
      <c r="A48" s="286"/>
      <c r="B48" s="283"/>
      <c r="C48" s="284">
        <f t="shared" si="0"/>
        <v>45721.791666666664</v>
      </c>
      <c r="D48" s="533">
        <v>500</v>
      </c>
      <c r="E48" s="550"/>
      <c r="F48" s="285">
        <f>StepTest!F48</f>
        <v>39.24</v>
      </c>
      <c r="G48" s="285">
        <f>StepTest!G48</f>
        <v>27.89</v>
      </c>
      <c r="H48" s="531"/>
      <c r="I48" s="536"/>
      <c r="J48" s="537"/>
    </row>
    <row r="49" spans="1:10" ht="24.95" customHeight="1">
      <c r="A49" s="286"/>
      <c r="B49" s="283"/>
      <c r="C49" s="284">
        <f t="shared" si="0"/>
        <v>45721.798611111109</v>
      </c>
      <c r="D49" s="533">
        <v>510</v>
      </c>
      <c r="E49" s="550"/>
      <c r="F49" s="285">
        <f>StepTest!F49</f>
        <v>40.32</v>
      </c>
      <c r="G49" s="285">
        <f>StepTest!G49</f>
        <v>28.97</v>
      </c>
      <c r="H49" s="531"/>
      <c r="I49" s="536"/>
      <c r="J49" s="537"/>
    </row>
    <row r="50" spans="1:10" ht="24.95" customHeight="1">
      <c r="A50" s="286"/>
      <c r="B50" s="283"/>
      <c r="C50" s="284">
        <f t="shared" si="0"/>
        <v>45721.819444444445</v>
      </c>
      <c r="D50" s="533">
        <v>540</v>
      </c>
      <c r="E50" s="550"/>
      <c r="F50" s="285">
        <f>StepTest!F50</f>
        <v>41.4</v>
      </c>
      <c r="G50" s="285">
        <f>StepTest!G50</f>
        <v>30.05</v>
      </c>
      <c r="H50" s="531"/>
      <c r="I50" s="536"/>
      <c r="J50" s="537"/>
    </row>
    <row r="51" spans="1:10" ht="24.95" customHeight="1">
      <c r="A51" s="287"/>
      <c r="B51" s="288"/>
      <c r="C51" s="289">
        <f t="shared" si="0"/>
        <v>45721.861111111109</v>
      </c>
      <c r="D51" s="565">
        <v>600</v>
      </c>
      <c r="E51" s="566"/>
      <c r="F51" s="290">
        <f>StepTest!F51</f>
        <v>42.48</v>
      </c>
      <c r="G51" s="290">
        <f>StepTest!G51</f>
        <v>31.13</v>
      </c>
      <c r="H51" s="570"/>
      <c r="I51" s="571"/>
      <c r="J51" s="572"/>
    </row>
    <row r="52" spans="1:10" ht="24.95" customHeight="1">
      <c r="A52" s="307"/>
      <c r="B52" s="315"/>
      <c r="C52" s="315"/>
      <c r="D52" s="573"/>
      <c r="E52" s="579"/>
      <c r="F52" s="315"/>
      <c r="G52" s="315"/>
      <c r="H52" s="573"/>
      <c r="I52" s="574"/>
      <c r="J52" s="575"/>
    </row>
    <row r="53" spans="1:10" ht="24.95" customHeight="1">
      <c r="A53" s="307"/>
      <c r="B53" s="315"/>
      <c r="C53" s="315"/>
      <c r="D53" s="573"/>
      <c r="E53" s="579"/>
      <c r="F53" s="315"/>
      <c r="G53" s="315"/>
      <c r="H53" s="573"/>
      <c r="I53" s="574"/>
      <c r="J53" s="575"/>
    </row>
    <row r="54" spans="1:10" ht="24.95" customHeight="1">
      <c r="A54" s="307"/>
      <c r="B54" s="315"/>
      <c r="C54" s="315"/>
      <c r="D54" s="573"/>
      <c r="E54" s="579"/>
      <c r="F54" s="315"/>
      <c r="G54" s="315"/>
      <c r="H54" s="573"/>
      <c r="I54" s="574"/>
      <c r="J54" s="575"/>
    </row>
    <row r="55" spans="1:10" ht="24.95" customHeight="1">
      <c r="A55" s="307"/>
      <c r="B55" s="315"/>
      <c r="C55" s="315"/>
      <c r="D55" s="573"/>
      <c r="E55" s="579"/>
      <c r="F55" s="315"/>
      <c r="G55" s="315"/>
      <c r="H55" s="573"/>
      <c r="I55" s="574"/>
      <c r="J55" s="575"/>
    </row>
    <row r="56" spans="1:10" ht="24.95" customHeight="1">
      <c r="A56" s="307"/>
      <c r="B56" s="315"/>
      <c r="C56" s="315"/>
      <c r="D56" s="573"/>
      <c r="E56" s="579"/>
      <c r="F56" s="315"/>
      <c r="G56" s="315"/>
      <c r="H56" s="573"/>
      <c r="I56" s="574"/>
      <c r="J56" s="575"/>
    </row>
    <row r="57" spans="1:10" ht="24.95" customHeight="1" thickBot="1">
      <c r="A57" s="311"/>
      <c r="B57" s="316"/>
      <c r="C57" s="316"/>
      <c r="D57" s="576"/>
      <c r="E57" s="580"/>
      <c r="F57" s="316"/>
      <c r="G57" s="316"/>
      <c r="H57" s="576"/>
      <c r="I57" s="577"/>
      <c r="J57" s="57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62" t="s">
        <v>317</v>
      </c>
      <c r="B1" s="563"/>
      <c r="C1" s="563"/>
      <c r="D1" s="563"/>
      <c r="E1" s="563"/>
      <c r="F1" s="563"/>
      <c r="G1" s="563"/>
      <c r="H1" s="563"/>
      <c r="I1" s="563"/>
      <c r="J1" s="564"/>
    </row>
    <row r="2" spans="1:10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0" ht="24.95" customHeight="1">
      <c r="A4" s="549" t="s">
        <v>295</v>
      </c>
      <c r="B4" s="550"/>
      <c r="C4" s="551">
        <f>LongTest!C10</f>
        <v>45726.430555555555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296</v>
      </c>
      <c r="B5" s="550"/>
      <c r="C5" s="551">
        <f>LongTest!C77</f>
        <v>45728.430555555555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280" t="s">
        <v>326</v>
      </c>
      <c r="H7" s="533">
        <f>Input!I50</f>
        <v>48</v>
      </c>
      <c r="I7" s="550"/>
      <c r="J7" s="281" t="s">
        <v>299</v>
      </c>
    </row>
    <row r="8" spans="1:10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302</v>
      </c>
      <c r="H8" s="533">
        <f>LongTest!G7</f>
        <v>158</v>
      </c>
      <c r="I8" s="550"/>
      <c r="J8" s="281" t="s">
        <v>299</v>
      </c>
    </row>
    <row r="9" spans="1:10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304</v>
      </c>
      <c r="H9" s="533">
        <f>LongTest!G8</f>
        <v>38.270000000000003</v>
      </c>
      <c r="I9" s="550"/>
      <c r="J9" s="281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40">
        <v>1</v>
      </c>
      <c r="E12" s="54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40">
        <v>2</v>
      </c>
      <c r="E13" s="54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40">
        <v>3</v>
      </c>
      <c r="E14" s="54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40">
        <v>4</v>
      </c>
      <c r="E15" s="54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40">
        <v>5</v>
      </c>
      <c r="E16" s="54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40">
        <v>10</v>
      </c>
      <c r="E17" s="54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40">
        <v>15</v>
      </c>
      <c r="E18" s="54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40">
        <v>20</v>
      </c>
      <c r="E19" s="54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40">
        <v>25</v>
      </c>
      <c r="E20" s="54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40">
        <v>30</v>
      </c>
      <c r="E21" s="54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40">
        <v>35</v>
      </c>
      <c r="E22" s="54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40">
        <v>40</v>
      </c>
      <c r="E23" s="54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40">
        <v>45</v>
      </c>
      <c r="E24" s="54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40">
        <v>50</v>
      </c>
      <c r="E25" s="54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40">
        <v>55</v>
      </c>
      <c r="E26" s="54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40">
        <v>60</v>
      </c>
      <c r="E27" s="54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40">
        <v>75</v>
      </c>
      <c r="E28" s="54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40">
        <v>90</v>
      </c>
      <c r="E29" s="54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40">
        <v>105</v>
      </c>
      <c r="E30" s="54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40">
        <v>120</v>
      </c>
      <c r="E31" s="54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40">
        <v>140</v>
      </c>
      <c r="E32" s="54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40">
        <v>160</v>
      </c>
      <c r="E33" s="54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40">
        <v>180</v>
      </c>
      <c r="E34" s="54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40">
        <v>240</v>
      </c>
      <c r="E35" s="54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40">
        <v>300</v>
      </c>
      <c r="E36" s="54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40">
        <v>360</v>
      </c>
      <c r="E37" s="54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40">
        <v>420</v>
      </c>
      <c r="E38" s="54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40">
        <v>480</v>
      </c>
      <c r="E39" s="54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40">
        <v>540</v>
      </c>
      <c r="E40" s="54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40">
        <v>600</v>
      </c>
      <c r="E41" s="54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40">
        <v>660</v>
      </c>
      <c r="E42" s="54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40">
        <v>720</v>
      </c>
      <c r="E43" s="54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40">
        <v>780</v>
      </c>
      <c r="E44" s="54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40">
        <v>840</v>
      </c>
      <c r="E45" s="54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40">
        <v>900</v>
      </c>
      <c r="E46" s="54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40">
        <v>960</v>
      </c>
      <c r="E47" s="54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40">
        <v>1020</v>
      </c>
      <c r="E48" s="54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40">
        <v>1080</v>
      </c>
      <c r="E49" s="54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40">
        <v>1140</v>
      </c>
      <c r="E50" s="54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40">
        <v>1200</v>
      </c>
      <c r="E51" s="54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40">
        <v>1260</v>
      </c>
      <c r="E52" s="54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40">
        <v>1320</v>
      </c>
      <c r="E53" s="54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40">
        <v>1380</v>
      </c>
      <c r="E54" s="54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40">
        <v>1440</v>
      </c>
      <c r="E55" s="54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31">
        <v>1500</v>
      </c>
      <c r="E56" s="532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31">
        <v>1560</v>
      </c>
      <c r="E57" s="532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31">
        <v>1620</v>
      </c>
      <c r="E58" s="532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31">
        <v>1680</v>
      </c>
      <c r="E59" s="532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31">
        <v>1740</v>
      </c>
      <c r="E60" s="532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31">
        <v>1800</v>
      </c>
      <c r="E61" s="532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31">
        <v>1860</v>
      </c>
      <c r="E62" s="532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31">
        <v>1920</v>
      </c>
      <c r="E63" s="532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31">
        <v>1980</v>
      </c>
      <c r="E64" s="532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31">
        <v>2040</v>
      </c>
      <c r="E65" s="532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31">
        <v>2100</v>
      </c>
      <c r="E66" s="532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31">
        <v>2160</v>
      </c>
      <c r="E67" s="532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31">
        <v>2220</v>
      </c>
      <c r="E68" s="532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31">
        <v>2280</v>
      </c>
      <c r="E69" s="532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31">
        <v>2340</v>
      </c>
      <c r="E70" s="532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31">
        <v>2400</v>
      </c>
      <c r="E71" s="532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31">
        <v>2460</v>
      </c>
      <c r="E72" s="532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31">
        <v>2520</v>
      </c>
      <c r="E73" s="532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31">
        <v>2580</v>
      </c>
      <c r="E74" s="532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31">
        <v>2640</v>
      </c>
      <c r="E75" s="532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31">
        <v>2700</v>
      </c>
      <c r="E76" s="532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31">
        <v>2760</v>
      </c>
      <c r="E77" s="532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31">
        <v>2820</v>
      </c>
      <c r="E78" s="532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70">
        <v>2880</v>
      </c>
      <c r="E79" s="581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582" t="s">
        <v>322</v>
      </c>
      <c r="B80" s="583"/>
      <c r="C80" s="583"/>
      <c r="D80" s="583"/>
      <c r="E80" s="583"/>
      <c r="F80" s="583"/>
      <c r="G80" s="583"/>
      <c r="H80" s="583"/>
      <c r="I80" s="583"/>
      <c r="J80" s="58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62" t="s">
        <v>328</v>
      </c>
      <c r="B1" s="563"/>
      <c r="C1" s="563"/>
      <c r="D1" s="563"/>
      <c r="E1" s="563"/>
      <c r="F1" s="563"/>
      <c r="G1" s="563"/>
      <c r="H1" s="563"/>
      <c r="I1" s="563"/>
      <c r="J1" s="564"/>
    </row>
    <row r="2" spans="1:10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0" ht="24.95" customHeight="1">
      <c r="A4" s="549" t="s">
        <v>295</v>
      </c>
      <c r="B4" s="550"/>
      <c r="C4" s="551">
        <f>장기28!C5</f>
        <v>45728.430555555555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296</v>
      </c>
      <c r="B5" s="550"/>
      <c r="C5" s="551">
        <f>LongTest!C101</f>
        <v>45728.680555555555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280" t="s">
        <v>326</v>
      </c>
      <c r="H7" s="533">
        <f>Input!I50</f>
        <v>48</v>
      </c>
      <c r="I7" s="550"/>
      <c r="J7" s="281" t="s">
        <v>299</v>
      </c>
    </row>
    <row r="8" spans="1:10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302</v>
      </c>
      <c r="H8" s="533">
        <f>LongTest!G7</f>
        <v>158</v>
      </c>
      <c r="I8" s="550"/>
      <c r="J8" s="281" t="s">
        <v>299</v>
      </c>
    </row>
    <row r="9" spans="1:10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304</v>
      </c>
      <c r="H9" s="533">
        <f>LongTest!G8</f>
        <v>38.270000000000003</v>
      </c>
      <c r="I9" s="550"/>
      <c r="J9" s="281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31">
        <v>1</v>
      </c>
      <c r="E12" s="532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31">
        <v>2</v>
      </c>
      <c r="E13" s="532"/>
      <c r="F13" s="285">
        <f>LongTest!F79</f>
        <v>26.73021109021095</v>
      </c>
      <c r="G13" s="285">
        <f>LongTest!G79</f>
        <v>15.380211090210949</v>
      </c>
      <c r="H13" s="531"/>
      <c r="I13" s="536"/>
      <c r="J13" s="537"/>
    </row>
    <row r="14" spans="1:10" ht="24.95" customHeight="1">
      <c r="A14" s="307"/>
      <c r="B14" s="284"/>
      <c r="C14" s="284">
        <f t="shared" si="0"/>
        <v>45728.432638888888</v>
      </c>
      <c r="D14" s="531">
        <v>3</v>
      </c>
      <c r="E14" s="532"/>
      <c r="F14" s="285">
        <f>LongTest!F80</f>
        <v>25.283494305486641</v>
      </c>
      <c r="G14" s="285">
        <f>LongTest!G80</f>
        <v>13.93349430548664</v>
      </c>
      <c r="H14" s="531"/>
      <c r="I14" s="536"/>
      <c r="J14" s="537"/>
    </row>
    <row r="15" spans="1:10" ht="24.95" customHeight="1">
      <c r="A15" s="307"/>
      <c r="B15" s="284"/>
      <c r="C15" s="284">
        <f t="shared" si="0"/>
        <v>45728.433333333334</v>
      </c>
      <c r="D15" s="531">
        <v>4</v>
      </c>
      <c r="E15" s="532"/>
      <c r="F15" s="285">
        <f>LongTest!F81</f>
        <v>23.972860793152201</v>
      </c>
      <c r="G15" s="285">
        <f>LongTest!G81</f>
        <v>12.622860793152199</v>
      </c>
      <c r="H15" s="531"/>
      <c r="I15" s="536"/>
      <c r="J15" s="537"/>
    </row>
    <row r="16" spans="1:10" ht="24.95" customHeight="1">
      <c r="A16" s="307"/>
      <c r="B16" s="284"/>
      <c r="C16" s="284">
        <f t="shared" si="0"/>
        <v>45728.434027777774</v>
      </c>
      <c r="D16" s="531">
        <v>5</v>
      </c>
      <c r="E16" s="532"/>
      <c r="F16" s="285">
        <f>LongTest!F82</f>
        <v>22.785510081671077</v>
      </c>
      <c r="G16" s="285">
        <f>LongTest!G82</f>
        <v>11.435510081671076</v>
      </c>
      <c r="H16" s="531"/>
      <c r="I16" s="536"/>
      <c r="J16" s="537"/>
    </row>
    <row r="17" spans="1:10" ht="24.95" customHeight="1">
      <c r="A17" s="307"/>
      <c r="B17" s="284"/>
      <c r="C17" s="284">
        <f t="shared" si="0"/>
        <v>45728.4375</v>
      </c>
      <c r="D17" s="531">
        <v>10</v>
      </c>
      <c r="E17" s="532"/>
      <c r="F17" s="285">
        <f>LongTest!F83</f>
        <v>19.852542004201268</v>
      </c>
      <c r="G17" s="285">
        <f>LongTest!G83</f>
        <v>8.5025420042012705</v>
      </c>
      <c r="H17" s="531"/>
      <c r="I17" s="536"/>
      <c r="J17" s="537"/>
    </row>
    <row r="18" spans="1:10" ht="24.95" customHeight="1">
      <c r="A18" s="307"/>
      <c r="B18" s="284"/>
      <c r="C18" s="284">
        <f t="shared" si="0"/>
        <v>45728.440972222219</v>
      </c>
      <c r="D18" s="531">
        <v>15</v>
      </c>
      <c r="E18" s="532"/>
      <c r="F18" s="285">
        <f>LongTest!F84</f>
        <v>19.310627178404037</v>
      </c>
      <c r="G18" s="285">
        <f>LongTest!G84</f>
        <v>7.960627178404037</v>
      </c>
      <c r="H18" s="531"/>
      <c r="I18" s="536"/>
      <c r="J18" s="537"/>
    </row>
    <row r="19" spans="1:10" ht="24.95" customHeight="1">
      <c r="A19" s="307"/>
      <c r="B19" s="284"/>
      <c r="C19" s="284">
        <f t="shared" si="0"/>
        <v>45728.444444444445</v>
      </c>
      <c r="D19" s="531">
        <v>20</v>
      </c>
      <c r="E19" s="532"/>
      <c r="F19" s="285">
        <f>LongTest!F85</f>
        <v>17.883453156773275</v>
      </c>
      <c r="G19" s="285">
        <f>LongTest!G85</f>
        <v>6.5334531567732759</v>
      </c>
      <c r="H19" s="531"/>
      <c r="I19" s="536"/>
      <c r="J19" s="537"/>
    </row>
    <row r="20" spans="1:10" ht="24.95" customHeight="1">
      <c r="A20" s="307"/>
      <c r="B20" s="284"/>
      <c r="C20" s="284">
        <f t="shared" si="0"/>
        <v>45728.447916666664</v>
      </c>
      <c r="D20" s="531">
        <v>25</v>
      </c>
      <c r="E20" s="532"/>
      <c r="F20" s="285">
        <f>LongTest!F86</f>
        <v>17.268893558814966</v>
      </c>
      <c r="G20" s="285">
        <f>LongTest!G86</f>
        <v>5.9188935588149674</v>
      </c>
      <c r="H20" s="531"/>
      <c r="I20" s="536"/>
      <c r="J20" s="537"/>
    </row>
    <row r="21" spans="1:10" ht="24.95" customHeight="1">
      <c r="A21" s="307"/>
      <c r="B21" s="284"/>
      <c r="C21" s="284">
        <f t="shared" si="0"/>
        <v>45728.451388888891</v>
      </c>
      <c r="D21" s="531">
        <v>30</v>
      </c>
      <c r="E21" s="532"/>
      <c r="F21" s="285">
        <f>LongTest!F87</f>
        <v>16.71214159954021</v>
      </c>
      <c r="G21" s="285">
        <f>LongTest!G87</f>
        <v>5.3621415995402115</v>
      </c>
      <c r="H21" s="531"/>
      <c r="I21" s="536"/>
      <c r="J21" s="537"/>
    </row>
    <row r="22" spans="1:10" ht="24.95" customHeight="1">
      <c r="A22" s="307"/>
      <c r="B22" s="284"/>
      <c r="C22" s="284">
        <f t="shared" si="0"/>
        <v>45728.454861111109</v>
      </c>
      <c r="D22" s="531">
        <v>35</v>
      </c>
      <c r="E22" s="532"/>
      <c r="F22" s="285">
        <f>LongTest!F88</f>
        <v>16.53844870842914</v>
      </c>
      <c r="G22" s="285">
        <f>LongTest!G88</f>
        <v>5.1884487084291395</v>
      </c>
      <c r="H22" s="531"/>
      <c r="I22" s="536"/>
      <c r="J22" s="537"/>
    </row>
    <row r="23" spans="1:10" ht="24.95" customHeight="1">
      <c r="A23" s="307"/>
      <c r="B23" s="284"/>
      <c r="C23" s="284">
        <f t="shared" si="0"/>
        <v>45728.458333333336</v>
      </c>
      <c r="D23" s="531">
        <v>40</v>
      </c>
      <c r="E23" s="532"/>
      <c r="F23" s="285">
        <f>LongTest!F89</f>
        <v>16.370382155202378</v>
      </c>
      <c r="G23" s="285">
        <f>LongTest!G89</f>
        <v>5.0203821552023769</v>
      </c>
      <c r="H23" s="531"/>
      <c r="I23" s="536"/>
      <c r="J23" s="537"/>
    </row>
    <row r="24" spans="1:10" ht="24.95" customHeight="1">
      <c r="A24" s="307"/>
      <c r="B24" s="284"/>
      <c r="C24" s="284">
        <f t="shared" si="0"/>
        <v>45728.461805555555</v>
      </c>
      <c r="D24" s="531">
        <v>45</v>
      </c>
      <c r="E24" s="532"/>
      <c r="F24" s="285">
        <f>LongTest!F90</f>
        <v>16.207759689004487</v>
      </c>
      <c r="G24" s="285">
        <f>LongTest!G90</f>
        <v>4.8577596890044861</v>
      </c>
      <c r="H24" s="531"/>
      <c r="I24" s="536"/>
      <c r="J24" s="537"/>
    </row>
    <row r="25" spans="1:10" ht="24.95" customHeight="1">
      <c r="A25" s="307"/>
      <c r="B25" s="284"/>
      <c r="C25" s="284">
        <f t="shared" si="0"/>
        <v>45728.465277777774</v>
      </c>
      <c r="D25" s="531">
        <v>50</v>
      </c>
      <c r="E25" s="532"/>
      <c r="F25" s="285">
        <f>LongTest!F91</f>
        <v>16.050404962531324</v>
      </c>
      <c r="G25" s="285">
        <f>LongTest!G91</f>
        <v>4.7004049625313247</v>
      </c>
      <c r="H25" s="531"/>
      <c r="I25" s="536"/>
      <c r="J25" s="537"/>
    </row>
    <row r="26" spans="1:10" ht="24.95" customHeight="1">
      <c r="A26" s="307"/>
      <c r="B26" s="284"/>
      <c r="C26" s="284">
        <f t="shared" si="0"/>
        <v>45728.46875</v>
      </c>
      <c r="D26" s="531">
        <v>55</v>
      </c>
      <c r="E26" s="532"/>
      <c r="F26" s="285">
        <f>LongTest!F92</f>
        <v>15.898147340799571</v>
      </c>
      <c r="G26" s="285">
        <f>LongTest!G92</f>
        <v>4.5481473407995727</v>
      </c>
      <c r="H26" s="531"/>
      <c r="I26" s="536"/>
      <c r="J26" s="537"/>
    </row>
    <row r="27" spans="1:10" ht="24.95" customHeight="1">
      <c r="A27" s="307"/>
      <c r="B27" s="284"/>
      <c r="C27" s="284">
        <f t="shared" si="0"/>
        <v>45728.472222222219</v>
      </c>
      <c r="D27" s="531">
        <v>60</v>
      </c>
      <c r="E27" s="532"/>
      <c r="F27" s="285">
        <f>LongTest!F93</f>
        <v>15.75082171611067</v>
      </c>
      <c r="G27" s="285">
        <f>LongTest!G93</f>
        <v>4.40082171611067</v>
      </c>
      <c r="H27" s="531"/>
      <c r="I27" s="536"/>
      <c r="J27" s="537"/>
    </row>
    <row r="28" spans="1:10" ht="24.95" customHeight="1">
      <c r="A28" s="307"/>
      <c r="B28" s="284"/>
      <c r="C28" s="284">
        <f t="shared" si="0"/>
        <v>45728.482638888891</v>
      </c>
      <c r="D28" s="531">
        <v>75</v>
      </c>
      <c r="E28" s="532"/>
      <c r="F28" s="285">
        <f>LongTest!F94</f>
        <v>15.608268329008549</v>
      </c>
      <c r="G28" s="285">
        <f>LongTest!G94</f>
        <v>4.2582683290085486</v>
      </c>
      <c r="H28" s="531"/>
      <c r="I28" s="536"/>
      <c r="J28" s="537"/>
    </row>
    <row r="29" spans="1:10" ht="24.95" customHeight="1">
      <c r="A29" s="307"/>
      <c r="B29" s="284"/>
      <c r="C29" s="284">
        <f t="shared" si="0"/>
        <v>45728.493055555555</v>
      </c>
      <c r="D29" s="531">
        <v>90</v>
      </c>
      <c r="E29" s="532"/>
      <c r="F29" s="285">
        <f>LongTest!F95</f>
        <v>15.470332595036952</v>
      </c>
      <c r="G29" s="285">
        <f>LongTest!G95</f>
        <v>4.1203325950369525</v>
      </c>
      <c r="H29" s="531"/>
      <c r="I29" s="536"/>
      <c r="J29" s="537"/>
    </row>
    <row r="30" spans="1:10" ht="24.95" customHeight="1">
      <c r="A30" s="307"/>
      <c r="B30" s="284"/>
      <c r="C30" s="284">
        <f t="shared" si="0"/>
        <v>45728.503472222219</v>
      </c>
      <c r="D30" s="531">
        <v>105</v>
      </c>
      <c r="E30" s="532"/>
      <c r="F30" s="285">
        <f>LongTest!F96</f>
        <v>15.336864937108539</v>
      </c>
      <c r="G30" s="285">
        <f>LongTest!G96</f>
        <v>3.9868649371085385</v>
      </c>
      <c r="H30" s="531"/>
      <c r="I30" s="536"/>
      <c r="J30" s="537"/>
    </row>
    <row r="31" spans="1:10" ht="24.95" customHeight="1">
      <c r="A31" s="307"/>
      <c r="B31" s="284"/>
      <c r="C31" s="284">
        <f t="shared" si="0"/>
        <v>45728.513888888891</v>
      </c>
      <c r="D31" s="531">
        <v>120</v>
      </c>
      <c r="E31" s="532"/>
      <c r="F31" s="285">
        <f>LongTest!F97</f>
        <v>14.961846389631328</v>
      </c>
      <c r="G31" s="285">
        <f>LongTest!G97</f>
        <v>3.6118463896313284</v>
      </c>
      <c r="H31" s="531"/>
      <c r="I31" s="536"/>
      <c r="J31" s="537"/>
    </row>
    <row r="32" spans="1:10" ht="24.95" customHeight="1">
      <c r="A32" s="307"/>
      <c r="B32" s="284"/>
      <c r="C32" s="284">
        <f t="shared" si="0"/>
        <v>45728.555555555555</v>
      </c>
      <c r="D32" s="531">
        <v>180</v>
      </c>
      <c r="E32" s="532"/>
      <c r="F32" s="285">
        <f>LongTest!F98</f>
        <v>14.844849844497581</v>
      </c>
      <c r="G32" s="285">
        <f>LongTest!G98</f>
        <v>3.4948498444975815</v>
      </c>
      <c r="H32" s="531"/>
      <c r="I32" s="536"/>
      <c r="J32" s="537"/>
    </row>
    <row r="33" spans="1:10" ht="24.95" customHeight="1">
      <c r="A33" s="307"/>
      <c r="B33" s="284"/>
      <c r="C33" s="284">
        <f t="shared" si="0"/>
        <v>45728.597222222219</v>
      </c>
      <c r="D33" s="531">
        <v>240</v>
      </c>
      <c r="E33" s="532"/>
      <c r="F33" s="285">
        <f>LongTest!F99</f>
        <v>14.218296333601067</v>
      </c>
      <c r="G33" s="285">
        <f>LongTest!G99</f>
        <v>2.8682963336010681</v>
      </c>
      <c r="H33" s="531"/>
      <c r="I33" s="536"/>
      <c r="J33" s="537"/>
    </row>
    <row r="34" spans="1:10" ht="24.95" customHeight="1">
      <c r="A34" s="307"/>
      <c r="B34" s="284"/>
      <c r="C34" s="284">
        <f t="shared" si="0"/>
        <v>45728.638888888891</v>
      </c>
      <c r="D34" s="531">
        <v>300</v>
      </c>
      <c r="E34" s="532"/>
      <c r="F34" s="285">
        <f>LongTest!F100</f>
        <v>13.704070767962296</v>
      </c>
      <c r="G34" s="285">
        <f>LongTest!G100</f>
        <v>2.3540707679622961</v>
      </c>
      <c r="H34" s="531"/>
      <c r="I34" s="536"/>
      <c r="J34" s="537"/>
    </row>
    <row r="35" spans="1:10" ht="24.95" customHeight="1" thickBot="1">
      <c r="A35" s="311"/>
      <c r="B35" s="312"/>
      <c r="C35" s="312">
        <f t="shared" si="0"/>
        <v>45728.680555555555</v>
      </c>
      <c r="D35" s="538">
        <v>360</v>
      </c>
      <c r="E35" s="539"/>
      <c r="F35" s="313">
        <f>LongTest!F101</f>
        <v>13.282035095417495</v>
      </c>
      <c r="G35" s="313">
        <f>LongTest!G101</f>
        <v>1.9320350954174961</v>
      </c>
      <c r="H35" s="538" t="s">
        <v>321</v>
      </c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590" t="s">
        <v>317</v>
      </c>
      <c r="B1" s="591"/>
      <c r="C1" s="591"/>
      <c r="D1" s="591"/>
      <c r="E1" s="591"/>
      <c r="F1" s="591"/>
      <c r="G1" s="591"/>
      <c r="H1" s="591"/>
      <c r="I1" s="591"/>
      <c r="J1" s="592"/>
    </row>
    <row r="2" spans="1:10" ht="24.95" customHeight="1">
      <c r="A2" s="593" t="s">
        <v>293</v>
      </c>
      <c r="B2" s="594"/>
      <c r="C2" s="595" t="str">
        <f>LongTest!C2</f>
        <v>예산군 마전 등 5지구 농업용관정 지하수영향조사 용역</v>
      </c>
      <c r="D2" s="596"/>
      <c r="E2" s="596"/>
      <c r="F2" s="596"/>
      <c r="G2" s="596"/>
      <c r="H2" s="596"/>
      <c r="I2" s="596"/>
      <c r="J2" s="597"/>
    </row>
    <row r="3" spans="1:10" ht="24.95" customHeight="1">
      <c r="A3" s="585" t="s">
        <v>294</v>
      </c>
      <c r="B3" s="586"/>
      <c r="C3" s="598" t="str">
        <f>LongTest!C4</f>
        <v>충청남도 예산군 대술면 마전리 820번지</v>
      </c>
      <c r="D3" s="599"/>
      <c r="E3" s="599"/>
      <c r="F3" s="599"/>
      <c r="G3" s="599"/>
      <c r="H3" s="600"/>
      <c r="I3" s="292" t="str">
        <f>Input!I54</f>
        <v>W-1</v>
      </c>
      <c r="J3" s="293" t="s">
        <v>320</v>
      </c>
    </row>
    <row r="4" spans="1:10" ht="24.95" customHeight="1">
      <c r="A4" s="585" t="s">
        <v>295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296</v>
      </c>
      <c r="B5" s="586"/>
      <c r="C5" s="587">
        <f>C55</f>
        <v>45727.430555555555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292</v>
      </c>
      <c r="B6" s="586"/>
      <c r="C6" s="601" t="str">
        <f>LongTest!C5</f>
        <v>다다건설(주)</v>
      </c>
      <c r="D6" s="602"/>
      <c r="E6" s="602"/>
      <c r="F6" s="602"/>
      <c r="G6" s="602"/>
      <c r="H6" s="602"/>
      <c r="I6" s="602"/>
      <c r="J6" s="603"/>
    </row>
    <row r="7" spans="1:10" ht="24.95" customHeight="1">
      <c r="A7" s="585" t="s">
        <v>297</v>
      </c>
      <c r="B7" s="586"/>
      <c r="C7" s="604" t="s">
        <v>324</v>
      </c>
      <c r="D7" s="586"/>
      <c r="E7" s="294">
        <f>LongTest!C6</f>
        <v>7.5</v>
      </c>
      <c r="F7" s="294" t="s">
        <v>298</v>
      </c>
      <c r="G7" s="294" t="s">
        <v>326</v>
      </c>
      <c r="H7" s="604">
        <f>Input!I50</f>
        <v>48</v>
      </c>
      <c r="I7" s="586"/>
      <c r="J7" s="295" t="s">
        <v>299</v>
      </c>
    </row>
    <row r="8" spans="1:10" ht="24.95" customHeight="1">
      <c r="A8" s="585" t="s">
        <v>300</v>
      </c>
      <c r="B8" s="586"/>
      <c r="C8" s="604" t="s">
        <v>325</v>
      </c>
      <c r="D8" s="586"/>
      <c r="E8" s="294">
        <f>LongTest!D7</f>
        <v>250</v>
      </c>
      <c r="F8" s="294" t="s">
        <v>301</v>
      </c>
      <c r="G8" s="294" t="s">
        <v>302</v>
      </c>
      <c r="H8" s="604">
        <f>LongTest!G7</f>
        <v>158</v>
      </c>
      <c r="I8" s="586"/>
      <c r="J8" s="295" t="s">
        <v>299</v>
      </c>
    </row>
    <row r="9" spans="1:10" ht="24.95" customHeight="1">
      <c r="A9" s="585" t="s">
        <v>303</v>
      </c>
      <c r="B9" s="586"/>
      <c r="C9" s="604" t="s">
        <v>323</v>
      </c>
      <c r="D9" s="586"/>
      <c r="E9" s="294">
        <f>LongTest!D8</f>
        <v>11.35</v>
      </c>
      <c r="F9" s="294" t="s">
        <v>299</v>
      </c>
      <c r="G9" s="294" t="s">
        <v>304</v>
      </c>
      <c r="H9" s="604">
        <f>LongTest!G8</f>
        <v>38.270000000000003</v>
      </c>
      <c r="I9" s="586"/>
      <c r="J9" s="295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42">
        <v>1</v>
      </c>
      <c r="E12" s="542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42">
        <v>2</v>
      </c>
      <c r="E13" s="542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42">
        <v>3</v>
      </c>
      <c r="E14" s="542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42">
        <v>4</v>
      </c>
      <c r="E15" s="542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42">
        <v>5</v>
      </c>
      <c r="E16" s="542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42">
        <v>10</v>
      </c>
      <c r="E17" s="542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42">
        <v>15</v>
      </c>
      <c r="E18" s="542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42">
        <v>20</v>
      </c>
      <c r="E19" s="542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42">
        <v>25</v>
      </c>
      <c r="E20" s="542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42">
        <v>30</v>
      </c>
      <c r="E21" s="542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42">
        <v>35</v>
      </c>
      <c r="E22" s="542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42">
        <v>40</v>
      </c>
      <c r="E23" s="542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42">
        <v>45</v>
      </c>
      <c r="E24" s="542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42">
        <v>50</v>
      </c>
      <c r="E25" s="542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42">
        <v>55</v>
      </c>
      <c r="E26" s="542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42">
        <v>60</v>
      </c>
      <c r="E27" s="542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42">
        <v>75</v>
      </c>
      <c r="E28" s="542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42">
        <v>90</v>
      </c>
      <c r="E29" s="542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42">
        <v>105</v>
      </c>
      <c r="E30" s="542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42">
        <v>120</v>
      </c>
      <c r="E31" s="542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42">
        <v>140</v>
      </c>
      <c r="E32" s="542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42">
        <v>160</v>
      </c>
      <c r="E33" s="542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42">
        <v>180</v>
      </c>
      <c r="E34" s="542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42">
        <v>240</v>
      </c>
      <c r="E35" s="542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42">
        <v>300</v>
      </c>
      <c r="E36" s="542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42">
        <v>360</v>
      </c>
      <c r="E37" s="542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42">
        <v>420</v>
      </c>
      <c r="E38" s="542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42">
        <v>480</v>
      </c>
      <c r="E39" s="542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42">
        <v>540</v>
      </c>
      <c r="E40" s="542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42">
        <v>600</v>
      </c>
      <c r="E41" s="542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42">
        <v>660</v>
      </c>
      <c r="E42" s="542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42">
        <v>720</v>
      </c>
      <c r="E43" s="542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42">
        <v>780</v>
      </c>
      <c r="E44" s="542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42">
        <v>840</v>
      </c>
      <c r="E45" s="542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42">
        <v>900</v>
      </c>
      <c r="E46" s="542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42">
        <v>960</v>
      </c>
      <c r="E47" s="542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42">
        <v>1020</v>
      </c>
      <c r="E48" s="542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42">
        <v>1080</v>
      </c>
      <c r="E49" s="542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42">
        <v>1140</v>
      </c>
      <c r="E50" s="542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42">
        <v>1200</v>
      </c>
      <c r="E51" s="542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42">
        <v>1260</v>
      </c>
      <c r="E52" s="542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42">
        <v>1320</v>
      </c>
      <c r="E53" s="542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42">
        <v>1380</v>
      </c>
      <c r="E54" s="542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42">
        <v>1440</v>
      </c>
      <c r="E55" s="542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08"/>
      <c r="E56" s="609"/>
      <c r="F56" s="294"/>
      <c r="G56" s="294"/>
      <c r="H56" s="294"/>
      <c r="I56" s="294"/>
      <c r="J56" s="295"/>
    </row>
    <row r="57" spans="1:10" ht="24.95" customHeight="1" thickBot="1">
      <c r="A57" s="605" t="s">
        <v>322</v>
      </c>
      <c r="B57" s="606"/>
      <c r="C57" s="606"/>
      <c r="D57" s="606"/>
      <c r="E57" s="606"/>
      <c r="F57" s="606"/>
      <c r="G57" s="606"/>
      <c r="H57" s="606"/>
      <c r="I57" s="606"/>
      <c r="J57" s="60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62" t="s">
        <v>328</v>
      </c>
      <c r="B1" s="563"/>
      <c r="C1" s="563"/>
      <c r="D1" s="563"/>
      <c r="E1" s="563"/>
      <c r="F1" s="563"/>
      <c r="G1" s="563"/>
      <c r="H1" s="563"/>
      <c r="I1" s="563"/>
      <c r="J1" s="564"/>
    </row>
    <row r="2" spans="1:10" ht="24.95" customHeight="1">
      <c r="A2" s="544" t="s">
        <v>293</v>
      </c>
      <c r="B2" s="545"/>
      <c r="C2" s="546" t="str">
        <f>LongTest!C2</f>
        <v>예산군 마전 등 5지구 농업용관정 지하수영향조사 용역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294</v>
      </c>
      <c r="B3" s="550"/>
      <c r="C3" s="554" t="str">
        <f>LongTest!C4</f>
        <v>충청남도 예산군 대술면 마전리 820번지</v>
      </c>
      <c r="D3" s="555"/>
      <c r="E3" s="555"/>
      <c r="F3" s="555"/>
      <c r="G3" s="555"/>
      <c r="H3" s="556"/>
      <c r="I3" s="278" t="str">
        <f>Input!I54</f>
        <v>W-1</v>
      </c>
      <c r="J3" s="279" t="s">
        <v>320</v>
      </c>
    </row>
    <row r="4" spans="1:10" ht="24.95" customHeight="1">
      <c r="A4" s="549" t="s">
        <v>295</v>
      </c>
      <c r="B4" s="550"/>
      <c r="C4" s="551">
        <f>장기14!C55</f>
        <v>45727.430555555555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296</v>
      </c>
      <c r="B5" s="550"/>
      <c r="C5" s="551">
        <f>C31</f>
        <v>45727.513888888891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292</v>
      </c>
      <c r="B6" s="550"/>
      <c r="C6" s="557" t="str">
        <f>LongTest!C5</f>
        <v>다다건설(주)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297</v>
      </c>
      <c r="B7" s="550"/>
      <c r="C7" s="533" t="s">
        <v>324</v>
      </c>
      <c r="D7" s="550"/>
      <c r="E7" s="280">
        <f>LongTest!C6</f>
        <v>7.5</v>
      </c>
      <c r="F7" s="280" t="s">
        <v>298</v>
      </c>
      <c r="G7" s="280" t="s">
        <v>326</v>
      </c>
      <c r="H7" s="533">
        <f>Input!I50</f>
        <v>48</v>
      </c>
      <c r="I7" s="550"/>
      <c r="J7" s="281" t="s">
        <v>299</v>
      </c>
    </row>
    <row r="8" spans="1:10" ht="24.95" customHeight="1">
      <c r="A8" s="549" t="s">
        <v>300</v>
      </c>
      <c r="B8" s="550"/>
      <c r="C8" s="533" t="s">
        <v>325</v>
      </c>
      <c r="D8" s="550"/>
      <c r="E8" s="280">
        <f>LongTest!D7</f>
        <v>250</v>
      </c>
      <c r="F8" s="280" t="s">
        <v>301</v>
      </c>
      <c r="G8" s="280" t="s">
        <v>302</v>
      </c>
      <c r="H8" s="533">
        <f>LongTest!G7</f>
        <v>158</v>
      </c>
      <c r="I8" s="550"/>
      <c r="J8" s="281" t="s">
        <v>299</v>
      </c>
    </row>
    <row r="9" spans="1:10" ht="24.95" customHeight="1">
      <c r="A9" s="549" t="s">
        <v>303</v>
      </c>
      <c r="B9" s="550"/>
      <c r="C9" s="533" t="s">
        <v>323</v>
      </c>
      <c r="D9" s="550"/>
      <c r="E9" s="280">
        <f>LongTest!D8</f>
        <v>11.35</v>
      </c>
      <c r="F9" s="280" t="s">
        <v>299</v>
      </c>
      <c r="G9" s="280" t="s">
        <v>304</v>
      </c>
      <c r="H9" s="533">
        <f>LongTest!G8</f>
        <v>38.270000000000003</v>
      </c>
      <c r="I9" s="550"/>
      <c r="J9" s="281" t="s">
        <v>299</v>
      </c>
    </row>
    <row r="10" spans="1:10" ht="24.95" customHeight="1">
      <c r="A10" s="541" t="s">
        <v>305</v>
      </c>
      <c r="B10" s="294" t="s">
        <v>306</v>
      </c>
      <c r="C10" s="542" t="s">
        <v>190</v>
      </c>
      <c r="D10" s="542" t="s">
        <v>308</v>
      </c>
      <c r="E10" s="54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41"/>
      <c r="B11" s="294" t="s">
        <v>329</v>
      </c>
      <c r="C11" s="542"/>
      <c r="D11" s="542" t="s">
        <v>330</v>
      </c>
      <c r="E11" s="54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31">
        <v>1</v>
      </c>
      <c r="E12" s="532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31">
        <v>2</v>
      </c>
      <c r="E13" s="532"/>
      <c r="F13" s="285">
        <f>LongTest!F79</f>
        <v>26.73021109021095</v>
      </c>
      <c r="G13" s="285">
        <f>LongTest!G79</f>
        <v>15.380211090210949</v>
      </c>
      <c r="H13" s="531"/>
      <c r="I13" s="536"/>
      <c r="J13" s="537"/>
    </row>
    <row r="14" spans="1:10" ht="24.95" customHeight="1">
      <c r="A14" s="307"/>
      <c r="B14" s="284"/>
      <c r="C14" s="284">
        <f t="shared" si="0"/>
        <v>45727.432638888888</v>
      </c>
      <c r="D14" s="531">
        <v>3</v>
      </c>
      <c r="E14" s="532"/>
      <c r="F14" s="285">
        <f>LongTest!F80</f>
        <v>25.283494305486641</v>
      </c>
      <c r="G14" s="285">
        <f>LongTest!G80</f>
        <v>13.93349430548664</v>
      </c>
      <c r="H14" s="531"/>
      <c r="I14" s="536"/>
      <c r="J14" s="537"/>
    </row>
    <row r="15" spans="1:10" ht="24.95" customHeight="1">
      <c r="A15" s="307"/>
      <c r="B15" s="284"/>
      <c r="C15" s="284">
        <f t="shared" si="0"/>
        <v>45727.433333333334</v>
      </c>
      <c r="D15" s="531">
        <v>4</v>
      </c>
      <c r="E15" s="532"/>
      <c r="F15" s="285">
        <f>LongTest!F81</f>
        <v>23.972860793152201</v>
      </c>
      <c r="G15" s="285">
        <f>LongTest!G81</f>
        <v>12.622860793152199</v>
      </c>
      <c r="H15" s="531"/>
      <c r="I15" s="536"/>
      <c r="J15" s="537"/>
    </row>
    <row r="16" spans="1:10" ht="24.95" customHeight="1">
      <c r="A16" s="307"/>
      <c r="B16" s="284"/>
      <c r="C16" s="284">
        <f t="shared" si="0"/>
        <v>45727.434027777774</v>
      </c>
      <c r="D16" s="531">
        <v>5</v>
      </c>
      <c r="E16" s="532"/>
      <c r="F16" s="285">
        <f>LongTest!F82</f>
        <v>22.785510081671077</v>
      </c>
      <c r="G16" s="285">
        <f>LongTest!G82</f>
        <v>11.435510081671076</v>
      </c>
      <c r="H16" s="531"/>
      <c r="I16" s="536"/>
      <c r="J16" s="537"/>
    </row>
    <row r="17" spans="1:10" ht="24.95" customHeight="1">
      <c r="A17" s="307"/>
      <c r="B17" s="284"/>
      <c r="C17" s="284">
        <f t="shared" si="0"/>
        <v>45727.4375</v>
      </c>
      <c r="D17" s="531">
        <v>10</v>
      </c>
      <c r="E17" s="532"/>
      <c r="F17" s="285">
        <f>LongTest!F83</f>
        <v>19.852542004201268</v>
      </c>
      <c r="G17" s="285">
        <f>LongTest!G83</f>
        <v>8.5025420042012705</v>
      </c>
      <c r="H17" s="531"/>
      <c r="I17" s="536"/>
      <c r="J17" s="537"/>
    </row>
    <row r="18" spans="1:10" ht="24.95" customHeight="1">
      <c r="A18" s="307"/>
      <c r="B18" s="284"/>
      <c r="C18" s="284">
        <f t="shared" si="0"/>
        <v>45727.440972222219</v>
      </c>
      <c r="D18" s="531">
        <v>15</v>
      </c>
      <c r="E18" s="532"/>
      <c r="F18" s="285">
        <f>LongTest!F84</f>
        <v>19.310627178404037</v>
      </c>
      <c r="G18" s="285">
        <f>LongTest!G84</f>
        <v>7.960627178404037</v>
      </c>
      <c r="H18" s="531"/>
      <c r="I18" s="536"/>
      <c r="J18" s="537"/>
    </row>
    <row r="19" spans="1:10" ht="24.95" customHeight="1">
      <c r="A19" s="307"/>
      <c r="B19" s="284"/>
      <c r="C19" s="284">
        <f t="shared" si="0"/>
        <v>45727.444444444445</v>
      </c>
      <c r="D19" s="531">
        <v>20</v>
      </c>
      <c r="E19" s="532"/>
      <c r="F19" s="285">
        <f>LongTest!F85</f>
        <v>17.883453156773275</v>
      </c>
      <c r="G19" s="285">
        <f>LongTest!G85</f>
        <v>6.5334531567732759</v>
      </c>
      <c r="H19" s="531"/>
      <c r="I19" s="536"/>
      <c r="J19" s="537"/>
    </row>
    <row r="20" spans="1:10" ht="24.95" customHeight="1">
      <c r="A20" s="307"/>
      <c r="B20" s="284"/>
      <c r="C20" s="284">
        <f t="shared" si="0"/>
        <v>45727.447916666664</v>
      </c>
      <c r="D20" s="531">
        <v>25</v>
      </c>
      <c r="E20" s="532"/>
      <c r="F20" s="285">
        <f>LongTest!F86</f>
        <v>17.268893558814966</v>
      </c>
      <c r="G20" s="285">
        <f>LongTest!G86</f>
        <v>5.9188935588149674</v>
      </c>
      <c r="H20" s="531"/>
      <c r="I20" s="536"/>
      <c r="J20" s="537"/>
    </row>
    <row r="21" spans="1:10" ht="24.95" customHeight="1">
      <c r="A21" s="307"/>
      <c r="B21" s="284"/>
      <c r="C21" s="284">
        <f t="shared" si="0"/>
        <v>45727.451388888891</v>
      </c>
      <c r="D21" s="531">
        <v>30</v>
      </c>
      <c r="E21" s="532"/>
      <c r="F21" s="285">
        <f>LongTest!F87</f>
        <v>16.71214159954021</v>
      </c>
      <c r="G21" s="285">
        <f>LongTest!G87</f>
        <v>5.3621415995402115</v>
      </c>
      <c r="H21" s="531"/>
      <c r="I21" s="536"/>
      <c r="J21" s="537"/>
    </row>
    <row r="22" spans="1:10" ht="24.95" customHeight="1">
      <c r="A22" s="307"/>
      <c r="B22" s="284"/>
      <c r="C22" s="284">
        <f t="shared" si="0"/>
        <v>45727.454861111109</v>
      </c>
      <c r="D22" s="531">
        <v>35</v>
      </c>
      <c r="E22" s="532"/>
      <c r="F22" s="285">
        <f>LongTest!F88</f>
        <v>16.53844870842914</v>
      </c>
      <c r="G22" s="285">
        <f>LongTest!G88</f>
        <v>5.1884487084291395</v>
      </c>
      <c r="H22" s="531"/>
      <c r="I22" s="536"/>
      <c r="J22" s="537"/>
    </row>
    <row r="23" spans="1:10" ht="24.95" customHeight="1">
      <c r="A23" s="307"/>
      <c r="B23" s="284"/>
      <c r="C23" s="284">
        <f t="shared" si="0"/>
        <v>45727.458333333336</v>
      </c>
      <c r="D23" s="531">
        <v>40</v>
      </c>
      <c r="E23" s="532"/>
      <c r="F23" s="285">
        <f>LongTest!F89</f>
        <v>16.370382155202378</v>
      </c>
      <c r="G23" s="285">
        <f>LongTest!G89</f>
        <v>5.0203821552023769</v>
      </c>
      <c r="H23" s="531"/>
      <c r="I23" s="536"/>
      <c r="J23" s="537"/>
    </row>
    <row r="24" spans="1:10" ht="24.95" customHeight="1">
      <c r="A24" s="307"/>
      <c r="B24" s="284"/>
      <c r="C24" s="284">
        <f t="shared" si="0"/>
        <v>45727.461805555555</v>
      </c>
      <c r="D24" s="531">
        <v>45</v>
      </c>
      <c r="E24" s="532"/>
      <c r="F24" s="285">
        <f>LongTest!F90</f>
        <v>16.207759689004487</v>
      </c>
      <c r="G24" s="285">
        <f>LongTest!G90</f>
        <v>4.8577596890044861</v>
      </c>
      <c r="H24" s="531"/>
      <c r="I24" s="536"/>
      <c r="J24" s="537"/>
    </row>
    <row r="25" spans="1:10" ht="24.95" customHeight="1">
      <c r="A25" s="307"/>
      <c r="B25" s="284"/>
      <c r="C25" s="284">
        <f t="shared" si="0"/>
        <v>45727.465277777774</v>
      </c>
      <c r="D25" s="531">
        <v>50</v>
      </c>
      <c r="E25" s="532"/>
      <c r="F25" s="285">
        <f>LongTest!F91</f>
        <v>16.050404962531324</v>
      </c>
      <c r="G25" s="285">
        <f>LongTest!G91</f>
        <v>4.7004049625313247</v>
      </c>
      <c r="H25" s="531"/>
      <c r="I25" s="536"/>
      <c r="J25" s="537"/>
    </row>
    <row r="26" spans="1:10" ht="24.95" customHeight="1">
      <c r="A26" s="307"/>
      <c r="B26" s="284"/>
      <c r="C26" s="284">
        <f t="shared" si="0"/>
        <v>45727.46875</v>
      </c>
      <c r="D26" s="531">
        <v>55</v>
      </c>
      <c r="E26" s="532"/>
      <c r="F26" s="285">
        <f>LongTest!F92</f>
        <v>15.898147340799571</v>
      </c>
      <c r="G26" s="285">
        <f>LongTest!G92</f>
        <v>4.5481473407995727</v>
      </c>
      <c r="H26" s="531"/>
      <c r="I26" s="536"/>
      <c r="J26" s="537"/>
    </row>
    <row r="27" spans="1:10" ht="24.95" customHeight="1">
      <c r="A27" s="307"/>
      <c r="B27" s="284"/>
      <c r="C27" s="284">
        <f t="shared" si="0"/>
        <v>45727.472222222219</v>
      </c>
      <c r="D27" s="531">
        <v>60</v>
      </c>
      <c r="E27" s="532"/>
      <c r="F27" s="285">
        <f>LongTest!F93</f>
        <v>15.75082171611067</v>
      </c>
      <c r="G27" s="285">
        <f>LongTest!G93</f>
        <v>4.40082171611067</v>
      </c>
      <c r="H27" s="531"/>
      <c r="I27" s="536"/>
      <c r="J27" s="537"/>
    </row>
    <row r="28" spans="1:10" ht="24.95" customHeight="1">
      <c r="A28" s="307"/>
      <c r="B28" s="284"/>
      <c r="C28" s="284">
        <f t="shared" si="0"/>
        <v>45727.482638888891</v>
      </c>
      <c r="D28" s="531">
        <v>75</v>
      </c>
      <c r="E28" s="532"/>
      <c r="F28" s="285">
        <f>LongTest!F94</f>
        <v>15.608268329008549</v>
      </c>
      <c r="G28" s="285">
        <f>LongTest!G94</f>
        <v>4.2582683290085486</v>
      </c>
      <c r="H28" s="531"/>
      <c r="I28" s="536"/>
      <c r="J28" s="537"/>
    </row>
    <row r="29" spans="1:10" ht="24.95" customHeight="1">
      <c r="A29" s="307"/>
      <c r="B29" s="284"/>
      <c r="C29" s="284">
        <f t="shared" si="0"/>
        <v>45727.493055555555</v>
      </c>
      <c r="D29" s="531">
        <v>90</v>
      </c>
      <c r="E29" s="532"/>
      <c r="F29" s="285">
        <f>LongTest!F95</f>
        <v>15.470332595036952</v>
      </c>
      <c r="G29" s="285">
        <f>LongTest!G95</f>
        <v>4.1203325950369525</v>
      </c>
      <c r="H29" s="531"/>
      <c r="I29" s="536"/>
      <c r="J29" s="537"/>
    </row>
    <row r="30" spans="1:10" ht="24.95" customHeight="1">
      <c r="A30" s="307"/>
      <c r="B30" s="284"/>
      <c r="C30" s="284">
        <f t="shared" si="0"/>
        <v>45727.503472222219</v>
      </c>
      <c r="D30" s="531">
        <v>105</v>
      </c>
      <c r="E30" s="532"/>
      <c r="F30" s="285">
        <f>LongTest!F96</f>
        <v>15.336864937108539</v>
      </c>
      <c r="G30" s="285">
        <f>LongTest!G96</f>
        <v>3.9868649371085385</v>
      </c>
      <c r="H30" s="531"/>
      <c r="I30" s="536"/>
      <c r="J30" s="537"/>
    </row>
    <row r="31" spans="1:10" ht="24.95" customHeight="1">
      <c r="A31" s="307"/>
      <c r="B31" s="284"/>
      <c r="C31" s="284">
        <f t="shared" si="0"/>
        <v>45727.513888888891</v>
      </c>
      <c r="D31" s="531">
        <v>120</v>
      </c>
      <c r="E31" s="532"/>
      <c r="F31" s="285">
        <f>LongTest!F97</f>
        <v>14.961846389631328</v>
      </c>
      <c r="G31" s="285">
        <f>LongTest!G97</f>
        <v>3.6118463896313284</v>
      </c>
      <c r="H31" s="531" t="s">
        <v>327</v>
      </c>
      <c r="I31" s="536"/>
      <c r="J31" s="537"/>
    </row>
    <row r="32" spans="1:10" ht="24.95" customHeight="1">
      <c r="A32" s="307"/>
      <c r="B32" s="284"/>
      <c r="C32" s="284"/>
      <c r="D32" s="531"/>
      <c r="E32" s="532"/>
      <c r="F32" s="285"/>
      <c r="G32" s="285"/>
      <c r="H32" s="531"/>
      <c r="I32" s="536"/>
      <c r="J32" s="537"/>
    </row>
    <row r="33" spans="1:10" ht="24.95" customHeight="1">
      <c r="A33" s="307"/>
      <c r="B33" s="284"/>
      <c r="C33" s="284"/>
      <c r="D33" s="531"/>
      <c r="E33" s="532"/>
      <c r="F33" s="285"/>
      <c r="G33" s="285"/>
      <c r="H33" s="531"/>
      <c r="I33" s="536"/>
      <c r="J33" s="537"/>
    </row>
    <row r="34" spans="1:10" ht="24.95" customHeight="1">
      <c r="A34" s="307"/>
      <c r="B34" s="284"/>
      <c r="C34" s="284"/>
      <c r="D34" s="531"/>
      <c r="E34" s="532"/>
      <c r="F34" s="285"/>
      <c r="G34" s="285"/>
      <c r="H34" s="531"/>
      <c r="I34" s="536"/>
      <c r="J34" s="537"/>
    </row>
    <row r="35" spans="1:10" ht="24.95" customHeight="1" thickBot="1">
      <c r="A35" s="311"/>
      <c r="B35" s="312"/>
      <c r="C35" s="312"/>
      <c r="D35" s="538"/>
      <c r="E35" s="539"/>
      <c r="F35" s="313"/>
      <c r="G35" s="313"/>
      <c r="H35" s="538"/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12" t="s">
        <v>207</v>
      </c>
      <c r="C12" s="613"/>
      <c r="D12" s="612" t="str">
        <f>C4</f>
        <v>W-1</v>
      </c>
      <c r="E12" s="614"/>
      <c r="F12" s="613"/>
      <c r="H12" s="612" t="str">
        <f>C4</f>
        <v>W-1</v>
      </c>
      <c r="I12" s="614"/>
      <c r="J12" s="613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15" t="s">
        <v>79</v>
      </c>
      <c r="C24" s="616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15" t="s">
        <v>212</v>
      </c>
      <c r="C25" s="616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10" t="s">
        <v>213</v>
      </c>
      <c r="C26" s="611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2025-04-09T09:46:18Z</dcterms:modified>
</cp:coreProperties>
</file>